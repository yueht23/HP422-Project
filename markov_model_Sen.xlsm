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defaultThemeVersion="166925"/>
  <mc:AlternateContent xmlns:mc="http://schemas.openxmlformats.org/markup-compatibility/2006">
    <mc:Choice Requires="x15">
      <x15ac:absPath xmlns:x15ac="http://schemas.microsoft.com/office/spreadsheetml/2010/11/ac" url="D:\workspace\GraduateGrade2Term1LSEAT\ST447 Data Analysis and Statistical Methods\"/>
    </mc:Choice>
  </mc:AlternateContent>
  <xr:revisionPtr revIDLastSave="0" documentId="13_ncr:1_{488FFEEA-1502-44FF-8FFE-745B56FF327C}" xr6:coauthVersionLast="47" xr6:coauthVersionMax="47" xr10:uidLastSave="{00000000-0000-0000-0000-000000000000}"/>
  <bookViews>
    <workbookView xWindow="-110" yWindow="-110" windowWidth="25820" windowHeight="15500" tabRatio="793" xr2:uid="{00000000-000D-0000-FFFF-FFFF00000000}"/>
  </bookViews>
  <sheets>
    <sheet name="Parameter" sheetId="4" r:id="rId1"/>
    <sheet name="CAPI" sheetId="1" r:id="rId2"/>
    <sheet name="Trans.Prob." sheetId="14" r:id="rId3"/>
    <sheet name="PALB" sheetId="3" r:id="rId4"/>
    <sheet name="AEs (old)" sheetId="11" state="hidden" r:id="rId5"/>
    <sheet name="CostDeterministic" sheetId="8" r:id="rId6"/>
    <sheet name="AdverseEvent" sheetId="12" r:id="rId7"/>
    <sheet name="Utilities" sheetId="9" r:id="rId8"/>
    <sheet name="Simulaton" sheetId="15" r:id="rId9"/>
    <sheet name="Open questions" sheetId="7" state="hidden" r:id="rId10"/>
    <sheet name="Assumption" sheetId="5" state="hidden" r:id="rId11"/>
    <sheet name="VBCode For simu" sheetId="16" state="hidden" r:id="rId12"/>
  </sheets>
  <definedNames>
    <definedName name="cohortSize">Parameter!$C$2</definedName>
    <definedName name="COST_CAPI">CAPI!$O$39</definedName>
    <definedName name="COST_PALB">PALB!$O$33</definedName>
    <definedName name="cP">Parameter!$C$44</definedName>
    <definedName name="cPFS_CAPI_1st">Parameter!$C$24</definedName>
    <definedName name="cPFS_CAPI_after">Parameter!$C$29</definedName>
    <definedName name="cPFS_PALB_1st">Parameter!$C$34</definedName>
    <definedName name="cPFS_PALB_after">Parameter!$C$39</definedName>
    <definedName name="duAE1_CAPI">Parameter!$C$12</definedName>
    <definedName name="duAE1_PALB">Parameter!$C$15</definedName>
    <definedName name="duAE2_CAPI">Parameter!$C$13</definedName>
    <definedName name="duAE2_PALB">Parameter!$C$16</definedName>
    <definedName name="duAE3_CAPI">Parameter!$C$14</definedName>
    <definedName name="duAE3_PALB">Parameter!$C$17</definedName>
    <definedName name="fAE1_CAPI">Parameter!$C$18</definedName>
    <definedName name="fAE1_PALB">Parameter!$C$21</definedName>
    <definedName name="fAE2_CAPI">Parameter!$C$19</definedName>
    <definedName name="fAE2_PALB">Parameter!$C$22</definedName>
    <definedName name="fAE3_CAPI">Parameter!$C$20</definedName>
    <definedName name="fAE3_PALB">Parameter!$C$23</definedName>
    <definedName name="gamma_capi">Parameter!$C$7</definedName>
    <definedName name="gamma_pacl">Parameter!$C$9</definedName>
    <definedName name="lambda_capi">Parameter!$C$6</definedName>
    <definedName name="lambda_pacl">Parameter!$C$8</definedName>
    <definedName name="LY_CAPI">CAPI!$O$38</definedName>
    <definedName name="LY_PALB">PALB!$O$32</definedName>
    <definedName name="QALY_AEs_CAPI">CAPI!$O$36</definedName>
    <definedName name="QALY_AEs_PALB">PALB!$O$30</definedName>
    <definedName name="QALY_noAEs_CAPI">CAPI!$O$37</definedName>
    <definedName name="QALY_noAEs_PALB">PALB!$O$31</definedName>
    <definedName name="rdis_Month">Parameter!$C$3</definedName>
    <definedName name="tpP2D">Parameter!$C$5</definedName>
    <definedName name="tpPFS2D">Parameter!$C$4</definedName>
    <definedName name="uP">Parameter!$C$11</definedName>
    <definedName name="uS">Parameter!$C$10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9" i="4" l="1"/>
  <c r="C34" i="4"/>
  <c r="E43" i="4"/>
  <c r="E42" i="4"/>
  <c r="E41" i="4"/>
  <c r="E40" i="4"/>
  <c r="E38" i="4"/>
  <c r="E37" i="4"/>
  <c r="E36" i="4"/>
  <c r="E35" i="4"/>
  <c r="E33" i="4"/>
  <c r="E32" i="4"/>
  <c r="E31" i="4"/>
  <c r="E30" i="4"/>
  <c r="C24" i="4"/>
  <c r="E28" i="4"/>
  <c r="C28" i="4" s="1"/>
  <c r="E27" i="4"/>
  <c r="E26" i="4"/>
  <c r="E25" i="4"/>
  <c r="C44" i="4"/>
  <c r="C40" i="4"/>
  <c r="C41" i="4"/>
  <c r="C42" i="4"/>
  <c r="C43" i="4"/>
  <c r="C35" i="4"/>
  <c r="C36" i="4"/>
  <c r="C37" i="4"/>
  <c r="C38" i="4"/>
  <c r="C30" i="4"/>
  <c r="C31" i="4"/>
  <c r="C32" i="4"/>
  <c r="C33" i="4"/>
  <c r="C29" i="4" s="1"/>
  <c r="C25" i="4"/>
  <c r="C26" i="4"/>
  <c r="C27" i="4"/>
  <c r="C3" i="4"/>
  <c r="C4" i="4"/>
  <c r="C5" i="4"/>
  <c r="Q17" i="3" s="1"/>
  <c r="C6" i="4"/>
  <c r="C7" i="4"/>
  <c r="C8" i="4"/>
  <c r="C9" i="4"/>
  <c r="O25" i="3" s="1"/>
  <c r="C10" i="4"/>
  <c r="C11" i="4"/>
  <c r="C12" i="4"/>
  <c r="C13" i="4"/>
  <c r="C14" i="4"/>
  <c r="C15" i="4"/>
  <c r="C16" i="4"/>
  <c r="C17" i="4"/>
  <c r="C18" i="4"/>
  <c r="C19" i="4"/>
  <c r="C20" i="4"/>
  <c r="C21" i="4"/>
  <c r="C22" i="4"/>
  <c r="C23" i="4"/>
  <c r="C2" i="4"/>
  <c r="E15" i="8"/>
  <c r="D15" i="8"/>
  <c r="C15" i="8"/>
  <c r="B15" i="8"/>
  <c r="E14" i="8"/>
  <c r="D14" i="8"/>
  <c r="C14" i="8"/>
  <c r="B14" i="8"/>
  <c r="E7" i="8"/>
  <c r="D7" i="8"/>
  <c r="C7" i="8"/>
  <c r="B7" i="8"/>
  <c r="E6" i="8"/>
  <c r="D6" i="8"/>
  <c r="C6" i="8"/>
  <c r="B6" i="8"/>
  <c r="F15" i="8"/>
  <c r="F14" i="8"/>
  <c r="F7" i="8"/>
  <c r="F6" i="8"/>
  <c r="AM111" i="15"/>
  <c r="AN111" i="15"/>
  <c r="AO111" i="15"/>
  <c r="AM112" i="15"/>
  <c r="AN112" i="15"/>
  <c r="AO112" i="15"/>
  <c r="AM113" i="15"/>
  <c r="AN113" i="15"/>
  <c r="AO113" i="15"/>
  <c r="AM114" i="15"/>
  <c r="AN114" i="15"/>
  <c r="AO114" i="15"/>
  <c r="AM115" i="15"/>
  <c r="AN115" i="15"/>
  <c r="AO115" i="15"/>
  <c r="AM116" i="15"/>
  <c r="AN116" i="15"/>
  <c r="AO116" i="15"/>
  <c r="AM117" i="15"/>
  <c r="AN117" i="15"/>
  <c r="AO117" i="15"/>
  <c r="AM118" i="15"/>
  <c r="AN118" i="15"/>
  <c r="AO118" i="15"/>
  <c r="AM119" i="15"/>
  <c r="AN119" i="15"/>
  <c r="AO119" i="15"/>
  <c r="AM120" i="15"/>
  <c r="AN120" i="15"/>
  <c r="AO120" i="15"/>
  <c r="AM121" i="15"/>
  <c r="AN121" i="15"/>
  <c r="AO121" i="15"/>
  <c r="AM122" i="15"/>
  <c r="AN122" i="15"/>
  <c r="AO122" i="15"/>
  <c r="AM123" i="15"/>
  <c r="AN123" i="15"/>
  <c r="AO123" i="15"/>
  <c r="AM124" i="15"/>
  <c r="AN124" i="15"/>
  <c r="AO124" i="15"/>
  <c r="AM125" i="15"/>
  <c r="AN125" i="15"/>
  <c r="AO125" i="15"/>
  <c r="AM126" i="15"/>
  <c r="AN126" i="15"/>
  <c r="AO126" i="15"/>
  <c r="AM127" i="15"/>
  <c r="AN127" i="15"/>
  <c r="AO127" i="15"/>
  <c r="AM128" i="15"/>
  <c r="AN128" i="15"/>
  <c r="AO128" i="15"/>
  <c r="AM129" i="15"/>
  <c r="AN129" i="15"/>
  <c r="AO129" i="15"/>
  <c r="AM130" i="15"/>
  <c r="AN130" i="15"/>
  <c r="AO130" i="15"/>
  <c r="AM131" i="15"/>
  <c r="AN131" i="15"/>
  <c r="AO131" i="15"/>
  <c r="AM132" i="15"/>
  <c r="AN132" i="15"/>
  <c r="AO132" i="15"/>
  <c r="AM133" i="15"/>
  <c r="AN133" i="15"/>
  <c r="AO133" i="15"/>
  <c r="AM134" i="15"/>
  <c r="AN134" i="15"/>
  <c r="AO134" i="15"/>
  <c r="AM135" i="15"/>
  <c r="AN135" i="15"/>
  <c r="AO135" i="15"/>
  <c r="AM136" i="15"/>
  <c r="AN136" i="15"/>
  <c r="AO136" i="15"/>
  <c r="AM137" i="15"/>
  <c r="AN137" i="15"/>
  <c r="AO137" i="15"/>
  <c r="AM138" i="15"/>
  <c r="AN138" i="15"/>
  <c r="AO138" i="15"/>
  <c r="AM139" i="15"/>
  <c r="AN139" i="15"/>
  <c r="AO139" i="15"/>
  <c r="AM140" i="15"/>
  <c r="AN140" i="15"/>
  <c r="AO140" i="15"/>
  <c r="AM141" i="15"/>
  <c r="AN141" i="15"/>
  <c r="AO141" i="15"/>
  <c r="AM142" i="15"/>
  <c r="AN142" i="15"/>
  <c r="AO142" i="15"/>
  <c r="AM143" i="15"/>
  <c r="AN143" i="15"/>
  <c r="AO143" i="15"/>
  <c r="AM144" i="15"/>
  <c r="AN144" i="15"/>
  <c r="AO144" i="15"/>
  <c r="AM145" i="15"/>
  <c r="AN145" i="15"/>
  <c r="AO145" i="15"/>
  <c r="AM146" i="15"/>
  <c r="AN146" i="15"/>
  <c r="AO146" i="15"/>
  <c r="AM147" i="15"/>
  <c r="AN147" i="15"/>
  <c r="AO147" i="15"/>
  <c r="AM148" i="15"/>
  <c r="AN148" i="15"/>
  <c r="AO148" i="15"/>
  <c r="AM149" i="15"/>
  <c r="AN149" i="15"/>
  <c r="AO149" i="15"/>
  <c r="AM150" i="15"/>
  <c r="AN150" i="15"/>
  <c r="AO150" i="15"/>
  <c r="AM151" i="15"/>
  <c r="AN151" i="15"/>
  <c r="AO151" i="15"/>
  <c r="AM152" i="15"/>
  <c r="AN152" i="15"/>
  <c r="AO152" i="15"/>
  <c r="AM153" i="15"/>
  <c r="AN153" i="15"/>
  <c r="AO153" i="15"/>
  <c r="AM154" i="15"/>
  <c r="AN154" i="15"/>
  <c r="AO154" i="15"/>
  <c r="AM155" i="15"/>
  <c r="AN155" i="15"/>
  <c r="AO155" i="15"/>
  <c r="AM156" i="15"/>
  <c r="AN156" i="15"/>
  <c r="AO156" i="15"/>
  <c r="AM157" i="15"/>
  <c r="AN157" i="15"/>
  <c r="AO157" i="15"/>
  <c r="AM158" i="15"/>
  <c r="AN158" i="15"/>
  <c r="AO158" i="15"/>
  <c r="AM159" i="15"/>
  <c r="AN159" i="15"/>
  <c r="AO159" i="15"/>
  <c r="AM160" i="15"/>
  <c r="AN160" i="15"/>
  <c r="AO160" i="15"/>
  <c r="AM161" i="15"/>
  <c r="AN161" i="15"/>
  <c r="AO161" i="15"/>
  <c r="AM162" i="15"/>
  <c r="AN162" i="15"/>
  <c r="AO162" i="15"/>
  <c r="AM163" i="15"/>
  <c r="AN163" i="15"/>
  <c r="AO163" i="15"/>
  <c r="AM164" i="15"/>
  <c r="AN164" i="15"/>
  <c r="AO164" i="15"/>
  <c r="AM165" i="15"/>
  <c r="AN165" i="15"/>
  <c r="AO165" i="15"/>
  <c r="AM166" i="15"/>
  <c r="AN166" i="15"/>
  <c r="AO166" i="15"/>
  <c r="AM167" i="15"/>
  <c r="AN167" i="15"/>
  <c r="AO167" i="15"/>
  <c r="AM168" i="15"/>
  <c r="AN168" i="15"/>
  <c r="AO168" i="15"/>
  <c r="AM169" i="15"/>
  <c r="AN169" i="15"/>
  <c r="AO169" i="15"/>
  <c r="AM170" i="15"/>
  <c r="AN170" i="15"/>
  <c r="AO170" i="15"/>
  <c r="AM171" i="15"/>
  <c r="AN171" i="15"/>
  <c r="AO171" i="15"/>
  <c r="AM172" i="15"/>
  <c r="AN172" i="15"/>
  <c r="AO172" i="15"/>
  <c r="AM173" i="15"/>
  <c r="AN173" i="15"/>
  <c r="AO173" i="15"/>
  <c r="AM174" i="15"/>
  <c r="AN174" i="15"/>
  <c r="AO174" i="15"/>
  <c r="AM175" i="15"/>
  <c r="AN175" i="15"/>
  <c r="AO175" i="15"/>
  <c r="AM176" i="15"/>
  <c r="AN176" i="15"/>
  <c r="AO176" i="15"/>
  <c r="AM177" i="15"/>
  <c r="AN177" i="15"/>
  <c r="AO177" i="15"/>
  <c r="AM178" i="15"/>
  <c r="AN178" i="15"/>
  <c r="AO178" i="15"/>
  <c r="AM179" i="15"/>
  <c r="AN179" i="15"/>
  <c r="AO179" i="15"/>
  <c r="AM180" i="15"/>
  <c r="AN180" i="15"/>
  <c r="AO180" i="15"/>
  <c r="AM181" i="15"/>
  <c r="AN181" i="15"/>
  <c r="AO181" i="15"/>
  <c r="AM182" i="15"/>
  <c r="AN182" i="15"/>
  <c r="AO182" i="15"/>
  <c r="AM183" i="15"/>
  <c r="AN183" i="15"/>
  <c r="AO183" i="15"/>
  <c r="AM184" i="15"/>
  <c r="AN184" i="15"/>
  <c r="AO184" i="15"/>
  <c r="AM185" i="15"/>
  <c r="AN185" i="15"/>
  <c r="AO185" i="15"/>
  <c r="AM186" i="15"/>
  <c r="AN186" i="15"/>
  <c r="AO186" i="15"/>
  <c r="AM187" i="15"/>
  <c r="AN187" i="15"/>
  <c r="AO187" i="15"/>
  <c r="AM188" i="15"/>
  <c r="AN188" i="15"/>
  <c r="AO188" i="15"/>
  <c r="AM189" i="15"/>
  <c r="AN189" i="15"/>
  <c r="AO189" i="15"/>
  <c r="AM190" i="15"/>
  <c r="AN190" i="15"/>
  <c r="AO190" i="15"/>
  <c r="AM191" i="15"/>
  <c r="AN191" i="15"/>
  <c r="AO191" i="15"/>
  <c r="AM192" i="15"/>
  <c r="AN192" i="15"/>
  <c r="AO192" i="15"/>
  <c r="AM193" i="15"/>
  <c r="AN193" i="15"/>
  <c r="AO193" i="15"/>
  <c r="AM194" i="15"/>
  <c r="AN194" i="15"/>
  <c r="AO194" i="15"/>
  <c r="AM195" i="15"/>
  <c r="AN195" i="15"/>
  <c r="AO195" i="15"/>
  <c r="AM196" i="15"/>
  <c r="AN196" i="15"/>
  <c r="AO196" i="15"/>
  <c r="AM197" i="15"/>
  <c r="AN197" i="15"/>
  <c r="AO197" i="15"/>
  <c r="AM198" i="15"/>
  <c r="AN198" i="15"/>
  <c r="AO198" i="15"/>
  <c r="AM199" i="15"/>
  <c r="AN199" i="15"/>
  <c r="AO199" i="15"/>
  <c r="AM200" i="15"/>
  <c r="AN200" i="15"/>
  <c r="AO200" i="15"/>
  <c r="AM201" i="15"/>
  <c r="AN201" i="15"/>
  <c r="AO201" i="15"/>
  <c r="AM202" i="15"/>
  <c r="AN202" i="15"/>
  <c r="AO202" i="15"/>
  <c r="AM203" i="15"/>
  <c r="AN203" i="15"/>
  <c r="AO203" i="15"/>
  <c r="AM204" i="15"/>
  <c r="AN204" i="15"/>
  <c r="AO204" i="15"/>
  <c r="AM205" i="15"/>
  <c r="AN205" i="15"/>
  <c r="AO205" i="15"/>
  <c r="AM206" i="15"/>
  <c r="AN206" i="15"/>
  <c r="AO206" i="15"/>
  <c r="AM207" i="15"/>
  <c r="AN207" i="15"/>
  <c r="AO207" i="15"/>
  <c r="AM208" i="15"/>
  <c r="AN208" i="15"/>
  <c r="AO208" i="15"/>
  <c r="AM209" i="15"/>
  <c r="AN209" i="15"/>
  <c r="AO209" i="15"/>
  <c r="AM210" i="15"/>
  <c r="AN210" i="15"/>
  <c r="AO210" i="15"/>
  <c r="AM211" i="15"/>
  <c r="AN211" i="15"/>
  <c r="AO211" i="15"/>
  <c r="AM212" i="15"/>
  <c r="AN212" i="15"/>
  <c r="AO212" i="15"/>
  <c r="AM213" i="15"/>
  <c r="AN213" i="15"/>
  <c r="AO213" i="15"/>
  <c r="AM214" i="15"/>
  <c r="AN214" i="15"/>
  <c r="AO214" i="15"/>
  <c r="AM215" i="15"/>
  <c r="AN215" i="15"/>
  <c r="AO215" i="15"/>
  <c r="AM216" i="15"/>
  <c r="AN216" i="15"/>
  <c r="AO216" i="15"/>
  <c r="AM217" i="15"/>
  <c r="AN217" i="15"/>
  <c r="AO217" i="15"/>
  <c r="AM218" i="15"/>
  <c r="AN218" i="15"/>
  <c r="AO218" i="15"/>
  <c r="AM219" i="15"/>
  <c r="AN219" i="15"/>
  <c r="AO219" i="15"/>
  <c r="AM220" i="15"/>
  <c r="AN220" i="15"/>
  <c r="AO220" i="15"/>
  <c r="AM221" i="15"/>
  <c r="AN221" i="15"/>
  <c r="AO221" i="15"/>
  <c r="AM222" i="15"/>
  <c r="AN222" i="15"/>
  <c r="AO222" i="15"/>
  <c r="AM223" i="15"/>
  <c r="AN223" i="15"/>
  <c r="AO223" i="15"/>
  <c r="AM224" i="15"/>
  <c r="AN224" i="15"/>
  <c r="AO224" i="15"/>
  <c r="AM225" i="15"/>
  <c r="AN225" i="15"/>
  <c r="AO225" i="15"/>
  <c r="AM226" i="15"/>
  <c r="AN226" i="15"/>
  <c r="AO226" i="15"/>
  <c r="AM227" i="15"/>
  <c r="AN227" i="15"/>
  <c r="AO227" i="15"/>
  <c r="AM228" i="15"/>
  <c r="AN228" i="15"/>
  <c r="AO228" i="15"/>
  <c r="AM229" i="15"/>
  <c r="AN229" i="15"/>
  <c r="AO229" i="15"/>
  <c r="AM230" i="15"/>
  <c r="AN230" i="15"/>
  <c r="AO230" i="15"/>
  <c r="AM231" i="15"/>
  <c r="AN231" i="15"/>
  <c r="AO231" i="15"/>
  <c r="AM232" i="15"/>
  <c r="AN232" i="15"/>
  <c r="AO232" i="15"/>
  <c r="AM233" i="15"/>
  <c r="AN233" i="15"/>
  <c r="AO233" i="15"/>
  <c r="AM234" i="15"/>
  <c r="AN234" i="15"/>
  <c r="AO234" i="15"/>
  <c r="AM235" i="15"/>
  <c r="AN235" i="15"/>
  <c r="AO235" i="15"/>
  <c r="AM236" i="15"/>
  <c r="AN236" i="15"/>
  <c r="AO236" i="15"/>
  <c r="AM237" i="15"/>
  <c r="AN237" i="15"/>
  <c r="AO237" i="15"/>
  <c r="AM238" i="15"/>
  <c r="AN238" i="15"/>
  <c r="AO238" i="15"/>
  <c r="AM239" i="15"/>
  <c r="AN239" i="15"/>
  <c r="AO239" i="15"/>
  <c r="AM240" i="15"/>
  <c r="AN240" i="15"/>
  <c r="AO240" i="15"/>
  <c r="AM241" i="15"/>
  <c r="AN241" i="15"/>
  <c r="AO241" i="15"/>
  <c r="AM242" i="15"/>
  <c r="AN242" i="15"/>
  <c r="AO242" i="15"/>
  <c r="AM243" i="15"/>
  <c r="AN243" i="15"/>
  <c r="AO243" i="15"/>
  <c r="AM244" i="15"/>
  <c r="AN244" i="15"/>
  <c r="AO244" i="15"/>
  <c r="AM245" i="15"/>
  <c r="AN245" i="15"/>
  <c r="AO245" i="15"/>
  <c r="AM246" i="15"/>
  <c r="AN246" i="15"/>
  <c r="AO246" i="15"/>
  <c r="AM247" i="15"/>
  <c r="AN247" i="15"/>
  <c r="AO247" i="15"/>
  <c r="AM248" i="15"/>
  <c r="AN248" i="15"/>
  <c r="AO248" i="15"/>
  <c r="AM249" i="15"/>
  <c r="AN249" i="15"/>
  <c r="AO249" i="15"/>
  <c r="AM250" i="15"/>
  <c r="AN250" i="15"/>
  <c r="AO250" i="15"/>
  <c r="AM251" i="15"/>
  <c r="AN251" i="15"/>
  <c r="AO251" i="15"/>
  <c r="AM252" i="15"/>
  <c r="AN252" i="15"/>
  <c r="AO252" i="15"/>
  <c r="AM253" i="15"/>
  <c r="AN253" i="15"/>
  <c r="AO253" i="15"/>
  <c r="AM254" i="15"/>
  <c r="AN254" i="15"/>
  <c r="AO254" i="15"/>
  <c r="AM255" i="15"/>
  <c r="AN255" i="15"/>
  <c r="AO255" i="15"/>
  <c r="AM256" i="15"/>
  <c r="AN256" i="15"/>
  <c r="AO256" i="15"/>
  <c r="AM257" i="15"/>
  <c r="AN257" i="15"/>
  <c r="AO257" i="15"/>
  <c r="AM258" i="15"/>
  <c r="AN258" i="15"/>
  <c r="AO258" i="15"/>
  <c r="AM259" i="15"/>
  <c r="AN259" i="15"/>
  <c r="AO259" i="15"/>
  <c r="AM260" i="15"/>
  <c r="AN260" i="15"/>
  <c r="AO260" i="15"/>
  <c r="AM261" i="15"/>
  <c r="AN261" i="15"/>
  <c r="AO261" i="15"/>
  <c r="AM262" i="15"/>
  <c r="AN262" i="15"/>
  <c r="AO262" i="15"/>
  <c r="AM263" i="15"/>
  <c r="AN263" i="15"/>
  <c r="AO263" i="15"/>
  <c r="AM264" i="15"/>
  <c r="AN264" i="15"/>
  <c r="AO264" i="15"/>
  <c r="AM265" i="15"/>
  <c r="AN265" i="15"/>
  <c r="AO265" i="15"/>
  <c r="AM266" i="15"/>
  <c r="AN266" i="15"/>
  <c r="AO266" i="15"/>
  <c r="AM267" i="15"/>
  <c r="AN267" i="15"/>
  <c r="AO267" i="15"/>
  <c r="AM268" i="15"/>
  <c r="AN268" i="15"/>
  <c r="AO268" i="15"/>
  <c r="AM269" i="15"/>
  <c r="AN269" i="15"/>
  <c r="AO269" i="15"/>
  <c r="AM270" i="15"/>
  <c r="AN270" i="15"/>
  <c r="AO270" i="15"/>
  <c r="AM271" i="15"/>
  <c r="AN271" i="15"/>
  <c r="AO271" i="15"/>
  <c r="AM272" i="15"/>
  <c r="AN272" i="15"/>
  <c r="AO272" i="15"/>
  <c r="AM273" i="15"/>
  <c r="AN273" i="15"/>
  <c r="AO273" i="15"/>
  <c r="AM274" i="15"/>
  <c r="AN274" i="15"/>
  <c r="AO274" i="15"/>
  <c r="AM275" i="15"/>
  <c r="AN275" i="15"/>
  <c r="AO275" i="15"/>
  <c r="AM276" i="15"/>
  <c r="AN276" i="15"/>
  <c r="AO276" i="15"/>
  <c r="AM277" i="15"/>
  <c r="AN277" i="15"/>
  <c r="AO277" i="15"/>
  <c r="AM278" i="15"/>
  <c r="AN278" i="15"/>
  <c r="AO278" i="15"/>
  <c r="AM279" i="15"/>
  <c r="AN279" i="15"/>
  <c r="AO279" i="15"/>
  <c r="AM280" i="15"/>
  <c r="AN280" i="15"/>
  <c r="AO280" i="15"/>
  <c r="AM281" i="15"/>
  <c r="AN281" i="15"/>
  <c r="AO281" i="15"/>
  <c r="AM282" i="15"/>
  <c r="AN282" i="15"/>
  <c r="AO282" i="15"/>
  <c r="AM283" i="15"/>
  <c r="AN283" i="15"/>
  <c r="AO283" i="15"/>
  <c r="AM284" i="15"/>
  <c r="AN284" i="15"/>
  <c r="AO284" i="15"/>
  <c r="AM285" i="15"/>
  <c r="AN285" i="15"/>
  <c r="AO285" i="15"/>
  <c r="AM286" i="15"/>
  <c r="AN286" i="15"/>
  <c r="AO286" i="15"/>
  <c r="AM287" i="15"/>
  <c r="AN287" i="15"/>
  <c r="AO287" i="15"/>
  <c r="AM288" i="15"/>
  <c r="AN288" i="15"/>
  <c r="AO288" i="15"/>
  <c r="AM289" i="15"/>
  <c r="AN289" i="15"/>
  <c r="AO289" i="15"/>
  <c r="AM290" i="15"/>
  <c r="AN290" i="15"/>
  <c r="AO290" i="15"/>
  <c r="AM291" i="15"/>
  <c r="AN291" i="15"/>
  <c r="AO291" i="15"/>
  <c r="AM292" i="15"/>
  <c r="AN292" i="15"/>
  <c r="AO292" i="15"/>
  <c r="AM293" i="15"/>
  <c r="AN293" i="15"/>
  <c r="AO293" i="15"/>
  <c r="AM294" i="15"/>
  <c r="AN294" i="15"/>
  <c r="AO294" i="15"/>
  <c r="AM295" i="15"/>
  <c r="AN295" i="15"/>
  <c r="AO295" i="15"/>
  <c r="AM296" i="15"/>
  <c r="AN296" i="15"/>
  <c r="AO296" i="15"/>
  <c r="AM297" i="15"/>
  <c r="AN297" i="15"/>
  <c r="AO297" i="15"/>
  <c r="AM298" i="15"/>
  <c r="AN298" i="15"/>
  <c r="AO298" i="15"/>
  <c r="AM299" i="15"/>
  <c r="AN299" i="15"/>
  <c r="AO299" i="15"/>
  <c r="AM300" i="15"/>
  <c r="AN300" i="15"/>
  <c r="AO300" i="15"/>
  <c r="AM301" i="15"/>
  <c r="AN301" i="15"/>
  <c r="AO301" i="15"/>
  <c r="AM302" i="15"/>
  <c r="AN302" i="15"/>
  <c r="AO302" i="15"/>
  <c r="AM303" i="15"/>
  <c r="AN303" i="15"/>
  <c r="AO303" i="15"/>
  <c r="AM304" i="15"/>
  <c r="AN304" i="15"/>
  <c r="AO304" i="15"/>
  <c r="AM305" i="15"/>
  <c r="AN305" i="15"/>
  <c r="AO305" i="15"/>
  <c r="AM306" i="15"/>
  <c r="AN306" i="15"/>
  <c r="AO306" i="15"/>
  <c r="AM307" i="15"/>
  <c r="AN307" i="15"/>
  <c r="AO307" i="15"/>
  <c r="AM308" i="15"/>
  <c r="AN308" i="15"/>
  <c r="AO308" i="15"/>
  <c r="AM309" i="15"/>
  <c r="AN309" i="15"/>
  <c r="AO309" i="15"/>
  <c r="AM310" i="15"/>
  <c r="AN310" i="15"/>
  <c r="AO310" i="15"/>
  <c r="AM311" i="15"/>
  <c r="AN311" i="15"/>
  <c r="AO311" i="15"/>
  <c r="AM312" i="15"/>
  <c r="AN312" i="15"/>
  <c r="AO312" i="15"/>
  <c r="AM313" i="15"/>
  <c r="AN313" i="15"/>
  <c r="AO313" i="15"/>
  <c r="AM314" i="15"/>
  <c r="AN314" i="15"/>
  <c r="AO314" i="15"/>
  <c r="AM315" i="15"/>
  <c r="AN315" i="15"/>
  <c r="AO315" i="15"/>
  <c r="AM316" i="15"/>
  <c r="AN316" i="15"/>
  <c r="AO316" i="15"/>
  <c r="AM317" i="15"/>
  <c r="AN317" i="15"/>
  <c r="AO317" i="15"/>
  <c r="AM318" i="15"/>
  <c r="AN318" i="15"/>
  <c r="AO318" i="15"/>
  <c r="AM319" i="15"/>
  <c r="AN319" i="15"/>
  <c r="AO319" i="15"/>
  <c r="AM320" i="15"/>
  <c r="AN320" i="15"/>
  <c r="AO320" i="15"/>
  <c r="AM321" i="15"/>
  <c r="AN321" i="15"/>
  <c r="AO321" i="15"/>
  <c r="AM322" i="15"/>
  <c r="AN322" i="15"/>
  <c r="AO322" i="15"/>
  <c r="AM323" i="15"/>
  <c r="AN323" i="15"/>
  <c r="AO323" i="15"/>
  <c r="AM324" i="15"/>
  <c r="AN324" i="15"/>
  <c r="AO324" i="15"/>
  <c r="AM325" i="15"/>
  <c r="AN325" i="15"/>
  <c r="AO325" i="15"/>
  <c r="AM326" i="15"/>
  <c r="AN326" i="15"/>
  <c r="AO326" i="15"/>
  <c r="AM327" i="15"/>
  <c r="AN327" i="15"/>
  <c r="AO327" i="15"/>
  <c r="AM328" i="15"/>
  <c r="AN328" i="15"/>
  <c r="AO328" i="15"/>
  <c r="AM329" i="15"/>
  <c r="AN329" i="15"/>
  <c r="AO329" i="15"/>
  <c r="AM330" i="15"/>
  <c r="AN330" i="15"/>
  <c r="AO330" i="15"/>
  <c r="AM331" i="15"/>
  <c r="AN331" i="15"/>
  <c r="AO331" i="15"/>
  <c r="AM332" i="15"/>
  <c r="AN332" i="15"/>
  <c r="AO332" i="15"/>
  <c r="AM333" i="15"/>
  <c r="AN333" i="15"/>
  <c r="AO333" i="15"/>
  <c r="AM334" i="15"/>
  <c r="AN334" i="15"/>
  <c r="AO334" i="15"/>
  <c r="AM335" i="15"/>
  <c r="AN335" i="15"/>
  <c r="AO335" i="15"/>
  <c r="AM336" i="15"/>
  <c r="AN336" i="15"/>
  <c r="AO336" i="15"/>
  <c r="AM337" i="15"/>
  <c r="AN337" i="15"/>
  <c r="AO337" i="15"/>
  <c r="AM338" i="15"/>
  <c r="AN338" i="15"/>
  <c r="AO338" i="15"/>
  <c r="AM339" i="15"/>
  <c r="AN339" i="15"/>
  <c r="AO339" i="15"/>
  <c r="AM340" i="15"/>
  <c r="AN340" i="15"/>
  <c r="AO340" i="15"/>
  <c r="AM341" i="15"/>
  <c r="AN341" i="15"/>
  <c r="AO341" i="15"/>
  <c r="AM342" i="15"/>
  <c r="AN342" i="15"/>
  <c r="AO342" i="15"/>
  <c r="AM343" i="15"/>
  <c r="AN343" i="15"/>
  <c r="AO343" i="15"/>
  <c r="AM344" i="15"/>
  <c r="AN344" i="15"/>
  <c r="AO344" i="15"/>
  <c r="AM345" i="15"/>
  <c r="AN345" i="15"/>
  <c r="AO345" i="15"/>
  <c r="AM346" i="15"/>
  <c r="AN346" i="15"/>
  <c r="AO346" i="15"/>
  <c r="AM347" i="15"/>
  <c r="AN347" i="15"/>
  <c r="AO347" i="15"/>
  <c r="AM348" i="15"/>
  <c r="AN348" i="15"/>
  <c r="AO348" i="15"/>
  <c r="AM349" i="15"/>
  <c r="AN349" i="15"/>
  <c r="AO349" i="15"/>
  <c r="AM350" i="15"/>
  <c r="AN350" i="15"/>
  <c r="AO350" i="15"/>
  <c r="AM351" i="15"/>
  <c r="AN351" i="15"/>
  <c r="AO351" i="15"/>
  <c r="AM352" i="15"/>
  <c r="AN352" i="15"/>
  <c r="AO352" i="15"/>
  <c r="AM353" i="15"/>
  <c r="AN353" i="15"/>
  <c r="AO353" i="15"/>
  <c r="AM354" i="15"/>
  <c r="AN354" i="15"/>
  <c r="AO354" i="15"/>
  <c r="AM355" i="15"/>
  <c r="AN355" i="15"/>
  <c r="AO355" i="15"/>
  <c r="AM356" i="15"/>
  <c r="AN356" i="15"/>
  <c r="AO356" i="15"/>
  <c r="AM357" i="15"/>
  <c r="AN357" i="15"/>
  <c r="AO357" i="15"/>
  <c r="AM358" i="15"/>
  <c r="AN358" i="15"/>
  <c r="AO358" i="15"/>
  <c r="AM359" i="15"/>
  <c r="AN359" i="15"/>
  <c r="AO359" i="15"/>
  <c r="AM360" i="15"/>
  <c r="AN360" i="15"/>
  <c r="AO360" i="15"/>
  <c r="AM361" i="15"/>
  <c r="AN361" i="15"/>
  <c r="AO361" i="15"/>
  <c r="AM362" i="15"/>
  <c r="AN362" i="15"/>
  <c r="AO362" i="15"/>
  <c r="AM363" i="15"/>
  <c r="AN363" i="15"/>
  <c r="AO363" i="15"/>
  <c r="AM364" i="15"/>
  <c r="AN364" i="15"/>
  <c r="AO364" i="15"/>
  <c r="AM365" i="15"/>
  <c r="AN365" i="15"/>
  <c r="AO365" i="15"/>
  <c r="AM366" i="15"/>
  <c r="AN366" i="15"/>
  <c r="AO366" i="15"/>
  <c r="AM367" i="15"/>
  <c r="AN367" i="15"/>
  <c r="AO367" i="15"/>
  <c r="AM368" i="15"/>
  <c r="AN368" i="15"/>
  <c r="AO368" i="15"/>
  <c r="AM369" i="15"/>
  <c r="AN369" i="15"/>
  <c r="AO369" i="15"/>
  <c r="AM370" i="15"/>
  <c r="AN370" i="15"/>
  <c r="AO370" i="15"/>
  <c r="AM371" i="15"/>
  <c r="AN371" i="15"/>
  <c r="AO371" i="15"/>
  <c r="AM372" i="15"/>
  <c r="AN372" i="15"/>
  <c r="AO372" i="15"/>
  <c r="AM373" i="15"/>
  <c r="AN373" i="15"/>
  <c r="AO373" i="15"/>
  <c r="AM374" i="15"/>
  <c r="AN374" i="15"/>
  <c r="AO374" i="15"/>
  <c r="AM375" i="15"/>
  <c r="AN375" i="15"/>
  <c r="AO375" i="15"/>
  <c r="AM376" i="15"/>
  <c r="AN376" i="15"/>
  <c r="AO376" i="15"/>
  <c r="AM377" i="15"/>
  <c r="AN377" i="15"/>
  <c r="AO377" i="15"/>
  <c r="AM378" i="15"/>
  <c r="AN378" i="15"/>
  <c r="AO378" i="15"/>
  <c r="AM379" i="15"/>
  <c r="AN379" i="15"/>
  <c r="AO379" i="15"/>
  <c r="AM380" i="15"/>
  <c r="AN380" i="15"/>
  <c r="AO380" i="15"/>
  <c r="AM381" i="15"/>
  <c r="AN381" i="15"/>
  <c r="AO381" i="15"/>
  <c r="AM382" i="15"/>
  <c r="AN382" i="15"/>
  <c r="AO382" i="15"/>
  <c r="AM383" i="15"/>
  <c r="AN383" i="15"/>
  <c r="AO383" i="15"/>
  <c r="AM384" i="15"/>
  <c r="AN384" i="15"/>
  <c r="AO384" i="15"/>
  <c r="AM385" i="15"/>
  <c r="AN385" i="15"/>
  <c r="AO385" i="15"/>
  <c r="AM386" i="15"/>
  <c r="AN386" i="15"/>
  <c r="AO386" i="15"/>
  <c r="AM387" i="15"/>
  <c r="AN387" i="15"/>
  <c r="AO387" i="15"/>
  <c r="AM388" i="15"/>
  <c r="AN388" i="15"/>
  <c r="AO388" i="15"/>
  <c r="AM389" i="15"/>
  <c r="AN389" i="15"/>
  <c r="AO389" i="15"/>
  <c r="AM390" i="15"/>
  <c r="AN390" i="15"/>
  <c r="AO390" i="15"/>
  <c r="AM391" i="15"/>
  <c r="AN391" i="15"/>
  <c r="AO391" i="15"/>
  <c r="AM392" i="15"/>
  <c r="AN392" i="15"/>
  <c r="AO392" i="15"/>
  <c r="AM393" i="15"/>
  <c r="AN393" i="15"/>
  <c r="AO393" i="15"/>
  <c r="AM394" i="15"/>
  <c r="AN394" i="15"/>
  <c r="AO394" i="15"/>
  <c r="AM395" i="15"/>
  <c r="AN395" i="15"/>
  <c r="AO395" i="15"/>
  <c r="AM396" i="15"/>
  <c r="AN396" i="15"/>
  <c r="AO396" i="15"/>
  <c r="AM397" i="15"/>
  <c r="AN397" i="15"/>
  <c r="AO397" i="15"/>
  <c r="AM398" i="15"/>
  <c r="AN398" i="15"/>
  <c r="AO398" i="15"/>
  <c r="AM399" i="15"/>
  <c r="AN399" i="15"/>
  <c r="AO399" i="15"/>
  <c r="AM400" i="15"/>
  <c r="AN400" i="15"/>
  <c r="AO400" i="15"/>
  <c r="AM401" i="15"/>
  <c r="AN401" i="15"/>
  <c r="AO401" i="15"/>
  <c r="AM402" i="15"/>
  <c r="AN402" i="15"/>
  <c r="AO402" i="15"/>
  <c r="AM403" i="15"/>
  <c r="AN403" i="15"/>
  <c r="AO403" i="15"/>
  <c r="AM404" i="15"/>
  <c r="AN404" i="15"/>
  <c r="AO404" i="15"/>
  <c r="AM405" i="15"/>
  <c r="AN405" i="15"/>
  <c r="AO405" i="15"/>
  <c r="AM406" i="15"/>
  <c r="AN406" i="15"/>
  <c r="AO406" i="15"/>
  <c r="AM407" i="15"/>
  <c r="AN407" i="15"/>
  <c r="AO407" i="15"/>
  <c r="AM408" i="15"/>
  <c r="AN408" i="15"/>
  <c r="AO408" i="15"/>
  <c r="AM409" i="15"/>
  <c r="AN409" i="15"/>
  <c r="AO409" i="15"/>
  <c r="AM410" i="15"/>
  <c r="AN410" i="15"/>
  <c r="AO410" i="15"/>
  <c r="AM411" i="15"/>
  <c r="AN411" i="15"/>
  <c r="AO411" i="15"/>
  <c r="AM412" i="15"/>
  <c r="AN412" i="15"/>
  <c r="AO412" i="15"/>
  <c r="AM413" i="15"/>
  <c r="AN413" i="15"/>
  <c r="AO413" i="15"/>
  <c r="AM414" i="15"/>
  <c r="AN414" i="15"/>
  <c r="AO414" i="15"/>
  <c r="AM415" i="15"/>
  <c r="AN415" i="15"/>
  <c r="AO415" i="15"/>
  <c r="AM416" i="15"/>
  <c r="AN416" i="15"/>
  <c r="AO416" i="15"/>
  <c r="AM417" i="15"/>
  <c r="AN417" i="15"/>
  <c r="AO417" i="15"/>
  <c r="AM418" i="15"/>
  <c r="AN418" i="15"/>
  <c r="AO418" i="15"/>
  <c r="AM419" i="15"/>
  <c r="AN419" i="15"/>
  <c r="AO419" i="15"/>
  <c r="AM420" i="15"/>
  <c r="AN420" i="15"/>
  <c r="AO420" i="15"/>
  <c r="AM421" i="15"/>
  <c r="AN421" i="15"/>
  <c r="AO421" i="15"/>
  <c r="AM422" i="15"/>
  <c r="AN422" i="15"/>
  <c r="AO422" i="15"/>
  <c r="AM423" i="15"/>
  <c r="AN423" i="15"/>
  <c r="AO423" i="15"/>
  <c r="AM424" i="15"/>
  <c r="AN424" i="15"/>
  <c r="AO424" i="15"/>
  <c r="AM425" i="15"/>
  <c r="AN425" i="15"/>
  <c r="AO425" i="15"/>
  <c r="AM426" i="15"/>
  <c r="AN426" i="15"/>
  <c r="AO426" i="15"/>
  <c r="AM427" i="15"/>
  <c r="AN427" i="15"/>
  <c r="AO427" i="15"/>
  <c r="AM428" i="15"/>
  <c r="AN428" i="15"/>
  <c r="AO428" i="15"/>
  <c r="AM429" i="15"/>
  <c r="AN429" i="15"/>
  <c r="AO429" i="15"/>
  <c r="AM430" i="15"/>
  <c r="AN430" i="15"/>
  <c r="AO430" i="15"/>
  <c r="AM431" i="15"/>
  <c r="AN431" i="15"/>
  <c r="AO431" i="15"/>
  <c r="AM432" i="15"/>
  <c r="AN432" i="15"/>
  <c r="AO432" i="15"/>
  <c r="AM433" i="15"/>
  <c r="AN433" i="15"/>
  <c r="AO433" i="15"/>
  <c r="AM434" i="15"/>
  <c r="AN434" i="15"/>
  <c r="AO434" i="15"/>
  <c r="AM435" i="15"/>
  <c r="AN435" i="15"/>
  <c r="AO435" i="15"/>
  <c r="AM436" i="15"/>
  <c r="AN436" i="15"/>
  <c r="AO436" i="15"/>
  <c r="AM437" i="15"/>
  <c r="AN437" i="15"/>
  <c r="AO437" i="15"/>
  <c r="AM438" i="15"/>
  <c r="AN438" i="15"/>
  <c r="AO438" i="15"/>
  <c r="AM439" i="15"/>
  <c r="AN439" i="15"/>
  <c r="AO439" i="15"/>
  <c r="AM440" i="15"/>
  <c r="AN440" i="15"/>
  <c r="AO440" i="15"/>
  <c r="AM441" i="15"/>
  <c r="AN441" i="15"/>
  <c r="AO441" i="15"/>
  <c r="AM442" i="15"/>
  <c r="AN442" i="15"/>
  <c r="AO442" i="15"/>
  <c r="AM443" i="15"/>
  <c r="AN443" i="15"/>
  <c r="AO443" i="15"/>
  <c r="AM444" i="15"/>
  <c r="AN444" i="15"/>
  <c r="AO444" i="15"/>
  <c r="AM445" i="15"/>
  <c r="AN445" i="15"/>
  <c r="AO445" i="15"/>
  <c r="AM446" i="15"/>
  <c r="AN446" i="15"/>
  <c r="AO446" i="15"/>
  <c r="AM447" i="15"/>
  <c r="AN447" i="15"/>
  <c r="AO447" i="15"/>
  <c r="AM448" i="15"/>
  <c r="AN448" i="15"/>
  <c r="AO448" i="15"/>
  <c r="AM449" i="15"/>
  <c r="AN449" i="15"/>
  <c r="AO449" i="15"/>
  <c r="AM450" i="15"/>
  <c r="AN450" i="15"/>
  <c r="AO450" i="15"/>
  <c r="AM451" i="15"/>
  <c r="AN451" i="15"/>
  <c r="AO451" i="15"/>
  <c r="AM452" i="15"/>
  <c r="AN452" i="15"/>
  <c r="AO452" i="15"/>
  <c r="AM453" i="15"/>
  <c r="AN453" i="15"/>
  <c r="AO453" i="15"/>
  <c r="AM454" i="15"/>
  <c r="AN454" i="15"/>
  <c r="AO454" i="15"/>
  <c r="AM455" i="15"/>
  <c r="AN455" i="15"/>
  <c r="AO455" i="15"/>
  <c r="AM456" i="15"/>
  <c r="AN456" i="15"/>
  <c r="AO456" i="15"/>
  <c r="AM457" i="15"/>
  <c r="AN457" i="15"/>
  <c r="AO457" i="15"/>
  <c r="AM458" i="15"/>
  <c r="AN458" i="15"/>
  <c r="AO458" i="15"/>
  <c r="AM459" i="15"/>
  <c r="AN459" i="15"/>
  <c r="AO459" i="15"/>
  <c r="AM460" i="15"/>
  <c r="AN460" i="15"/>
  <c r="AO460" i="15"/>
  <c r="AM461" i="15"/>
  <c r="AN461" i="15"/>
  <c r="AO461" i="15"/>
  <c r="AM462" i="15"/>
  <c r="AN462" i="15"/>
  <c r="AO462" i="15"/>
  <c r="AM463" i="15"/>
  <c r="AN463" i="15"/>
  <c r="AO463" i="15"/>
  <c r="AM464" i="15"/>
  <c r="AN464" i="15"/>
  <c r="AO464" i="15"/>
  <c r="AM465" i="15"/>
  <c r="AN465" i="15"/>
  <c r="AO465" i="15"/>
  <c r="AM466" i="15"/>
  <c r="AN466" i="15"/>
  <c r="AO466" i="15"/>
  <c r="AM467" i="15"/>
  <c r="AN467" i="15"/>
  <c r="AO467" i="15"/>
  <c r="AM468" i="15"/>
  <c r="AN468" i="15"/>
  <c r="AO468" i="15"/>
  <c r="AM469" i="15"/>
  <c r="AN469" i="15"/>
  <c r="AO469" i="15"/>
  <c r="AM470" i="15"/>
  <c r="AN470" i="15"/>
  <c r="AO470" i="15"/>
  <c r="AM471" i="15"/>
  <c r="AN471" i="15"/>
  <c r="AO471" i="15"/>
  <c r="AM472" i="15"/>
  <c r="AN472" i="15"/>
  <c r="AO472" i="15"/>
  <c r="AM473" i="15"/>
  <c r="AN473" i="15"/>
  <c r="AO473" i="15"/>
  <c r="AM474" i="15"/>
  <c r="AN474" i="15"/>
  <c r="AO474" i="15"/>
  <c r="AM475" i="15"/>
  <c r="AN475" i="15"/>
  <c r="AO475" i="15"/>
  <c r="AM476" i="15"/>
  <c r="AN476" i="15"/>
  <c r="AO476" i="15"/>
  <c r="AM477" i="15"/>
  <c r="AN477" i="15"/>
  <c r="AO477" i="15"/>
  <c r="AM478" i="15"/>
  <c r="AN478" i="15"/>
  <c r="AO478" i="15"/>
  <c r="AM479" i="15"/>
  <c r="AN479" i="15"/>
  <c r="AO479" i="15"/>
  <c r="AM480" i="15"/>
  <c r="AN480" i="15"/>
  <c r="AO480" i="15"/>
  <c r="AM481" i="15"/>
  <c r="AN481" i="15"/>
  <c r="AO481" i="15"/>
  <c r="AM482" i="15"/>
  <c r="AN482" i="15"/>
  <c r="AO482" i="15"/>
  <c r="AM483" i="15"/>
  <c r="AN483" i="15"/>
  <c r="AO483" i="15"/>
  <c r="AM484" i="15"/>
  <c r="AN484" i="15"/>
  <c r="AO484" i="15"/>
  <c r="AM485" i="15"/>
  <c r="AN485" i="15"/>
  <c r="AO485" i="15"/>
  <c r="AM486" i="15"/>
  <c r="AN486" i="15"/>
  <c r="AO486" i="15"/>
  <c r="AM487" i="15"/>
  <c r="AN487" i="15"/>
  <c r="AO487" i="15"/>
  <c r="AM488" i="15"/>
  <c r="AN488" i="15"/>
  <c r="AO488" i="15"/>
  <c r="AM489" i="15"/>
  <c r="AN489" i="15"/>
  <c r="AO489" i="15"/>
  <c r="AM490" i="15"/>
  <c r="AN490" i="15"/>
  <c r="AO490" i="15"/>
  <c r="AM491" i="15"/>
  <c r="AN491" i="15"/>
  <c r="AO491" i="15"/>
  <c r="AM492" i="15"/>
  <c r="AN492" i="15"/>
  <c r="AO492" i="15"/>
  <c r="AM493" i="15"/>
  <c r="AN493" i="15"/>
  <c r="AO493" i="15"/>
  <c r="AM494" i="15"/>
  <c r="AN494" i="15"/>
  <c r="AO494" i="15"/>
  <c r="AM495" i="15"/>
  <c r="AN495" i="15"/>
  <c r="AO495" i="15"/>
  <c r="AM496" i="15"/>
  <c r="AN496" i="15"/>
  <c r="AO496" i="15"/>
  <c r="AM497" i="15"/>
  <c r="AN497" i="15"/>
  <c r="AO497" i="15"/>
  <c r="AM498" i="15"/>
  <c r="AN498" i="15"/>
  <c r="AO498" i="15"/>
  <c r="AM499" i="15"/>
  <c r="AN499" i="15"/>
  <c r="AO499" i="15"/>
  <c r="AM500" i="15"/>
  <c r="AN500" i="15"/>
  <c r="AO500" i="15"/>
  <c r="AM501" i="15"/>
  <c r="AN501" i="15"/>
  <c r="AO501" i="15"/>
  <c r="AM502" i="15"/>
  <c r="AN502" i="15"/>
  <c r="AO502" i="15"/>
  <c r="AM503" i="15"/>
  <c r="AN503" i="15"/>
  <c r="AO503" i="15"/>
  <c r="AM504" i="15"/>
  <c r="AN504" i="15"/>
  <c r="AO504" i="15"/>
  <c r="AM505" i="15"/>
  <c r="AN505" i="15"/>
  <c r="AO505" i="15"/>
  <c r="AM506" i="15"/>
  <c r="AN506" i="15"/>
  <c r="AO506" i="15"/>
  <c r="AM507" i="15"/>
  <c r="AN507" i="15"/>
  <c r="AO507" i="15"/>
  <c r="AM508" i="15"/>
  <c r="AN508" i="15"/>
  <c r="AO508" i="15"/>
  <c r="AM509" i="15"/>
  <c r="AN509" i="15"/>
  <c r="AO509" i="15"/>
  <c r="AM510" i="15"/>
  <c r="AN510" i="15"/>
  <c r="AO510" i="15"/>
  <c r="AM511" i="15"/>
  <c r="AN511" i="15"/>
  <c r="AO511" i="15"/>
  <c r="AM512" i="15"/>
  <c r="AN512" i="15"/>
  <c r="AO512" i="15"/>
  <c r="AM513" i="15"/>
  <c r="AN513" i="15"/>
  <c r="AO513" i="15"/>
  <c r="AM514" i="15"/>
  <c r="AN514" i="15"/>
  <c r="AO514" i="15"/>
  <c r="AM515" i="15"/>
  <c r="AN515" i="15"/>
  <c r="AO515" i="15"/>
  <c r="AM516" i="15"/>
  <c r="AN516" i="15"/>
  <c r="AO516" i="15"/>
  <c r="AM517" i="15"/>
  <c r="AN517" i="15"/>
  <c r="AO517" i="15"/>
  <c r="AM518" i="15"/>
  <c r="AN518" i="15"/>
  <c r="AO518" i="15"/>
  <c r="AM519" i="15"/>
  <c r="AN519" i="15"/>
  <c r="AO519" i="15"/>
  <c r="AM520" i="15"/>
  <c r="AN520" i="15"/>
  <c r="AO520" i="15"/>
  <c r="AM521" i="15"/>
  <c r="AN521" i="15"/>
  <c r="AO521" i="15"/>
  <c r="AM522" i="15"/>
  <c r="AN522" i="15"/>
  <c r="AO522" i="15"/>
  <c r="AM523" i="15"/>
  <c r="AN523" i="15"/>
  <c r="AO523" i="15"/>
  <c r="AM524" i="15"/>
  <c r="AN524" i="15"/>
  <c r="AO524" i="15"/>
  <c r="AM525" i="15"/>
  <c r="AN525" i="15"/>
  <c r="AO525" i="15"/>
  <c r="AM526" i="15"/>
  <c r="AN526" i="15"/>
  <c r="AO526" i="15"/>
  <c r="AM527" i="15"/>
  <c r="AN527" i="15"/>
  <c r="AO527" i="15"/>
  <c r="AM528" i="15"/>
  <c r="AN528" i="15"/>
  <c r="AO528" i="15"/>
  <c r="AM529" i="15"/>
  <c r="AN529" i="15"/>
  <c r="AO529" i="15"/>
  <c r="AM530" i="15"/>
  <c r="AN530" i="15"/>
  <c r="AO530" i="15"/>
  <c r="AM531" i="15"/>
  <c r="AN531" i="15"/>
  <c r="AO531" i="15"/>
  <c r="AM532" i="15"/>
  <c r="AN532" i="15"/>
  <c r="AO532" i="15"/>
  <c r="AM533" i="15"/>
  <c r="AN533" i="15"/>
  <c r="AO533" i="15"/>
  <c r="AM534" i="15"/>
  <c r="AN534" i="15"/>
  <c r="AO534" i="15"/>
  <c r="AM535" i="15"/>
  <c r="AN535" i="15"/>
  <c r="AO535" i="15"/>
  <c r="AM536" i="15"/>
  <c r="AN536" i="15"/>
  <c r="AO536" i="15"/>
  <c r="AM537" i="15"/>
  <c r="AN537" i="15"/>
  <c r="AO537" i="15"/>
  <c r="AM538" i="15"/>
  <c r="AN538" i="15"/>
  <c r="AO538" i="15"/>
  <c r="AM539" i="15"/>
  <c r="AN539" i="15"/>
  <c r="AO539" i="15"/>
  <c r="AM540" i="15"/>
  <c r="AN540" i="15"/>
  <c r="AO540" i="15"/>
  <c r="AM541" i="15"/>
  <c r="AN541" i="15"/>
  <c r="AO541" i="15"/>
  <c r="AM542" i="15"/>
  <c r="AN542" i="15"/>
  <c r="AO542" i="15"/>
  <c r="AM543" i="15"/>
  <c r="AN543" i="15"/>
  <c r="AO543" i="15"/>
  <c r="AM544" i="15"/>
  <c r="AN544" i="15"/>
  <c r="AO544" i="15"/>
  <c r="AM545" i="15"/>
  <c r="AN545" i="15"/>
  <c r="AO545" i="15"/>
  <c r="AM546" i="15"/>
  <c r="AN546" i="15"/>
  <c r="AO546" i="15"/>
  <c r="AM547" i="15"/>
  <c r="AN547" i="15"/>
  <c r="AO547" i="15"/>
  <c r="AM548" i="15"/>
  <c r="AN548" i="15"/>
  <c r="AO548" i="15"/>
  <c r="AM549" i="15"/>
  <c r="AN549" i="15"/>
  <c r="AO549" i="15"/>
  <c r="AM550" i="15"/>
  <c r="AN550" i="15"/>
  <c r="AO550" i="15"/>
  <c r="AM551" i="15"/>
  <c r="AN551" i="15"/>
  <c r="AO551" i="15"/>
  <c r="AM552" i="15"/>
  <c r="AN552" i="15"/>
  <c r="AO552" i="15"/>
  <c r="AM553" i="15"/>
  <c r="AN553" i="15"/>
  <c r="AO553" i="15"/>
  <c r="AM554" i="15"/>
  <c r="AN554" i="15"/>
  <c r="AO554" i="15"/>
  <c r="AM555" i="15"/>
  <c r="AN555" i="15"/>
  <c r="AO555" i="15"/>
  <c r="AM556" i="15"/>
  <c r="AN556" i="15"/>
  <c r="AO556" i="15"/>
  <c r="AM557" i="15"/>
  <c r="AN557" i="15"/>
  <c r="AO557" i="15"/>
  <c r="AM558" i="15"/>
  <c r="AN558" i="15"/>
  <c r="AO558" i="15"/>
  <c r="AM559" i="15"/>
  <c r="AN559" i="15"/>
  <c r="AO559" i="15"/>
  <c r="AM560" i="15"/>
  <c r="AN560" i="15"/>
  <c r="AO560" i="15"/>
  <c r="AM561" i="15"/>
  <c r="AN561" i="15"/>
  <c r="AO561" i="15"/>
  <c r="AM562" i="15"/>
  <c r="AN562" i="15"/>
  <c r="AO562" i="15"/>
  <c r="AM563" i="15"/>
  <c r="AN563" i="15"/>
  <c r="AO563" i="15"/>
  <c r="AM564" i="15"/>
  <c r="AN564" i="15"/>
  <c r="AO564" i="15"/>
  <c r="AM565" i="15"/>
  <c r="AN565" i="15"/>
  <c r="AO565" i="15"/>
  <c r="AM566" i="15"/>
  <c r="AN566" i="15"/>
  <c r="AO566" i="15"/>
  <c r="AM567" i="15"/>
  <c r="AN567" i="15"/>
  <c r="AO567" i="15"/>
  <c r="AM568" i="15"/>
  <c r="AN568" i="15"/>
  <c r="AO568" i="15"/>
  <c r="AM569" i="15"/>
  <c r="AN569" i="15"/>
  <c r="AO569" i="15"/>
  <c r="AM570" i="15"/>
  <c r="AN570" i="15"/>
  <c r="AO570" i="15"/>
  <c r="AM571" i="15"/>
  <c r="AN571" i="15"/>
  <c r="AO571" i="15"/>
  <c r="AM572" i="15"/>
  <c r="AN572" i="15"/>
  <c r="AO572" i="15"/>
  <c r="AM573" i="15"/>
  <c r="AN573" i="15"/>
  <c r="AO573" i="15"/>
  <c r="AM574" i="15"/>
  <c r="AN574" i="15"/>
  <c r="AO574" i="15"/>
  <c r="AM575" i="15"/>
  <c r="AN575" i="15"/>
  <c r="AO575" i="15"/>
  <c r="AM576" i="15"/>
  <c r="AN576" i="15"/>
  <c r="AO576" i="15"/>
  <c r="AM577" i="15"/>
  <c r="AN577" i="15"/>
  <c r="AO577" i="15"/>
  <c r="AM578" i="15"/>
  <c r="AN578" i="15"/>
  <c r="AO578" i="15"/>
  <c r="AM579" i="15"/>
  <c r="AN579" i="15"/>
  <c r="AO579" i="15"/>
  <c r="AM580" i="15"/>
  <c r="AN580" i="15"/>
  <c r="AO580" i="15"/>
  <c r="AM581" i="15"/>
  <c r="AN581" i="15"/>
  <c r="AO581" i="15"/>
  <c r="AM582" i="15"/>
  <c r="AN582" i="15"/>
  <c r="AO582" i="15"/>
  <c r="AM583" i="15"/>
  <c r="AN583" i="15"/>
  <c r="AO583" i="15"/>
  <c r="AM584" i="15"/>
  <c r="AN584" i="15"/>
  <c r="AO584" i="15"/>
  <c r="AM585" i="15"/>
  <c r="AN585" i="15"/>
  <c r="AO585" i="15"/>
  <c r="AM586" i="15"/>
  <c r="AN586" i="15"/>
  <c r="AO586" i="15"/>
  <c r="AM587" i="15"/>
  <c r="AN587" i="15"/>
  <c r="AO587" i="15"/>
  <c r="AM588" i="15"/>
  <c r="AN588" i="15"/>
  <c r="AO588" i="15"/>
  <c r="AM589" i="15"/>
  <c r="AN589" i="15"/>
  <c r="AO589" i="15"/>
  <c r="AM590" i="15"/>
  <c r="AN590" i="15"/>
  <c r="AO590" i="15"/>
  <c r="AM591" i="15"/>
  <c r="AN591" i="15"/>
  <c r="AO591" i="15"/>
  <c r="AM592" i="15"/>
  <c r="AN592" i="15"/>
  <c r="AO592" i="15"/>
  <c r="AM593" i="15"/>
  <c r="AN593" i="15"/>
  <c r="AO593" i="15"/>
  <c r="AM594" i="15"/>
  <c r="AN594" i="15"/>
  <c r="AO594" i="15"/>
  <c r="AM595" i="15"/>
  <c r="AN595" i="15"/>
  <c r="AO595" i="15"/>
  <c r="AM596" i="15"/>
  <c r="AN596" i="15"/>
  <c r="AO596" i="15"/>
  <c r="AM597" i="15"/>
  <c r="AN597" i="15"/>
  <c r="AO597" i="15"/>
  <c r="AM598" i="15"/>
  <c r="AN598" i="15"/>
  <c r="AO598" i="15"/>
  <c r="AM599" i="15"/>
  <c r="AN599" i="15"/>
  <c r="AO599" i="15"/>
  <c r="AM600" i="15"/>
  <c r="AN600" i="15"/>
  <c r="AO600" i="15"/>
  <c r="AM601" i="15"/>
  <c r="AN601" i="15"/>
  <c r="AO601" i="15"/>
  <c r="AM602" i="15"/>
  <c r="AN602" i="15"/>
  <c r="AO602" i="15"/>
  <c r="AM603" i="15"/>
  <c r="AN603" i="15"/>
  <c r="AO603" i="15"/>
  <c r="AM604" i="15"/>
  <c r="AN604" i="15"/>
  <c r="AO604" i="15"/>
  <c r="AM605" i="15"/>
  <c r="AN605" i="15"/>
  <c r="AO605" i="15"/>
  <c r="AM606" i="15"/>
  <c r="AN606" i="15"/>
  <c r="AO606" i="15"/>
  <c r="AM607" i="15"/>
  <c r="AN607" i="15"/>
  <c r="AO607" i="15"/>
  <c r="AM608" i="15"/>
  <c r="AN608" i="15"/>
  <c r="AO608" i="15"/>
  <c r="AM609" i="15"/>
  <c r="AN609" i="15"/>
  <c r="AO609" i="15"/>
  <c r="AM610" i="15"/>
  <c r="AN610" i="15"/>
  <c r="AO610" i="15"/>
  <c r="AM611" i="15"/>
  <c r="AN611" i="15"/>
  <c r="AO611" i="15"/>
  <c r="AM612" i="15"/>
  <c r="AN612" i="15"/>
  <c r="AO612" i="15"/>
  <c r="AM613" i="15"/>
  <c r="AN613" i="15"/>
  <c r="AO613" i="15"/>
  <c r="AM614" i="15"/>
  <c r="AN614" i="15"/>
  <c r="AO614" i="15"/>
  <c r="AM615" i="15"/>
  <c r="AN615" i="15"/>
  <c r="AO615" i="15"/>
  <c r="AM616" i="15"/>
  <c r="AN616" i="15"/>
  <c r="AO616" i="15"/>
  <c r="AM617" i="15"/>
  <c r="AN617" i="15"/>
  <c r="AO617" i="15"/>
  <c r="AM618" i="15"/>
  <c r="AN618" i="15"/>
  <c r="AO618" i="15"/>
  <c r="AM619" i="15"/>
  <c r="AN619" i="15"/>
  <c r="AO619" i="15"/>
  <c r="AM620" i="15"/>
  <c r="AN620" i="15"/>
  <c r="AO620" i="15"/>
  <c r="AM621" i="15"/>
  <c r="AN621" i="15"/>
  <c r="AO621" i="15"/>
  <c r="AM622" i="15"/>
  <c r="AN622" i="15"/>
  <c r="AO622" i="15"/>
  <c r="AM623" i="15"/>
  <c r="AN623" i="15"/>
  <c r="AO623" i="15"/>
  <c r="AM624" i="15"/>
  <c r="AN624" i="15"/>
  <c r="AO624" i="15"/>
  <c r="AM625" i="15"/>
  <c r="AN625" i="15"/>
  <c r="AO625" i="15"/>
  <c r="AM626" i="15"/>
  <c r="AN626" i="15"/>
  <c r="AO626" i="15"/>
  <c r="AM627" i="15"/>
  <c r="AN627" i="15"/>
  <c r="AO627" i="15"/>
  <c r="AM628" i="15"/>
  <c r="AN628" i="15"/>
  <c r="AO628" i="15"/>
  <c r="AM629" i="15"/>
  <c r="AN629" i="15"/>
  <c r="AO629" i="15"/>
  <c r="AM630" i="15"/>
  <c r="AN630" i="15"/>
  <c r="AO630" i="15"/>
  <c r="AM631" i="15"/>
  <c r="AN631" i="15"/>
  <c r="AO631" i="15"/>
  <c r="AM632" i="15"/>
  <c r="AN632" i="15"/>
  <c r="AO632" i="15"/>
  <c r="AM633" i="15"/>
  <c r="AN633" i="15"/>
  <c r="AO633" i="15"/>
  <c r="AM634" i="15"/>
  <c r="AN634" i="15"/>
  <c r="AO634" i="15"/>
  <c r="AM635" i="15"/>
  <c r="AN635" i="15"/>
  <c r="AO635" i="15"/>
  <c r="AM636" i="15"/>
  <c r="AN636" i="15"/>
  <c r="AO636" i="15"/>
  <c r="AM637" i="15"/>
  <c r="AN637" i="15"/>
  <c r="AO637" i="15"/>
  <c r="AM638" i="15"/>
  <c r="AN638" i="15"/>
  <c r="AO638" i="15"/>
  <c r="AM639" i="15"/>
  <c r="AN639" i="15"/>
  <c r="AO639" i="15"/>
  <c r="AM640" i="15"/>
  <c r="AN640" i="15"/>
  <c r="AO640" i="15"/>
  <c r="AM641" i="15"/>
  <c r="AN641" i="15"/>
  <c r="AO641" i="15"/>
  <c r="AM642" i="15"/>
  <c r="AN642" i="15"/>
  <c r="AO642" i="15"/>
  <c r="AM643" i="15"/>
  <c r="AN643" i="15"/>
  <c r="AO643" i="15"/>
  <c r="AM644" i="15"/>
  <c r="AN644" i="15"/>
  <c r="AO644" i="15"/>
  <c r="AM645" i="15"/>
  <c r="AN645" i="15"/>
  <c r="AO645" i="15"/>
  <c r="AM646" i="15"/>
  <c r="AN646" i="15"/>
  <c r="AO646" i="15"/>
  <c r="AM647" i="15"/>
  <c r="AN647" i="15"/>
  <c r="AO647" i="15"/>
  <c r="AM648" i="15"/>
  <c r="AN648" i="15"/>
  <c r="AO648" i="15"/>
  <c r="AM649" i="15"/>
  <c r="AN649" i="15"/>
  <c r="AO649" i="15"/>
  <c r="AM650" i="15"/>
  <c r="AN650" i="15"/>
  <c r="AO650" i="15"/>
  <c r="AM651" i="15"/>
  <c r="AN651" i="15"/>
  <c r="AO651" i="15"/>
  <c r="AM652" i="15"/>
  <c r="AN652" i="15"/>
  <c r="AO652" i="15"/>
  <c r="AM653" i="15"/>
  <c r="AN653" i="15"/>
  <c r="AO653" i="15"/>
  <c r="AM654" i="15"/>
  <c r="AN654" i="15"/>
  <c r="AO654" i="15"/>
  <c r="AM655" i="15"/>
  <c r="AN655" i="15"/>
  <c r="AO655" i="15"/>
  <c r="AM656" i="15"/>
  <c r="AN656" i="15"/>
  <c r="AO656" i="15"/>
  <c r="AM657" i="15"/>
  <c r="AN657" i="15"/>
  <c r="AO657" i="15"/>
  <c r="AM658" i="15"/>
  <c r="AN658" i="15"/>
  <c r="AO658" i="15"/>
  <c r="AM659" i="15"/>
  <c r="AN659" i="15"/>
  <c r="AO659" i="15"/>
  <c r="AM660" i="15"/>
  <c r="AN660" i="15"/>
  <c r="AO660" i="15"/>
  <c r="AM661" i="15"/>
  <c r="AN661" i="15"/>
  <c r="AO661" i="15"/>
  <c r="AM662" i="15"/>
  <c r="AN662" i="15"/>
  <c r="AO662" i="15"/>
  <c r="AM663" i="15"/>
  <c r="AN663" i="15"/>
  <c r="AO663" i="15"/>
  <c r="AM664" i="15"/>
  <c r="AN664" i="15"/>
  <c r="AO664" i="15"/>
  <c r="AM665" i="15"/>
  <c r="AN665" i="15"/>
  <c r="AO665" i="15"/>
  <c r="AM666" i="15"/>
  <c r="AN666" i="15"/>
  <c r="AO666" i="15"/>
  <c r="AM667" i="15"/>
  <c r="AN667" i="15"/>
  <c r="AO667" i="15"/>
  <c r="AM668" i="15"/>
  <c r="AN668" i="15"/>
  <c r="AO668" i="15"/>
  <c r="AM669" i="15"/>
  <c r="AN669" i="15"/>
  <c r="AO669" i="15"/>
  <c r="AM670" i="15"/>
  <c r="AN670" i="15"/>
  <c r="AO670" i="15"/>
  <c r="AM671" i="15"/>
  <c r="AN671" i="15"/>
  <c r="AO671" i="15"/>
  <c r="AM672" i="15"/>
  <c r="AN672" i="15"/>
  <c r="AO672" i="15"/>
  <c r="AM673" i="15"/>
  <c r="AN673" i="15"/>
  <c r="AO673" i="15"/>
  <c r="AM674" i="15"/>
  <c r="AN674" i="15"/>
  <c r="AO674" i="15"/>
  <c r="AM675" i="15"/>
  <c r="AN675" i="15"/>
  <c r="AO675" i="15"/>
  <c r="AM676" i="15"/>
  <c r="AN676" i="15"/>
  <c r="AO676" i="15"/>
  <c r="AM677" i="15"/>
  <c r="AN677" i="15"/>
  <c r="AO677" i="15"/>
  <c r="AM678" i="15"/>
  <c r="AN678" i="15"/>
  <c r="AO678" i="15"/>
  <c r="AM679" i="15"/>
  <c r="AN679" i="15"/>
  <c r="AO679" i="15"/>
  <c r="AM680" i="15"/>
  <c r="AN680" i="15"/>
  <c r="AO680" i="15"/>
  <c r="AM681" i="15"/>
  <c r="AN681" i="15"/>
  <c r="AO681" i="15"/>
  <c r="AM682" i="15"/>
  <c r="AN682" i="15"/>
  <c r="AO682" i="15"/>
  <c r="AM683" i="15"/>
  <c r="AN683" i="15"/>
  <c r="AO683" i="15"/>
  <c r="AM684" i="15"/>
  <c r="AN684" i="15"/>
  <c r="AO684" i="15"/>
  <c r="AM685" i="15"/>
  <c r="AN685" i="15"/>
  <c r="AO685" i="15"/>
  <c r="AM686" i="15"/>
  <c r="AN686" i="15"/>
  <c r="AO686" i="15"/>
  <c r="AM687" i="15"/>
  <c r="AN687" i="15"/>
  <c r="AO687" i="15"/>
  <c r="AM688" i="15"/>
  <c r="AN688" i="15"/>
  <c r="AO688" i="15"/>
  <c r="AM689" i="15"/>
  <c r="AN689" i="15"/>
  <c r="AO689" i="15"/>
  <c r="AM690" i="15"/>
  <c r="AN690" i="15"/>
  <c r="AO690" i="15"/>
  <c r="AM691" i="15"/>
  <c r="AN691" i="15"/>
  <c r="AO691" i="15"/>
  <c r="AM692" i="15"/>
  <c r="AN692" i="15"/>
  <c r="AO692" i="15"/>
  <c r="AM693" i="15"/>
  <c r="AN693" i="15"/>
  <c r="AO693" i="15"/>
  <c r="AM694" i="15"/>
  <c r="AN694" i="15"/>
  <c r="AO694" i="15"/>
  <c r="AM695" i="15"/>
  <c r="AN695" i="15"/>
  <c r="AO695" i="15"/>
  <c r="AM696" i="15"/>
  <c r="AN696" i="15"/>
  <c r="AO696" i="15"/>
  <c r="AM697" i="15"/>
  <c r="AN697" i="15"/>
  <c r="AO697" i="15"/>
  <c r="AM698" i="15"/>
  <c r="AN698" i="15"/>
  <c r="AO698" i="15"/>
  <c r="AM699" i="15"/>
  <c r="AN699" i="15"/>
  <c r="AO699" i="15"/>
  <c r="AM700" i="15"/>
  <c r="AN700" i="15"/>
  <c r="AO700" i="15"/>
  <c r="AM701" i="15"/>
  <c r="AN701" i="15"/>
  <c r="AO701" i="15"/>
  <c r="AM702" i="15"/>
  <c r="AN702" i="15"/>
  <c r="AO702" i="15"/>
  <c r="AM703" i="15"/>
  <c r="AN703" i="15"/>
  <c r="AO703" i="15"/>
  <c r="AM704" i="15"/>
  <c r="AN704" i="15"/>
  <c r="AO704" i="15"/>
  <c r="AM705" i="15"/>
  <c r="AN705" i="15"/>
  <c r="AO705" i="15"/>
  <c r="AM706" i="15"/>
  <c r="AN706" i="15"/>
  <c r="AO706" i="15"/>
  <c r="AM707" i="15"/>
  <c r="AN707" i="15"/>
  <c r="AO707" i="15"/>
  <c r="AM708" i="15"/>
  <c r="AN708" i="15"/>
  <c r="AO708" i="15"/>
  <c r="AM709" i="15"/>
  <c r="AN709" i="15"/>
  <c r="AO709" i="15"/>
  <c r="AM710" i="15"/>
  <c r="AN710" i="15"/>
  <c r="AO710" i="15"/>
  <c r="AM711" i="15"/>
  <c r="AN711" i="15"/>
  <c r="AO711" i="15"/>
  <c r="AM712" i="15"/>
  <c r="AN712" i="15"/>
  <c r="AO712" i="15"/>
  <c r="AM713" i="15"/>
  <c r="AN713" i="15"/>
  <c r="AO713" i="15"/>
  <c r="AM714" i="15"/>
  <c r="AN714" i="15"/>
  <c r="AO714" i="15"/>
  <c r="AM715" i="15"/>
  <c r="AN715" i="15"/>
  <c r="AO715" i="15"/>
  <c r="AM716" i="15"/>
  <c r="AN716" i="15"/>
  <c r="AO716" i="15"/>
  <c r="AM717" i="15"/>
  <c r="AN717" i="15"/>
  <c r="AO717" i="15"/>
  <c r="AM718" i="15"/>
  <c r="AN718" i="15"/>
  <c r="AO718" i="15"/>
  <c r="AM719" i="15"/>
  <c r="AN719" i="15"/>
  <c r="AO719" i="15"/>
  <c r="AM720" i="15"/>
  <c r="AN720" i="15"/>
  <c r="AO720" i="15"/>
  <c r="AM721" i="15"/>
  <c r="AN721" i="15"/>
  <c r="AO721" i="15"/>
  <c r="AM722" i="15"/>
  <c r="AN722" i="15"/>
  <c r="AO722" i="15"/>
  <c r="AM723" i="15"/>
  <c r="AN723" i="15"/>
  <c r="AO723" i="15"/>
  <c r="AM724" i="15"/>
  <c r="AN724" i="15"/>
  <c r="AO724" i="15"/>
  <c r="AM725" i="15"/>
  <c r="AN725" i="15"/>
  <c r="AO725" i="15"/>
  <c r="AM726" i="15"/>
  <c r="AN726" i="15"/>
  <c r="AO726" i="15"/>
  <c r="AM727" i="15"/>
  <c r="AN727" i="15"/>
  <c r="AO727" i="15"/>
  <c r="AM728" i="15"/>
  <c r="AN728" i="15"/>
  <c r="AO728" i="15"/>
  <c r="AM729" i="15"/>
  <c r="AN729" i="15"/>
  <c r="AO729" i="15"/>
  <c r="AM730" i="15"/>
  <c r="AN730" i="15"/>
  <c r="AO730" i="15"/>
  <c r="AM731" i="15"/>
  <c r="AN731" i="15"/>
  <c r="AO731" i="15"/>
  <c r="AM732" i="15"/>
  <c r="AN732" i="15"/>
  <c r="AO732" i="15"/>
  <c r="AM733" i="15"/>
  <c r="AN733" i="15"/>
  <c r="AO733" i="15"/>
  <c r="AM734" i="15"/>
  <c r="AN734" i="15"/>
  <c r="AO734" i="15"/>
  <c r="AM735" i="15"/>
  <c r="AN735" i="15"/>
  <c r="AO735" i="15"/>
  <c r="AM736" i="15"/>
  <c r="AN736" i="15"/>
  <c r="AO736" i="15"/>
  <c r="AM737" i="15"/>
  <c r="AN737" i="15"/>
  <c r="AO737" i="15"/>
  <c r="AM738" i="15"/>
  <c r="AN738" i="15"/>
  <c r="AO738" i="15"/>
  <c r="AM739" i="15"/>
  <c r="AN739" i="15"/>
  <c r="AO739" i="15"/>
  <c r="AM740" i="15"/>
  <c r="AN740" i="15"/>
  <c r="AO740" i="15"/>
  <c r="AM741" i="15"/>
  <c r="AN741" i="15"/>
  <c r="AO741" i="15"/>
  <c r="AM742" i="15"/>
  <c r="AN742" i="15"/>
  <c r="AO742" i="15"/>
  <c r="AM743" i="15"/>
  <c r="AN743" i="15"/>
  <c r="AO743" i="15"/>
  <c r="AM744" i="15"/>
  <c r="AN744" i="15"/>
  <c r="AO744" i="15"/>
  <c r="AM745" i="15"/>
  <c r="AN745" i="15"/>
  <c r="AO745" i="15"/>
  <c r="AM746" i="15"/>
  <c r="AN746" i="15"/>
  <c r="AO746" i="15"/>
  <c r="AM747" i="15"/>
  <c r="AN747" i="15"/>
  <c r="AO747" i="15"/>
  <c r="AM748" i="15"/>
  <c r="AN748" i="15"/>
  <c r="AO748" i="15"/>
  <c r="AM749" i="15"/>
  <c r="AN749" i="15"/>
  <c r="AO749" i="15"/>
  <c r="AM750" i="15"/>
  <c r="AN750" i="15"/>
  <c r="AO750" i="15"/>
  <c r="AM751" i="15"/>
  <c r="AN751" i="15"/>
  <c r="AO751" i="15"/>
  <c r="AM752" i="15"/>
  <c r="AN752" i="15"/>
  <c r="AO752" i="15"/>
  <c r="AM753" i="15"/>
  <c r="AN753" i="15"/>
  <c r="AO753" i="15"/>
  <c r="AM754" i="15"/>
  <c r="AN754" i="15"/>
  <c r="AO754" i="15"/>
  <c r="AM755" i="15"/>
  <c r="AN755" i="15"/>
  <c r="AO755" i="15"/>
  <c r="AM756" i="15"/>
  <c r="AN756" i="15"/>
  <c r="AO756" i="15"/>
  <c r="AM757" i="15"/>
  <c r="AN757" i="15"/>
  <c r="AO757" i="15"/>
  <c r="AM758" i="15"/>
  <c r="AN758" i="15"/>
  <c r="AO758" i="15"/>
  <c r="AM759" i="15"/>
  <c r="AN759" i="15"/>
  <c r="AO759" i="15"/>
  <c r="AM760" i="15"/>
  <c r="AN760" i="15"/>
  <c r="AO760" i="15"/>
  <c r="AM761" i="15"/>
  <c r="AN761" i="15"/>
  <c r="AO761" i="15"/>
  <c r="AM762" i="15"/>
  <c r="AN762" i="15"/>
  <c r="AO762" i="15"/>
  <c r="AM763" i="15"/>
  <c r="AN763" i="15"/>
  <c r="AO763" i="15"/>
  <c r="AM764" i="15"/>
  <c r="AN764" i="15"/>
  <c r="AO764" i="15"/>
  <c r="AM765" i="15"/>
  <c r="AN765" i="15"/>
  <c r="AO765" i="15"/>
  <c r="AM766" i="15"/>
  <c r="AN766" i="15"/>
  <c r="AO766" i="15"/>
  <c r="AM767" i="15"/>
  <c r="AN767" i="15"/>
  <c r="AO767" i="15"/>
  <c r="AM768" i="15"/>
  <c r="AN768" i="15"/>
  <c r="AO768" i="15"/>
  <c r="AM769" i="15"/>
  <c r="AN769" i="15"/>
  <c r="AO769" i="15"/>
  <c r="AM770" i="15"/>
  <c r="AN770" i="15"/>
  <c r="AO770" i="15"/>
  <c r="AM771" i="15"/>
  <c r="AN771" i="15"/>
  <c r="AO771" i="15"/>
  <c r="AM772" i="15"/>
  <c r="AN772" i="15"/>
  <c r="AO772" i="15"/>
  <c r="AM773" i="15"/>
  <c r="AN773" i="15"/>
  <c r="AO773" i="15"/>
  <c r="AM774" i="15"/>
  <c r="AN774" i="15"/>
  <c r="AO774" i="15"/>
  <c r="AM775" i="15"/>
  <c r="AN775" i="15"/>
  <c r="AO775" i="15"/>
  <c r="AM776" i="15"/>
  <c r="AN776" i="15"/>
  <c r="AO776" i="15"/>
  <c r="AM777" i="15"/>
  <c r="AN777" i="15"/>
  <c r="AO777" i="15"/>
  <c r="AM778" i="15"/>
  <c r="AN778" i="15"/>
  <c r="AO778" i="15"/>
  <c r="AM779" i="15"/>
  <c r="AN779" i="15"/>
  <c r="AO779" i="15"/>
  <c r="AM780" i="15"/>
  <c r="AN780" i="15"/>
  <c r="AO780" i="15"/>
  <c r="AM781" i="15"/>
  <c r="AN781" i="15"/>
  <c r="AO781" i="15"/>
  <c r="AM782" i="15"/>
  <c r="AN782" i="15"/>
  <c r="AO782" i="15"/>
  <c r="AM783" i="15"/>
  <c r="AN783" i="15"/>
  <c r="AO783" i="15"/>
  <c r="AM784" i="15"/>
  <c r="AN784" i="15"/>
  <c r="AO784" i="15"/>
  <c r="AM785" i="15"/>
  <c r="AN785" i="15"/>
  <c r="AO785" i="15"/>
  <c r="AM786" i="15"/>
  <c r="AN786" i="15"/>
  <c r="AO786" i="15"/>
  <c r="AM787" i="15"/>
  <c r="AN787" i="15"/>
  <c r="AO787" i="15"/>
  <c r="AM788" i="15"/>
  <c r="AN788" i="15"/>
  <c r="AO788" i="15"/>
  <c r="AM789" i="15"/>
  <c r="AN789" i="15"/>
  <c r="AO789" i="15"/>
  <c r="AM790" i="15"/>
  <c r="AN790" i="15"/>
  <c r="AO790" i="15"/>
  <c r="AM791" i="15"/>
  <c r="AN791" i="15"/>
  <c r="AO791" i="15"/>
  <c r="AM792" i="15"/>
  <c r="AN792" i="15"/>
  <c r="AO792" i="15"/>
  <c r="AM793" i="15"/>
  <c r="AN793" i="15"/>
  <c r="AO793" i="15"/>
  <c r="AM794" i="15"/>
  <c r="AN794" i="15"/>
  <c r="AO794" i="15"/>
  <c r="AM795" i="15"/>
  <c r="AN795" i="15"/>
  <c r="AO795" i="15"/>
  <c r="AM796" i="15"/>
  <c r="AN796" i="15"/>
  <c r="AO796" i="15"/>
  <c r="AM797" i="15"/>
  <c r="AN797" i="15"/>
  <c r="AO797" i="15"/>
  <c r="AM798" i="15"/>
  <c r="AN798" i="15"/>
  <c r="AO798" i="15"/>
  <c r="AM799" i="15"/>
  <c r="AN799" i="15"/>
  <c r="AO799" i="15"/>
  <c r="AM800" i="15"/>
  <c r="AN800" i="15"/>
  <c r="AO800" i="15"/>
  <c r="AM801" i="15"/>
  <c r="AN801" i="15"/>
  <c r="AO801" i="15"/>
  <c r="AM802" i="15"/>
  <c r="AN802" i="15"/>
  <c r="AO802" i="15"/>
  <c r="AM803" i="15"/>
  <c r="AN803" i="15"/>
  <c r="AO803" i="15"/>
  <c r="AM804" i="15"/>
  <c r="AN804" i="15"/>
  <c r="AO804" i="15"/>
  <c r="AM805" i="15"/>
  <c r="AN805" i="15"/>
  <c r="AO805" i="15"/>
  <c r="AM806" i="15"/>
  <c r="AN806" i="15"/>
  <c r="AO806" i="15"/>
  <c r="AM807" i="15"/>
  <c r="AN807" i="15"/>
  <c r="AO807" i="15"/>
  <c r="AM808" i="15"/>
  <c r="AN808" i="15"/>
  <c r="AO808" i="15"/>
  <c r="AM809" i="15"/>
  <c r="AN809" i="15"/>
  <c r="AO809" i="15"/>
  <c r="AM810" i="15"/>
  <c r="AN810" i="15"/>
  <c r="AO810" i="15"/>
  <c r="AM811" i="15"/>
  <c r="AN811" i="15"/>
  <c r="AO811" i="15"/>
  <c r="AM812" i="15"/>
  <c r="AN812" i="15"/>
  <c r="AO812" i="15"/>
  <c r="AM813" i="15"/>
  <c r="AN813" i="15"/>
  <c r="AO813" i="15"/>
  <c r="AM814" i="15"/>
  <c r="AN814" i="15"/>
  <c r="AO814" i="15"/>
  <c r="AM815" i="15"/>
  <c r="AN815" i="15"/>
  <c r="AO815" i="15"/>
  <c r="AM816" i="15"/>
  <c r="AN816" i="15"/>
  <c r="AO816" i="15"/>
  <c r="AM817" i="15"/>
  <c r="AN817" i="15"/>
  <c r="AO817" i="15"/>
  <c r="AM818" i="15"/>
  <c r="AN818" i="15"/>
  <c r="AO818" i="15"/>
  <c r="AM819" i="15"/>
  <c r="AN819" i="15"/>
  <c r="AO819" i="15"/>
  <c r="AM820" i="15"/>
  <c r="AN820" i="15"/>
  <c r="AO820" i="15"/>
  <c r="AM821" i="15"/>
  <c r="AN821" i="15"/>
  <c r="AO821" i="15"/>
  <c r="AM822" i="15"/>
  <c r="AN822" i="15"/>
  <c r="AO822" i="15"/>
  <c r="AM823" i="15"/>
  <c r="AN823" i="15"/>
  <c r="AO823" i="15"/>
  <c r="AM824" i="15"/>
  <c r="AN824" i="15"/>
  <c r="AO824" i="15"/>
  <c r="AM825" i="15"/>
  <c r="AN825" i="15"/>
  <c r="AO825" i="15"/>
  <c r="AM826" i="15"/>
  <c r="AN826" i="15"/>
  <c r="AO826" i="15"/>
  <c r="AM827" i="15"/>
  <c r="AN827" i="15"/>
  <c r="AO827" i="15"/>
  <c r="AM828" i="15"/>
  <c r="AN828" i="15"/>
  <c r="AO828" i="15"/>
  <c r="AM829" i="15"/>
  <c r="AN829" i="15"/>
  <c r="AO829" i="15"/>
  <c r="AM830" i="15"/>
  <c r="AN830" i="15"/>
  <c r="AO830" i="15"/>
  <c r="AM831" i="15"/>
  <c r="AN831" i="15"/>
  <c r="AO831" i="15"/>
  <c r="AM832" i="15"/>
  <c r="AN832" i="15"/>
  <c r="AO832" i="15"/>
  <c r="AM833" i="15"/>
  <c r="AN833" i="15"/>
  <c r="AO833" i="15"/>
  <c r="AM834" i="15"/>
  <c r="AN834" i="15"/>
  <c r="AO834" i="15"/>
  <c r="AM835" i="15"/>
  <c r="AN835" i="15"/>
  <c r="AO835" i="15"/>
  <c r="AM836" i="15"/>
  <c r="AN836" i="15"/>
  <c r="AO836" i="15"/>
  <c r="AM837" i="15"/>
  <c r="AN837" i="15"/>
  <c r="AO837" i="15"/>
  <c r="AM838" i="15"/>
  <c r="AN838" i="15"/>
  <c r="AO838" i="15"/>
  <c r="AM839" i="15"/>
  <c r="AN839" i="15"/>
  <c r="AO839" i="15"/>
  <c r="AM840" i="15"/>
  <c r="AN840" i="15"/>
  <c r="AO840" i="15"/>
  <c r="AM841" i="15"/>
  <c r="AN841" i="15"/>
  <c r="AO841" i="15"/>
  <c r="AM842" i="15"/>
  <c r="AN842" i="15"/>
  <c r="AO842" i="15"/>
  <c r="AM843" i="15"/>
  <c r="AN843" i="15"/>
  <c r="AO843" i="15"/>
  <c r="AM844" i="15"/>
  <c r="AN844" i="15"/>
  <c r="AO844" i="15"/>
  <c r="AM845" i="15"/>
  <c r="AN845" i="15"/>
  <c r="AO845" i="15"/>
  <c r="AM846" i="15"/>
  <c r="AN846" i="15"/>
  <c r="AO846" i="15"/>
  <c r="AM847" i="15"/>
  <c r="AN847" i="15"/>
  <c r="AO847" i="15"/>
  <c r="AM848" i="15"/>
  <c r="AN848" i="15"/>
  <c r="AO848" i="15"/>
  <c r="AM849" i="15"/>
  <c r="AN849" i="15"/>
  <c r="AO849" i="15"/>
  <c r="AM850" i="15"/>
  <c r="AN850" i="15"/>
  <c r="AO850" i="15"/>
  <c r="AM851" i="15"/>
  <c r="AN851" i="15"/>
  <c r="AO851" i="15"/>
  <c r="AM852" i="15"/>
  <c r="AN852" i="15"/>
  <c r="AO852" i="15"/>
  <c r="AM853" i="15"/>
  <c r="AN853" i="15"/>
  <c r="AO853" i="15"/>
  <c r="AM854" i="15"/>
  <c r="AN854" i="15"/>
  <c r="AO854" i="15"/>
  <c r="AM855" i="15"/>
  <c r="AN855" i="15"/>
  <c r="AO855" i="15"/>
  <c r="AM856" i="15"/>
  <c r="AN856" i="15"/>
  <c r="AO856" i="15"/>
  <c r="AM857" i="15"/>
  <c r="AN857" i="15"/>
  <c r="AO857" i="15"/>
  <c r="AM858" i="15"/>
  <c r="AN858" i="15"/>
  <c r="AO858" i="15"/>
  <c r="AM859" i="15"/>
  <c r="AN859" i="15"/>
  <c r="AO859" i="15"/>
  <c r="AM860" i="15"/>
  <c r="AN860" i="15"/>
  <c r="AO860" i="15"/>
  <c r="AM861" i="15"/>
  <c r="AN861" i="15"/>
  <c r="AO861" i="15"/>
  <c r="AM862" i="15"/>
  <c r="AN862" i="15"/>
  <c r="AO862" i="15"/>
  <c r="AM863" i="15"/>
  <c r="AN863" i="15"/>
  <c r="AO863" i="15"/>
  <c r="AM864" i="15"/>
  <c r="AN864" i="15"/>
  <c r="AO864" i="15"/>
  <c r="AM865" i="15"/>
  <c r="AN865" i="15"/>
  <c r="AO865" i="15"/>
  <c r="AM866" i="15"/>
  <c r="AN866" i="15"/>
  <c r="AO866" i="15"/>
  <c r="AM867" i="15"/>
  <c r="AN867" i="15"/>
  <c r="AO867" i="15"/>
  <c r="AM868" i="15"/>
  <c r="AN868" i="15"/>
  <c r="AO868" i="15"/>
  <c r="AM869" i="15"/>
  <c r="AN869" i="15"/>
  <c r="AO869" i="15"/>
  <c r="AM870" i="15"/>
  <c r="AN870" i="15"/>
  <c r="AO870" i="15"/>
  <c r="AM871" i="15"/>
  <c r="AN871" i="15"/>
  <c r="AO871" i="15"/>
  <c r="AM872" i="15"/>
  <c r="AN872" i="15"/>
  <c r="AO872" i="15"/>
  <c r="AM873" i="15"/>
  <c r="AN873" i="15"/>
  <c r="AO873" i="15"/>
  <c r="AM874" i="15"/>
  <c r="AN874" i="15"/>
  <c r="AO874" i="15"/>
  <c r="AM875" i="15"/>
  <c r="AN875" i="15"/>
  <c r="AO875" i="15"/>
  <c r="AM876" i="15"/>
  <c r="AN876" i="15"/>
  <c r="AO876" i="15"/>
  <c r="AM877" i="15"/>
  <c r="AN877" i="15"/>
  <c r="AO877" i="15"/>
  <c r="AM878" i="15"/>
  <c r="AN878" i="15"/>
  <c r="AO878" i="15"/>
  <c r="AM879" i="15"/>
  <c r="AN879" i="15"/>
  <c r="AO879" i="15"/>
  <c r="AM880" i="15"/>
  <c r="AN880" i="15"/>
  <c r="AO880" i="15"/>
  <c r="AM881" i="15"/>
  <c r="AN881" i="15"/>
  <c r="AO881" i="15"/>
  <c r="AM882" i="15"/>
  <c r="AN882" i="15"/>
  <c r="AO882" i="15"/>
  <c r="AM883" i="15"/>
  <c r="AN883" i="15"/>
  <c r="AO883" i="15"/>
  <c r="AM884" i="15"/>
  <c r="AN884" i="15"/>
  <c r="AO884" i="15"/>
  <c r="AM885" i="15"/>
  <c r="AN885" i="15"/>
  <c r="AO885" i="15"/>
  <c r="AM886" i="15"/>
  <c r="AN886" i="15"/>
  <c r="AO886" i="15"/>
  <c r="AM887" i="15"/>
  <c r="AN887" i="15"/>
  <c r="AO887" i="15"/>
  <c r="AM888" i="15"/>
  <c r="AN888" i="15"/>
  <c r="AO888" i="15"/>
  <c r="AM889" i="15"/>
  <c r="AN889" i="15"/>
  <c r="AO889" i="15"/>
  <c r="AM890" i="15"/>
  <c r="AN890" i="15"/>
  <c r="AO890" i="15"/>
  <c r="AM891" i="15"/>
  <c r="AN891" i="15"/>
  <c r="AO891" i="15"/>
  <c r="AM892" i="15"/>
  <c r="AN892" i="15"/>
  <c r="AO892" i="15"/>
  <c r="AM893" i="15"/>
  <c r="AN893" i="15"/>
  <c r="AO893" i="15"/>
  <c r="AM894" i="15"/>
  <c r="AN894" i="15"/>
  <c r="AO894" i="15"/>
  <c r="AM895" i="15"/>
  <c r="AN895" i="15"/>
  <c r="AO895" i="15"/>
  <c r="AM896" i="15"/>
  <c r="AN896" i="15"/>
  <c r="AO896" i="15"/>
  <c r="AM897" i="15"/>
  <c r="AN897" i="15"/>
  <c r="AO897" i="15"/>
  <c r="AM898" i="15"/>
  <c r="AN898" i="15"/>
  <c r="AO898" i="15"/>
  <c r="AM899" i="15"/>
  <c r="AN899" i="15"/>
  <c r="AO899" i="15"/>
  <c r="AM900" i="15"/>
  <c r="AN900" i="15"/>
  <c r="AO900" i="15"/>
  <c r="AM901" i="15"/>
  <c r="AN901" i="15"/>
  <c r="AO901" i="15"/>
  <c r="AM902" i="15"/>
  <c r="AN902" i="15"/>
  <c r="AO902" i="15"/>
  <c r="AM903" i="15"/>
  <c r="AN903" i="15"/>
  <c r="AO903" i="15"/>
  <c r="AM904" i="15"/>
  <c r="AN904" i="15"/>
  <c r="AO904" i="15"/>
  <c r="AM905" i="15"/>
  <c r="AN905" i="15"/>
  <c r="AO905" i="15"/>
  <c r="AM906" i="15"/>
  <c r="AN906" i="15"/>
  <c r="AO906" i="15"/>
  <c r="AM907" i="15"/>
  <c r="AN907" i="15"/>
  <c r="AO907" i="15"/>
  <c r="AM908" i="15"/>
  <c r="AN908" i="15"/>
  <c r="AO908" i="15"/>
  <c r="AM909" i="15"/>
  <c r="AN909" i="15"/>
  <c r="AO909" i="15"/>
  <c r="AM910" i="15"/>
  <c r="AN910" i="15"/>
  <c r="AO910" i="15"/>
  <c r="AM911" i="15"/>
  <c r="AN911" i="15"/>
  <c r="AO911" i="15"/>
  <c r="AM912" i="15"/>
  <c r="AN912" i="15"/>
  <c r="AO912" i="15"/>
  <c r="AM913" i="15"/>
  <c r="AN913" i="15"/>
  <c r="AO913" i="15"/>
  <c r="AM914" i="15"/>
  <c r="AN914" i="15"/>
  <c r="AO914" i="15"/>
  <c r="AM915" i="15"/>
  <c r="AN915" i="15"/>
  <c r="AO915" i="15"/>
  <c r="AM916" i="15"/>
  <c r="AN916" i="15"/>
  <c r="AO916" i="15"/>
  <c r="AM917" i="15"/>
  <c r="AN917" i="15"/>
  <c r="AO917" i="15"/>
  <c r="AM918" i="15"/>
  <c r="AN918" i="15"/>
  <c r="AO918" i="15"/>
  <c r="AM919" i="15"/>
  <c r="AN919" i="15"/>
  <c r="AO919" i="15"/>
  <c r="AM920" i="15"/>
  <c r="AN920" i="15"/>
  <c r="AO920" i="15"/>
  <c r="AM921" i="15"/>
  <c r="AN921" i="15"/>
  <c r="AO921" i="15"/>
  <c r="AM922" i="15"/>
  <c r="AN922" i="15"/>
  <c r="AO922" i="15"/>
  <c r="AM923" i="15"/>
  <c r="AN923" i="15"/>
  <c r="AO923" i="15"/>
  <c r="AM924" i="15"/>
  <c r="AN924" i="15"/>
  <c r="AO924" i="15"/>
  <c r="AM925" i="15"/>
  <c r="AN925" i="15"/>
  <c r="AO925" i="15"/>
  <c r="AM926" i="15"/>
  <c r="AN926" i="15"/>
  <c r="AO926" i="15"/>
  <c r="AM927" i="15"/>
  <c r="AN927" i="15"/>
  <c r="AO927" i="15"/>
  <c r="AM928" i="15"/>
  <c r="AN928" i="15"/>
  <c r="AO928" i="15"/>
  <c r="AM929" i="15"/>
  <c r="AN929" i="15"/>
  <c r="AO929" i="15"/>
  <c r="AM930" i="15"/>
  <c r="AN930" i="15"/>
  <c r="AO930" i="15"/>
  <c r="AM931" i="15"/>
  <c r="AN931" i="15"/>
  <c r="AO931" i="15"/>
  <c r="AM932" i="15"/>
  <c r="AN932" i="15"/>
  <c r="AO932" i="15"/>
  <c r="AM933" i="15"/>
  <c r="AN933" i="15"/>
  <c r="AO933" i="15"/>
  <c r="AM934" i="15"/>
  <c r="AN934" i="15"/>
  <c r="AO934" i="15"/>
  <c r="AM935" i="15"/>
  <c r="AN935" i="15"/>
  <c r="AO935" i="15"/>
  <c r="AM936" i="15"/>
  <c r="AN936" i="15"/>
  <c r="AO936" i="15"/>
  <c r="AM937" i="15"/>
  <c r="AN937" i="15"/>
  <c r="AO937" i="15"/>
  <c r="AM938" i="15"/>
  <c r="AN938" i="15"/>
  <c r="AO938" i="15"/>
  <c r="AM939" i="15"/>
  <c r="AN939" i="15"/>
  <c r="AO939" i="15"/>
  <c r="AM940" i="15"/>
  <c r="AN940" i="15"/>
  <c r="AO940" i="15"/>
  <c r="AM941" i="15"/>
  <c r="AN941" i="15"/>
  <c r="AO941" i="15"/>
  <c r="AM942" i="15"/>
  <c r="AN942" i="15"/>
  <c r="AO942" i="15"/>
  <c r="AM943" i="15"/>
  <c r="AN943" i="15"/>
  <c r="AO943" i="15"/>
  <c r="AM944" i="15"/>
  <c r="AN944" i="15"/>
  <c r="AO944" i="15"/>
  <c r="AM945" i="15"/>
  <c r="AN945" i="15"/>
  <c r="AO945" i="15"/>
  <c r="AM946" i="15"/>
  <c r="AN946" i="15"/>
  <c r="AO946" i="15"/>
  <c r="AM947" i="15"/>
  <c r="AN947" i="15"/>
  <c r="AO947" i="15"/>
  <c r="AM948" i="15"/>
  <c r="AN948" i="15"/>
  <c r="AO948" i="15"/>
  <c r="AM949" i="15"/>
  <c r="AN949" i="15"/>
  <c r="AO949" i="15"/>
  <c r="AM950" i="15"/>
  <c r="AN950" i="15"/>
  <c r="AO950" i="15"/>
  <c r="AM951" i="15"/>
  <c r="AN951" i="15"/>
  <c r="AO951" i="15"/>
  <c r="AM952" i="15"/>
  <c r="AN952" i="15"/>
  <c r="AO952" i="15"/>
  <c r="AM953" i="15"/>
  <c r="AN953" i="15"/>
  <c r="AO953" i="15"/>
  <c r="AM954" i="15"/>
  <c r="AN954" i="15"/>
  <c r="AO954" i="15"/>
  <c r="AM955" i="15"/>
  <c r="AN955" i="15"/>
  <c r="AO955" i="15"/>
  <c r="AM956" i="15"/>
  <c r="AN956" i="15"/>
  <c r="AO956" i="15"/>
  <c r="AM957" i="15"/>
  <c r="AN957" i="15"/>
  <c r="AO957" i="15"/>
  <c r="AM958" i="15"/>
  <c r="AN958" i="15"/>
  <c r="AO958" i="15"/>
  <c r="AM959" i="15"/>
  <c r="AN959" i="15"/>
  <c r="AO959" i="15"/>
  <c r="AM960" i="15"/>
  <c r="AN960" i="15"/>
  <c r="AO960" i="15"/>
  <c r="AM961" i="15"/>
  <c r="AN961" i="15"/>
  <c r="AO961" i="15"/>
  <c r="AM962" i="15"/>
  <c r="AN962" i="15"/>
  <c r="AO962" i="15"/>
  <c r="AM963" i="15"/>
  <c r="AN963" i="15"/>
  <c r="AO963" i="15"/>
  <c r="AM964" i="15"/>
  <c r="AN964" i="15"/>
  <c r="AO964" i="15"/>
  <c r="AM965" i="15"/>
  <c r="AN965" i="15"/>
  <c r="AO965" i="15"/>
  <c r="AM966" i="15"/>
  <c r="AN966" i="15"/>
  <c r="AO966" i="15"/>
  <c r="AM967" i="15"/>
  <c r="AN967" i="15"/>
  <c r="AO967" i="15"/>
  <c r="AM968" i="15"/>
  <c r="AN968" i="15"/>
  <c r="AO968" i="15"/>
  <c r="AM969" i="15"/>
  <c r="AN969" i="15"/>
  <c r="AO969" i="15"/>
  <c r="AM970" i="15"/>
  <c r="AN970" i="15"/>
  <c r="AO970" i="15"/>
  <c r="AM971" i="15"/>
  <c r="AN971" i="15"/>
  <c r="AO971" i="15"/>
  <c r="AM972" i="15"/>
  <c r="AN972" i="15"/>
  <c r="AO972" i="15"/>
  <c r="AM973" i="15"/>
  <c r="AN973" i="15"/>
  <c r="AO973" i="15"/>
  <c r="AM974" i="15"/>
  <c r="AN974" i="15"/>
  <c r="AO974" i="15"/>
  <c r="AM975" i="15"/>
  <c r="AN975" i="15"/>
  <c r="AO975" i="15"/>
  <c r="AM976" i="15"/>
  <c r="AN976" i="15"/>
  <c r="AO976" i="15"/>
  <c r="AM977" i="15"/>
  <c r="AN977" i="15"/>
  <c r="AO977" i="15"/>
  <c r="AM978" i="15"/>
  <c r="AN978" i="15"/>
  <c r="AO978" i="15"/>
  <c r="AM979" i="15"/>
  <c r="AN979" i="15"/>
  <c r="AO979" i="15"/>
  <c r="AM980" i="15"/>
  <c r="AN980" i="15"/>
  <c r="AO980" i="15"/>
  <c r="AM981" i="15"/>
  <c r="AN981" i="15"/>
  <c r="AO981" i="15"/>
  <c r="AM982" i="15"/>
  <c r="AN982" i="15"/>
  <c r="AO982" i="15"/>
  <c r="AM983" i="15"/>
  <c r="AN983" i="15"/>
  <c r="AO983" i="15"/>
  <c r="AM984" i="15"/>
  <c r="AN984" i="15"/>
  <c r="AO984" i="15"/>
  <c r="AM985" i="15"/>
  <c r="AN985" i="15"/>
  <c r="AO985" i="15"/>
  <c r="AM986" i="15"/>
  <c r="AN986" i="15"/>
  <c r="AO986" i="15"/>
  <c r="AM987" i="15"/>
  <c r="AN987" i="15"/>
  <c r="AO987" i="15"/>
  <c r="AM988" i="15"/>
  <c r="AN988" i="15"/>
  <c r="AO988" i="15"/>
  <c r="AM989" i="15"/>
  <c r="AN989" i="15"/>
  <c r="AO989" i="15"/>
  <c r="AM990" i="15"/>
  <c r="AN990" i="15"/>
  <c r="AO990" i="15"/>
  <c r="AM991" i="15"/>
  <c r="AN991" i="15"/>
  <c r="AO991" i="15"/>
  <c r="AM992" i="15"/>
  <c r="AN992" i="15"/>
  <c r="AO992" i="15"/>
  <c r="AM993" i="15"/>
  <c r="AN993" i="15"/>
  <c r="AO993" i="15"/>
  <c r="AM994" i="15"/>
  <c r="AN994" i="15"/>
  <c r="AO994" i="15"/>
  <c r="AM995" i="15"/>
  <c r="AN995" i="15"/>
  <c r="AO995" i="15"/>
  <c r="AM996" i="15"/>
  <c r="AN996" i="15"/>
  <c r="AO996" i="15"/>
  <c r="AM997" i="15"/>
  <c r="AN997" i="15"/>
  <c r="AO997" i="15"/>
  <c r="AM998" i="15"/>
  <c r="AN998" i="15"/>
  <c r="AO998" i="15"/>
  <c r="AM999" i="15"/>
  <c r="AN999" i="15"/>
  <c r="AO999" i="15"/>
  <c r="AM1000" i="15"/>
  <c r="AN1000" i="15"/>
  <c r="AO1000" i="15"/>
  <c r="AM1001" i="15"/>
  <c r="AN1001" i="15"/>
  <c r="AO1001" i="15"/>
  <c r="AM1002" i="15"/>
  <c r="AN1002" i="15"/>
  <c r="AO1002" i="15"/>
  <c r="AM1003" i="15"/>
  <c r="AN1003" i="15"/>
  <c r="AO1003" i="15"/>
  <c r="AM1004" i="15"/>
  <c r="AN1004" i="15"/>
  <c r="AO1004" i="15"/>
  <c r="AM1005" i="15"/>
  <c r="AN1005" i="15"/>
  <c r="AO1005" i="15"/>
  <c r="AM1006" i="15"/>
  <c r="AN1006" i="15"/>
  <c r="AO1006" i="15"/>
  <c r="AM1007" i="15"/>
  <c r="AN1007" i="15"/>
  <c r="AO1007" i="15"/>
  <c r="AM1008" i="15"/>
  <c r="AN1008" i="15"/>
  <c r="AO1008" i="15"/>
  <c r="AM1009" i="15"/>
  <c r="AN1009" i="15"/>
  <c r="AO1009" i="15"/>
  <c r="AM1010" i="15"/>
  <c r="AN1010" i="15"/>
  <c r="AO1010" i="15"/>
  <c r="AM1011" i="15"/>
  <c r="AN1011" i="15"/>
  <c r="AO1011" i="15"/>
  <c r="AM1012" i="15"/>
  <c r="AN1012" i="15"/>
  <c r="AO1012" i="15"/>
  <c r="AM1013" i="15"/>
  <c r="AN1013" i="15"/>
  <c r="AO1013" i="15"/>
  <c r="AM1014" i="15"/>
  <c r="AN1014" i="15"/>
  <c r="AO1014" i="15"/>
  <c r="AM1015" i="15"/>
  <c r="AN1015" i="15"/>
  <c r="AO1015" i="15"/>
  <c r="AM1016" i="15"/>
  <c r="AN1016" i="15"/>
  <c r="AO1016" i="15"/>
  <c r="AM1017" i="15"/>
  <c r="AN1017" i="15"/>
  <c r="AO1017" i="15"/>
  <c r="AM1018" i="15"/>
  <c r="AN1018" i="15"/>
  <c r="AO1018" i="15"/>
  <c r="AM1019" i="15"/>
  <c r="AN1019" i="15"/>
  <c r="AO1019" i="15"/>
  <c r="AM1020" i="15"/>
  <c r="AN1020" i="15"/>
  <c r="AO1020" i="15"/>
  <c r="AM1021" i="15"/>
  <c r="AN1021" i="15"/>
  <c r="AO1021" i="15"/>
  <c r="AM1022" i="15"/>
  <c r="AN1022" i="15"/>
  <c r="AO1022" i="15"/>
  <c r="AM1023" i="15"/>
  <c r="AN1023" i="15"/>
  <c r="AO1023" i="15"/>
  <c r="AM1024" i="15"/>
  <c r="AN1024" i="15"/>
  <c r="AO1024" i="15"/>
  <c r="AM1025" i="15"/>
  <c r="AN1025" i="15"/>
  <c r="AO1025" i="15"/>
  <c r="AM1026" i="15"/>
  <c r="AN1026" i="15"/>
  <c r="AO1026" i="15"/>
  <c r="AM1027" i="15"/>
  <c r="AN1027" i="15"/>
  <c r="AO1027" i="15"/>
  <c r="AM1028" i="15"/>
  <c r="AN1028" i="15"/>
  <c r="AO1028" i="15"/>
  <c r="AM1029" i="15"/>
  <c r="AN1029" i="15"/>
  <c r="AO1029" i="15"/>
  <c r="AM1030" i="15"/>
  <c r="AN1030" i="15"/>
  <c r="AO1030" i="15"/>
  <c r="AM1031" i="15"/>
  <c r="AN1031" i="15"/>
  <c r="AO1031" i="15"/>
  <c r="AM1032" i="15"/>
  <c r="AN1032" i="15"/>
  <c r="AO1032" i="15"/>
  <c r="AM1033" i="15"/>
  <c r="AN1033" i="15"/>
  <c r="AO1033" i="15"/>
  <c r="AM1034" i="15"/>
  <c r="AN1034" i="15"/>
  <c r="AO1034" i="15"/>
  <c r="AM1035" i="15"/>
  <c r="AN1035" i="15"/>
  <c r="AO1035" i="15"/>
  <c r="AM1036" i="15"/>
  <c r="AN1036" i="15"/>
  <c r="AO1036" i="15"/>
  <c r="AM1037" i="15"/>
  <c r="AN1037" i="15"/>
  <c r="AO1037" i="15"/>
  <c r="AM1038" i="15"/>
  <c r="AN1038" i="15"/>
  <c r="AO1038" i="15"/>
  <c r="AM1039" i="15"/>
  <c r="AN1039" i="15"/>
  <c r="AO1039" i="15"/>
  <c r="AM1040" i="15"/>
  <c r="AN1040" i="15"/>
  <c r="AO1040" i="15"/>
  <c r="AM1041" i="15"/>
  <c r="AN1041" i="15"/>
  <c r="AO1041" i="15"/>
  <c r="AM1042" i="15"/>
  <c r="AN1042" i="15"/>
  <c r="AO1042" i="15"/>
  <c r="AM1043" i="15"/>
  <c r="AN1043" i="15"/>
  <c r="AO1043" i="15"/>
  <c r="AM1044" i="15"/>
  <c r="AN1044" i="15"/>
  <c r="AO1044" i="15"/>
  <c r="AM1045" i="15"/>
  <c r="AN1045" i="15"/>
  <c r="AO1045" i="15"/>
  <c r="AM1046" i="15"/>
  <c r="AN1046" i="15"/>
  <c r="AO1046" i="15"/>
  <c r="AM1047" i="15"/>
  <c r="AN1047" i="15"/>
  <c r="AO1047" i="15"/>
  <c r="AM1048" i="15"/>
  <c r="AN1048" i="15"/>
  <c r="AO1048" i="15"/>
  <c r="AM1049" i="15"/>
  <c r="AN1049" i="15"/>
  <c r="AO1049" i="15"/>
  <c r="AM1050" i="15"/>
  <c r="AN1050" i="15"/>
  <c r="AO1050" i="15"/>
  <c r="AM1051" i="15"/>
  <c r="AN1051" i="15"/>
  <c r="AO1051" i="15"/>
  <c r="AM1052" i="15"/>
  <c r="AN1052" i="15"/>
  <c r="AO1052" i="15"/>
  <c r="AM1053" i="15"/>
  <c r="AN1053" i="15"/>
  <c r="AO1053" i="15"/>
  <c r="AM1054" i="15"/>
  <c r="AN1054" i="15"/>
  <c r="AO1054" i="15"/>
  <c r="AM1055" i="15"/>
  <c r="AN1055" i="15"/>
  <c r="AO1055" i="15"/>
  <c r="AM1056" i="15"/>
  <c r="AN1056" i="15"/>
  <c r="AO1056" i="15"/>
  <c r="AM1057" i="15"/>
  <c r="AN1057" i="15"/>
  <c r="AO1057" i="15"/>
  <c r="AM1058" i="15"/>
  <c r="AN1058" i="15"/>
  <c r="AO1058" i="15"/>
  <c r="AM1059" i="15"/>
  <c r="AN1059" i="15"/>
  <c r="AO1059" i="15"/>
  <c r="AM1060" i="15"/>
  <c r="AN1060" i="15"/>
  <c r="AO1060" i="15"/>
  <c r="AM1061" i="15"/>
  <c r="AN1061" i="15"/>
  <c r="AO1061" i="15"/>
  <c r="AM1062" i="15"/>
  <c r="AN1062" i="15"/>
  <c r="AO1062" i="15"/>
  <c r="AM1063" i="15"/>
  <c r="AN1063" i="15"/>
  <c r="AO1063" i="15"/>
  <c r="AM1064" i="15"/>
  <c r="AN1064" i="15"/>
  <c r="AO1064" i="15"/>
  <c r="AM1065" i="15"/>
  <c r="AN1065" i="15"/>
  <c r="AO1065" i="15"/>
  <c r="AM1066" i="15"/>
  <c r="AN1066" i="15"/>
  <c r="AO1066" i="15"/>
  <c r="AM1067" i="15"/>
  <c r="AN1067" i="15"/>
  <c r="AO1067" i="15"/>
  <c r="AM1068" i="15"/>
  <c r="AN1068" i="15"/>
  <c r="AO1068" i="15"/>
  <c r="AM1069" i="15"/>
  <c r="AN1069" i="15"/>
  <c r="AO1069" i="15"/>
  <c r="AM1070" i="15"/>
  <c r="AN1070" i="15"/>
  <c r="AO1070" i="15"/>
  <c r="AM1071" i="15"/>
  <c r="AN1071" i="15"/>
  <c r="AO1071" i="15"/>
  <c r="AM1072" i="15"/>
  <c r="AN1072" i="15"/>
  <c r="AO1072" i="15"/>
  <c r="AM1073" i="15"/>
  <c r="AN1073" i="15"/>
  <c r="AO1073" i="15"/>
  <c r="AM1074" i="15"/>
  <c r="AN1074" i="15"/>
  <c r="AO1074" i="15"/>
  <c r="AM1075" i="15"/>
  <c r="AN1075" i="15"/>
  <c r="AO1075" i="15"/>
  <c r="AM1076" i="15"/>
  <c r="AN1076" i="15"/>
  <c r="AO1076" i="15"/>
  <c r="AM1077" i="15"/>
  <c r="AN1077" i="15"/>
  <c r="AO1077" i="15"/>
  <c r="AM1078" i="15"/>
  <c r="AN1078" i="15"/>
  <c r="AO1078" i="15"/>
  <c r="AM1079" i="15"/>
  <c r="AN1079" i="15"/>
  <c r="AO1079" i="15"/>
  <c r="AM1080" i="15"/>
  <c r="AN1080" i="15"/>
  <c r="AO1080" i="15"/>
  <c r="AM1081" i="15"/>
  <c r="AN1081" i="15"/>
  <c r="AO1081" i="15"/>
  <c r="AM1082" i="15"/>
  <c r="AN1082" i="15"/>
  <c r="AO1082" i="15"/>
  <c r="AM1083" i="15"/>
  <c r="AN1083" i="15"/>
  <c r="AO1083" i="15"/>
  <c r="AM1084" i="15"/>
  <c r="AN1084" i="15"/>
  <c r="AO1084" i="15"/>
  <c r="AM1085" i="15"/>
  <c r="AN1085" i="15"/>
  <c r="AO1085" i="15"/>
  <c r="AM1086" i="15"/>
  <c r="AN1086" i="15"/>
  <c r="AO1086" i="15"/>
  <c r="AM1087" i="15"/>
  <c r="AN1087" i="15"/>
  <c r="AO1087" i="15"/>
  <c r="AM1088" i="15"/>
  <c r="AN1088" i="15"/>
  <c r="AO1088" i="15"/>
  <c r="AM1089" i="15"/>
  <c r="AN1089" i="15"/>
  <c r="AO1089" i="15"/>
  <c r="AM1090" i="15"/>
  <c r="AN1090" i="15"/>
  <c r="AO1090" i="15"/>
  <c r="AM1091" i="15"/>
  <c r="AN1091" i="15"/>
  <c r="AO1091" i="15"/>
  <c r="AM1092" i="15"/>
  <c r="AN1092" i="15"/>
  <c r="AO1092" i="15"/>
  <c r="AM1093" i="15"/>
  <c r="AN1093" i="15"/>
  <c r="AO1093" i="15"/>
  <c r="AM1094" i="15"/>
  <c r="AN1094" i="15"/>
  <c r="AO1094" i="15"/>
  <c r="AM1095" i="15"/>
  <c r="AN1095" i="15"/>
  <c r="AO1095" i="15"/>
  <c r="AM1096" i="15"/>
  <c r="AN1096" i="15"/>
  <c r="AO1096" i="15"/>
  <c r="AM1097" i="15"/>
  <c r="AN1097" i="15"/>
  <c r="AO1097" i="15"/>
  <c r="AM1098" i="15"/>
  <c r="AN1098" i="15"/>
  <c r="AO1098" i="15"/>
  <c r="AM1099" i="15"/>
  <c r="AN1099" i="15"/>
  <c r="AO1099" i="15"/>
  <c r="AM1100" i="15"/>
  <c r="AN1100" i="15"/>
  <c r="AO1100" i="15"/>
  <c r="AM1101" i="15"/>
  <c r="AN1101" i="15"/>
  <c r="AO1101" i="15"/>
  <c r="AM1102" i="15"/>
  <c r="AN1102" i="15"/>
  <c r="AO1102" i="15"/>
  <c r="AM1103" i="15"/>
  <c r="AN1103" i="15"/>
  <c r="AO1103" i="15"/>
  <c r="AM1104" i="15"/>
  <c r="AN1104" i="15"/>
  <c r="AO1104" i="15"/>
  <c r="AM1105" i="15"/>
  <c r="AN1105" i="15"/>
  <c r="AO1105" i="15"/>
  <c r="AM1106" i="15"/>
  <c r="AN1106" i="15"/>
  <c r="AO1106" i="15"/>
  <c r="AM1107" i="15"/>
  <c r="AN1107" i="15"/>
  <c r="AO1107" i="15"/>
  <c r="AM1108" i="15"/>
  <c r="AN1108" i="15"/>
  <c r="AO1108" i="15"/>
  <c r="AM1109" i="15"/>
  <c r="AN1109" i="15"/>
  <c r="AO1109" i="15"/>
  <c r="AM1110" i="15"/>
  <c r="AN1110" i="15"/>
  <c r="AO1110" i="15"/>
  <c r="AM1111" i="15"/>
  <c r="AN1111" i="15"/>
  <c r="AO1111" i="15"/>
  <c r="AM1112" i="15"/>
  <c r="AN1112" i="15"/>
  <c r="AO1112" i="15"/>
  <c r="AM1113" i="15"/>
  <c r="AN1113" i="15"/>
  <c r="AO1113" i="15"/>
  <c r="AM1114" i="15"/>
  <c r="AN1114" i="15"/>
  <c r="AO1114" i="15"/>
  <c r="AM1115" i="15"/>
  <c r="AN1115" i="15"/>
  <c r="AO1115" i="15"/>
  <c r="AM1116" i="15"/>
  <c r="AN1116" i="15"/>
  <c r="AO1116" i="15"/>
  <c r="AM1117" i="15"/>
  <c r="AN1117" i="15"/>
  <c r="AO1117" i="15"/>
  <c r="AM1118" i="15"/>
  <c r="AN1118" i="15"/>
  <c r="AO1118" i="15"/>
  <c r="AM1119" i="15"/>
  <c r="AN1119" i="15"/>
  <c r="AO1119" i="15"/>
  <c r="AM1120" i="15"/>
  <c r="AN1120" i="15"/>
  <c r="AO1120" i="15"/>
  <c r="AM1121" i="15"/>
  <c r="AN1121" i="15"/>
  <c r="AO1121" i="15"/>
  <c r="AM1122" i="15"/>
  <c r="AN1122" i="15"/>
  <c r="AO1122" i="15"/>
  <c r="AM1123" i="15"/>
  <c r="AN1123" i="15"/>
  <c r="AO1123" i="15"/>
  <c r="AM1124" i="15"/>
  <c r="AN1124" i="15"/>
  <c r="AO1124" i="15"/>
  <c r="AM1125" i="15"/>
  <c r="AN1125" i="15"/>
  <c r="AO1125" i="15"/>
  <c r="AM1126" i="15"/>
  <c r="AN1126" i="15"/>
  <c r="AO1126" i="15"/>
  <c r="AM1127" i="15"/>
  <c r="AN1127" i="15"/>
  <c r="AO1127" i="15"/>
  <c r="AM1128" i="15"/>
  <c r="AN1128" i="15"/>
  <c r="AO1128" i="15"/>
  <c r="AM1129" i="15"/>
  <c r="AN1129" i="15"/>
  <c r="AO1129" i="15"/>
  <c r="AM1130" i="15"/>
  <c r="AN1130" i="15"/>
  <c r="AO1130" i="15"/>
  <c r="AM1131" i="15"/>
  <c r="AN1131" i="15"/>
  <c r="AO1131" i="15"/>
  <c r="AM1132" i="15"/>
  <c r="AN1132" i="15"/>
  <c r="AO1132" i="15"/>
  <c r="AM1133" i="15"/>
  <c r="AN1133" i="15"/>
  <c r="AO1133" i="15"/>
  <c r="AM1134" i="15"/>
  <c r="AN1134" i="15"/>
  <c r="AO1134" i="15"/>
  <c r="AM1135" i="15"/>
  <c r="AN1135" i="15"/>
  <c r="AO1135" i="15"/>
  <c r="AM1136" i="15"/>
  <c r="AN1136" i="15"/>
  <c r="AO1136" i="15"/>
  <c r="AM1137" i="15"/>
  <c r="AN1137" i="15"/>
  <c r="AO1137" i="15"/>
  <c r="AM1138" i="15"/>
  <c r="AN1138" i="15"/>
  <c r="AO1138" i="15"/>
  <c r="AM1139" i="15"/>
  <c r="AN1139" i="15"/>
  <c r="AO1139" i="15"/>
  <c r="AM1140" i="15"/>
  <c r="AN1140" i="15"/>
  <c r="AO1140" i="15"/>
  <c r="AM1141" i="15"/>
  <c r="AN1141" i="15"/>
  <c r="AO1141" i="15"/>
  <c r="AM1142" i="15"/>
  <c r="AN1142" i="15"/>
  <c r="AO1142" i="15"/>
  <c r="AM1143" i="15"/>
  <c r="AN1143" i="15"/>
  <c r="AO1143" i="15"/>
  <c r="AM1144" i="15"/>
  <c r="AN1144" i="15"/>
  <c r="AO1144" i="15"/>
  <c r="AM1145" i="15"/>
  <c r="AN1145" i="15"/>
  <c r="AO1145" i="15"/>
  <c r="AM1146" i="15"/>
  <c r="AN1146" i="15"/>
  <c r="AO1146" i="15"/>
  <c r="AM1147" i="15"/>
  <c r="AN1147" i="15"/>
  <c r="AO1147" i="15"/>
  <c r="AM1148" i="15"/>
  <c r="AN1148" i="15"/>
  <c r="AO1148" i="15"/>
  <c r="AM1149" i="15"/>
  <c r="AN1149" i="15"/>
  <c r="AO1149" i="15"/>
  <c r="AM1150" i="15"/>
  <c r="AN1150" i="15"/>
  <c r="AO1150" i="15"/>
  <c r="AM1151" i="15"/>
  <c r="AN1151" i="15"/>
  <c r="AO1151" i="15"/>
  <c r="AM1152" i="15"/>
  <c r="AN1152" i="15"/>
  <c r="AO1152" i="15"/>
  <c r="AM1153" i="15"/>
  <c r="AN1153" i="15"/>
  <c r="AO1153" i="15"/>
  <c r="AM1154" i="15"/>
  <c r="AN1154" i="15"/>
  <c r="AO1154" i="15"/>
  <c r="AM1155" i="15"/>
  <c r="AN1155" i="15"/>
  <c r="AO1155" i="15"/>
  <c r="AM1156" i="15"/>
  <c r="AN1156" i="15"/>
  <c r="AO1156" i="15"/>
  <c r="AM1157" i="15"/>
  <c r="AN1157" i="15"/>
  <c r="AO1157" i="15"/>
  <c r="AM1158" i="15"/>
  <c r="AN1158" i="15"/>
  <c r="AO1158" i="15"/>
  <c r="AM1159" i="15"/>
  <c r="AN1159" i="15"/>
  <c r="AO1159" i="15"/>
  <c r="AM1160" i="15"/>
  <c r="AN1160" i="15"/>
  <c r="AO1160" i="15"/>
  <c r="AM1161" i="15"/>
  <c r="AN1161" i="15"/>
  <c r="AO1161" i="15"/>
  <c r="AM1162" i="15"/>
  <c r="AN1162" i="15"/>
  <c r="AO1162" i="15"/>
  <c r="AM1163" i="15"/>
  <c r="AN1163" i="15"/>
  <c r="AO1163" i="15"/>
  <c r="AM1164" i="15"/>
  <c r="AN1164" i="15"/>
  <c r="AO1164" i="15"/>
  <c r="AM1165" i="15"/>
  <c r="AN1165" i="15"/>
  <c r="AO1165" i="15"/>
  <c r="AM1166" i="15"/>
  <c r="AN1166" i="15"/>
  <c r="AO1166" i="15"/>
  <c r="AM1167" i="15"/>
  <c r="AN1167" i="15"/>
  <c r="AO1167" i="15"/>
  <c r="AM1168" i="15"/>
  <c r="AN1168" i="15"/>
  <c r="AO1168" i="15"/>
  <c r="AM1169" i="15"/>
  <c r="AN1169" i="15"/>
  <c r="AO1169" i="15"/>
  <c r="AM1170" i="15"/>
  <c r="AN1170" i="15"/>
  <c r="AO1170" i="15"/>
  <c r="AM1171" i="15"/>
  <c r="AN1171" i="15"/>
  <c r="AO1171" i="15"/>
  <c r="AM1172" i="15"/>
  <c r="AN1172" i="15"/>
  <c r="AO1172" i="15"/>
  <c r="AM1173" i="15"/>
  <c r="AN1173" i="15"/>
  <c r="AO1173" i="15"/>
  <c r="AM1174" i="15"/>
  <c r="AN1174" i="15"/>
  <c r="AO1174" i="15"/>
  <c r="AM1175" i="15"/>
  <c r="AN1175" i="15"/>
  <c r="AO1175" i="15"/>
  <c r="AM1176" i="15"/>
  <c r="AN1176" i="15"/>
  <c r="AO1176" i="15"/>
  <c r="AM1177" i="15"/>
  <c r="AN1177" i="15"/>
  <c r="AO1177" i="15"/>
  <c r="AM1178" i="15"/>
  <c r="AN1178" i="15"/>
  <c r="AO1178" i="15"/>
  <c r="AM1179" i="15"/>
  <c r="AN1179" i="15"/>
  <c r="AO1179" i="15"/>
  <c r="AM1180" i="15"/>
  <c r="AN1180" i="15"/>
  <c r="AO1180" i="15"/>
  <c r="AM1181" i="15"/>
  <c r="AN1181" i="15"/>
  <c r="AO1181" i="15"/>
  <c r="AM1182" i="15"/>
  <c r="AN1182" i="15"/>
  <c r="AO1182" i="15"/>
  <c r="AM1183" i="15"/>
  <c r="AN1183" i="15"/>
  <c r="AO1183" i="15"/>
  <c r="AM1184" i="15"/>
  <c r="AN1184" i="15"/>
  <c r="AO1184" i="15"/>
  <c r="AM1185" i="15"/>
  <c r="AN1185" i="15"/>
  <c r="AO1185" i="15"/>
  <c r="AM1186" i="15"/>
  <c r="AN1186" i="15"/>
  <c r="AO1186" i="15"/>
  <c r="AM1187" i="15"/>
  <c r="AN1187" i="15"/>
  <c r="AO1187" i="15"/>
  <c r="AM1188" i="15"/>
  <c r="AN1188" i="15"/>
  <c r="AO1188" i="15"/>
  <c r="AM1189" i="15"/>
  <c r="AN1189" i="15"/>
  <c r="AO1189" i="15"/>
  <c r="AM1190" i="15"/>
  <c r="AN1190" i="15"/>
  <c r="AO1190" i="15"/>
  <c r="AM1191" i="15"/>
  <c r="AN1191" i="15"/>
  <c r="AO1191" i="15"/>
  <c r="AM1192" i="15"/>
  <c r="AN1192" i="15"/>
  <c r="AO1192" i="15"/>
  <c r="AM1193" i="15"/>
  <c r="AN1193" i="15"/>
  <c r="AO1193" i="15"/>
  <c r="AM1194" i="15"/>
  <c r="AN1194" i="15"/>
  <c r="AO1194" i="15"/>
  <c r="AM1195" i="15"/>
  <c r="AN1195" i="15"/>
  <c r="AO1195" i="15"/>
  <c r="AM1196" i="15"/>
  <c r="AN1196" i="15"/>
  <c r="AO1196" i="15"/>
  <c r="AM1197" i="15"/>
  <c r="AN1197" i="15"/>
  <c r="AO1197" i="15"/>
  <c r="AM1198" i="15"/>
  <c r="AN1198" i="15"/>
  <c r="AO1198" i="15"/>
  <c r="AM1199" i="15"/>
  <c r="AN1199" i="15"/>
  <c r="AO1199" i="15"/>
  <c r="AM1200" i="15"/>
  <c r="AN1200" i="15"/>
  <c r="AO1200" i="15"/>
  <c r="AM1201" i="15"/>
  <c r="AN1201" i="15"/>
  <c r="AO1201" i="15"/>
  <c r="AM1202" i="15"/>
  <c r="AN1202" i="15"/>
  <c r="AO1202" i="15"/>
  <c r="AM1203" i="15"/>
  <c r="AN1203" i="15"/>
  <c r="AO1203" i="15"/>
  <c r="AM1204" i="15"/>
  <c r="AN1204" i="15"/>
  <c r="AO1204" i="15"/>
  <c r="AM1205" i="15"/>
  <c r="AN1205" i="15"/>
  <c r="AO1205" i="15"/>
  <c r="AM1206" i="15"/>
  <c r="AN1206" i="15"/>
  <c r="AO1206" i="15"/>
  <c r="AM1207" i="15"/>
  <c r="AN1207" i="15"/>
  <c r="AO1207" i="15"/>
  <c r="AM1208" i="15"/>
  <c r="AN1208" i="15"/>
  <c r="AO1208" i="15"/>
  <c r="AM1209" i="15"/>
  <c r="AN1209" i="15"/>
  <c r="AO1209" i="15"/>
  <c r="AM1210" i="15"/>
  <c r="AN1210" i="15"/>
  <c r="AO1210" i="15"/>
  <c r="AM1211" i="15"/>
  <c r="AN1211" i="15"/>
  <c r="AO1211" i="15"/>
  <c r="AM1212" i="15"/>
  <c r="AN1212" i="15"/>
  <c r="AO1212" i="15"/>
  <c r="AM1213" i="15"/>
  <c r="AN1213" i="15"/>
  <c r="AO1213" i="15"/>
  <c r="AM1214" i="15"/>
  <c r="AN1214" i="15"/>
  <c r="AO1214" i="15"/>
  <c r="AM1215" i="15"/>
  <c r="AN1215" i="15"/>
  <c r="AO1215" i="15"/>
  <c r="AM1216" i="15"/>
  <c r="AN1216" i="15"/>
  <c r="AO1216" i="15"/>
  <c r="AM1217" i="15"/>
  <c r="AN1217" i="15"/>
  <c r="AO1217" i="15"/>
  <c r="AM1218" i="15"/>
  <c r="AN1218" i="15"/>
  <c r="AO1218" i="15"/>
  <c r="AM1219" i="15"/>
  <c r="AN1219" i="15"/>
  <c r="AO1219" i="15"/>
  <c r="AM1220" i="15"/>
  <c r="AN1220" i="15"/>
  <c r="AO1220" i="15"/>
  <c r="AM1221" i="15"/>
  <c r="AN1221" i="15"/>
  <c r="AO1221" i="15"/>
  <c r="AM1222" i="15"/>
  <c r="AN1222" i="15"/>
  <c r="AO1222" i="15"/>
  <c r="AM1223" i="15"/>
  <c r="AN1223" i="15"/>
  <c r="AO1223" i="15"/>
  <c r="AM1224" i="15"/>
  <c r="AN1224" i="15"/>
  <c r="AO1224" i="15"/>
  <c r="AM1225" i="15"/>
  <c r="AN1225" i="15"/>
  <c r="AO1225" i="15"/>
  <c r="AM1226" i="15"/>
  <c r="AN1226" i="15"/>
  <c r="AO1226" i="15"/>
  <c r="AM1227" i="15"/>
  <c r="AN1227" i="15"/>
  <c r="AO1227" i="15"/>
  <c r="AM1228" i="15"/>
  <c r="AN1228" i="15"/>
  <c r="AO1228" i="15"/>
  <c r="AM1229" i="15"/>
  <c r="AN1229" i="15"/>
  <c r="AO1229" i="15"/>
  <c r="AM1230" i="15"/>
  <c r="AN1230" i="15"/>
  <c r="AO1230" i="15"/>
  <c r="AM1231" i="15"/>
  <c r="AN1231" i="15"/>
  <c r="AO1231" i="15"/>
  <c r="AM1232" i="15"/>
  <c r="AN1232" i="15"/>
  <c r="AO1232" i="15"/>
  <c r="AM1233" i="15"/>
  <c r="AN1233" i="15"/>
  <c r="AO1233" i="15"/>
  <c r="AM1234" i="15"/>
  <c r="AN1234" i="15"/>
  <c r="AO1234" i="15"/>
  <c r="AM1235" i="15"/>
  <c r="AN1235" i="15"/>
  <c r="AO1235" i="15"/>
  <c r="AM1236" i="15"/>
  <c r="AN1236" i="15"/>
  <c r="AO1236" i="15"/>
  <c r="AM1237" i="15"/>
  <c r="AN1237" i="15"/>
  <c r="AO1237" i="15"/>
  <c r="AM1238" i="15"/>
  <c r="AN1238" i="15"/>
  <c r="AO1238" i="15"/>
  <c r="AM1239" i="15"/>
  <c r="AN1239" i="15"/>
  <c r="AO1239" i="15"/>
  <c r="AM1240" i="15"/>
  <c r="AN1240" i="15"/>
  <c r="AO1240" i="15"/>
  <c r="AM1241" i="15"/>
  <c r="AN1241" i="15"/>
  <c r="AO1241" i="15"/>
  <c r="AM1242" i="15"/>
  <c r="AN1242" i="15"/>
  <c r="AO1242" i="15"/>
  <c r="AM1243" i="15"/>
  <c r="AN1243" i="15"/>
  <c r="AO1243" i="15"/>
  <c r="AM1244" i="15"/>
  <c r="AN1244" i="15"/>
  <c r="AO1244" i="15"/>
  <c r="AM1245" i="15"/>
  <c r="AN1245" i="15"/>
  <c r="AO1245" i="15"/>
  <c r="AM1246" i="15"/>
  <c r="AN1246" i="15"/>
  <c r="AO1246" i="15"/>
  <c r="AM1247" i="15"/>
  <c r="AN1247" i="15"/>
  <c r="AO1247" i="15"/>
  <c r="AM1248" i="15"/>
  <c r="AN1248" i="15"/>
  <c r="AO1248" i="15"/>
  <c r="AM1249" i="15"/>
  <c r="AN1249" i="15"/>
  <c r="AO1249" i="15"/>
  <c r="AM1250" i="15"/>
  <c r="AN1250" i="15"/>
  <c r="AO1250" i="15"/>
  <c r="AM1251" i="15"/>
  <c r="AN1251" i="15"/>
  <c r="AO1251" i="15"/>
  <c r="AM1252" i="15"/>
  <c r="AN1252" i="15"/>
  <c r="AO1252" i="15"/>
  <c r="AM1253" i="15"/>
  <c r="AN1253" i="15"/>
  <c r="AO1253" i="15"/>
  <c r="AM1254" i="15"/>
  <c r="AN1254" i="15"/>
  <c r="AO1254" i="15"/>
  <c r="AM1255" i="15"/>
  <c r="AN1255" i="15"/>
  <c r="AO1255" i="15"/>
  <c r="AM1256" i="15"/>
  <c r="AN1256" i="15"/>
  <c r="AO1256" i="15"/>
  <c r="AM1257" i="15"/>
  <c r="AN1257" i="15"/>
  <c r="AO1257" i="15"/>
  <c r="AM1258" i="15"/>
  <c r="AN1258" i="15"/>
  <c r="AO1258" i="15"/>
  <c r="AM1259" i="15"/>
  <c r="AN1259" i="15"/>
  <c r="AO1259" i="15"/>
  <c r="AM1260" i="15"/>
  <c r="AN1260" i="15"/>
  <c r="AO1260" i="15"/>
  <c r="AM1261" i="15"/>
  <c r="AN1261" i="15"/>
  <c r="AO1261" i="15"/>
  <c r="AM1262" i="15"/>
  <c r="AN1262" i="15"/>
  <c r="AO1262" i="15"/>
  <c r="AM1263" i="15"/>
  <c r="AN1263" i="15"/>
  <c r="AO1263" i="15"/>
  <c r="AM1264" i="15"/>
  <c r="AN1264" i="15"/>
  <c r="AO1264" i="15"/>
  <c r="AM1265" i="15"/>
  <c r="AN1265" i="15"/>
  <c r="AO1265" i="15"/>
  <c r="AM1266" i="15"/>
  <c r="AN1266" i="15"/>
  <c r="AO1266" i="15"/>
  <c r="AM1267" i="15"/>
  <c r="AN1267" i="15"/>
  <c r="AO1267" i="15"/>
  <c r="AM1268" i="15"/>
  <c r="AN1268" i="15"/>
  <c r="AO1268" i="15"/>
  <c r="AM1269" i="15"/>
  <c r="AN1269" i="15"/>
  <c r="AO1269" i="15"/>
  <c r="AM1270" i="15"/>
  <c r="AN1270" i="15"/>
  <c r="AO1270" i="15"/>
  <c r="AM1271" i="15"/>
  <c r="AN1271" i="15"/>
  <c r="AO1271" i="15"/>
  <c r="AM1272" i="15"/>
  <c r="AN1272" i="15"/>
  <c r="AO1272" i="15"/>
  <c r="AM1273" i="15"/>
  <c r="AN1273" i="15"/>
  <c r="AO1273" i="15"/>
  <c r="AM1274" i="15"/>
  <c r="AN1274" i="15"/>
  <c r="AO1274" i="15"/>
  <c r="AM1275" i="15"/>
  <c r="AN1275" i="15"/>
  <c r="AO1275" i="15"/>
  <c r="AM1276" i="15"/>
  <c r="AN1276" i="15"/>
  <c r="AO1276" i="15"/>
  <c r="AM1277" i="15"/>
  <c r="AN1277" i="15"/>
  <c r="AO1277" i="15"/>
  <c r="AM1278" i="15"/>
  <c r="AN1278" i="15"/>
  <c r="AO1278" i="15"/>
  <c r="AM1279" i="15"/>
  <c r="AN1279" i="15"/>
  <c r="AO1279" i="15"/>
  <c r="AM1280" i="15"/>
  <c r="AN1280" i="15"/>
  <c r="AO1280" i="15"/>
  <c r="AM1281" i="15"/>
  <c r="AN1281" i="15"/>
  <c r="AO1281" i="15"/>
  <c r="AM1282" i="15"/>
  <c r="AN1282" i="15"/>
  <c r="AO1282" i="15"/>
  <c r="AM1283" i="15"/>
  <c r="AN1283" i="15"/>
  <c r="AO1283" i="15"/>
  <c r="AM1284" i="15"/>
  <c r="AN1284" i="15"/>
  <c r="AO1284" i="15"/>
  <c r="AM1285" i="15"/>
  <c r="AN1285" i="15"/>
  <c r="AO1285" i="15"/>
  <c r="AM1286" i="15"/>
  <c r="AN1286" i="15"/>
  <c r="AO1286" i="15"/>
  <c r="AM1287" i="15"/>
  <c r="AN1287" i="15"/>
  <c r="AO1287" i="15"/>
  <c r="AM1288" i="15"/>
  <c r="AN1288" i="15"/>
  <c r="AO1288" i="15"/>
  <c r="AM1289" i="15"/>
  <c r="AN1289" i="15"/>
  <c r="AO1289" i="15"/>
  <c r="AM1290" i="15"/>
  <c r="AN1290" i="15"/>
  <c r="AO1290" i="15"/>
  <c r="AM1291" i="15"/>
  <c r="AN1291" i="15"/>
  <c r="AO1291" i="15"/>
  <c r="AM1292" i="15"/>
  <c r="AN1292" i="15"/>
  <c r="AO1292" i="15"/>
  <c r="AM1293" i="15"/>
  <c r="AN1293" i="15"/>
  <c r="AO1293" i="15"/>
  <c r="AM1294" i="15"/>
  <c r="AN1294" i="15"/>
  <c r="AO1294" i="15"/>
  <c r="AM1295" i="15"/>
  <c r="AN1295" i="15"/>
  <c r="AO1295" i="15"/>
  <c r="AM1296" i="15"/>
  <c r="AN1296" i="15"/>
  <c r="AO1296" i="15"/>
  <c r="AM1297" i="15"/>
  <c r="AN1297" i="15"/>
  <c r="AO1297" i="15"/>
  <c r="AM1298" i="15"/>
  <c r="AN1298" i="15"/>
  <c r="AO1298" i="15"/>
  <c r="AM1299" i="15"/>
  <c r="AN1299" i="15"/>
  <c r="AO1299" i="15"/>
  <c r="AM1300" i="15"/>
  <c r="AN1300" i="15"/>
  <c r="AO1300" i="15"/>
  <c r="AM1301" i="15"/>
  <c r="AN1301" i="15"/>
  <c r="AO1301" i="15"/>
  <c r="AM1302" i="15"/>
  <c r="AN1302" i="15"/>
  <c r="AO1302" i="15"/>
  <c r="AM1303" i="15"/>
  <c r="AN1303" i="15"/>
  <c r="AO1303" i="15"/>
  <c r="AM1304" i="15"/>
  <c r="AN1304" i="15"/>
  <c r="AO1304" i="15"/>
  <c r="AM1305" i="15"/>
  <c r="AN1305" i="15"/>
  <c r="AO1305" i="15"/>
  <c r="AM1306" i="15"/>
  <c r="AN1306" i="15"/>
  <c r="AO1306" i="15"/>
  <c r="AM1307" i="15"/>
  <c r="AN1307" i="15"/>
  <c r="AO1307" i="15"/>
  <c r="AM1308" i="15"/>
  <c r="AN1308" i="15"/>
  <c r="AO1308" i="15"/>
  <c r="AM1309" i="15"/>
  <c r="AN1309" i="15"/>
  <c r="AO1309" i="15"/>
  <c r="AM1310" i="15"/>
  <c r="AN1310" i="15"/>
  <c r="AO1310" i="15"/>
  <c r="AM1311" i="15"/>
  <c r="AN1311" i="15"/>
  <c r="AO1311" i="15"/>
  <c r="AM1312" i="15"/>
  <c r="AN1312" i="15"/>
  <c r="AO1312" i="15"/>
  <c r="AM1313" i="15"/>
  <c r="AN1313" i="15"/>
  <c r="AO1313" i="15"/>
  <c r="AM1314" i="15"/>
  <c r="AN1314" i="15"/>
  <c r="AO1314" i="15"/>
  <c r="AM1315" i="15"/>
  <c r="AN1315" i="15"/>
  <c r="AO1315" i="15"/>
  <c r="AM1316" i="15"/>
  <c r="AN1316" i="15"/>
  <c r="AO1316" i="15"/>
  <c r="AM1317" i="15"/>
  <c r="AN1317" i="15"/>
  <c r="AO1317" i="15"/>
  <c r="AM1318" i="15"/>
  <c r="AN1318" i="15"/>
  <c r="AO1318" i="15"/>
  <c r="AM1319" i="15"/>
  <c r="AN1319" i="15"/>
  <c r="AO1319" i="15"/>
  <c r="AM1320" i="15"/>
  <c r="AN1320" i="15"/>
  <c r="AO1320" i="15"/>
  <c r="AM1321" i="15"/>
  <c r="AN1321" i="15"/>
  <c r="AO1321" i="15"/>
  <c r="AM1322" i="15"/>
  <c r="AN1322" i="15"/>
  <c r="AO1322" i="15"/>
  <c r="AM1323" i="15"/>
  <c r="AN1323" i="15"/>
  <c r="AO1323" i="15"/>
  <c r="AM1324" i="15"/>
  <c r="AN1324" i="15"/>
  <c r="AO1324" i="15"/>
  <c r="AM1325" i="15"/>
  <c r="AN1325" i="15"/>
  <c r="AO1325" i="15"/>
  <c r="AM1326" i="15"/>
  <c r="AN1326" i="15"/>
  <c r="AO1326" i="15"/>
  <c r="AM1327" i="15"/>
  <c r="AN1327" i="15"/>
  <c r="AO1327" i="15"/>
  <c r="AM1328" i="15"/>
  <c r="AN1328" i="15"/>
  <c r="AO1328" i="15"/>
  <c r="AM1329" i="15"/>
  <c r="AN1329" i="15"/>
  <c r="AO1329" i="15"/>
  <c r="AM1330" i="15"/>
  <c r="AN1330" i="15"/>
  <c r="AO1330" i="15"/>
  <c r="AM1331" i="15"/>
  <c r="AN1331" i="15"/>
  <c r="AO1331" i="15"/>
  <c r="AM1332" i="15"/>
  <c r="AN1332" i="15"/>
  <c r="AO1332" i="15"/>
  <c r="AM1333" i="15"/>
  <c r="AN1333" i="15"/>
  <c r="AO1333" i="15"/>
  <c r="AM1334" i="15"/>
  <c r="AN1334" i="15"/>
  <c r="AO1334" i="15"/>
  <c r="AM1335" i="15"/>
  <c r="AN1335" i="15"/>
  <c r="AO1335" i="15"/>
  <c r="AM1336" i="15"/>
  <c r="AN1336" i="15"/>
  <c r="AO1336" i="15"/>
  <c r="AM1337" i="15"/>
  <c r="AN1337" i="15"/>
  <c r="AO1337" i="15"/>
  <c r="AM1338" i="15"/>
  <c r="AN1338" i="15"/>
  <c r="AO1338" i="15"/>
  <c r="AM1339" i="15"/>
  <c r="AN1339" i="15"/>
  <c r="AO1339" i="15"/>
  <c r="AM1340" i="15"/>
  <c r="AN1340" i="15"/>
  <c r="AO1340" i="15"/>
  <c r="AM1341" i="15"/>
  <c r="AN1341" i="15"/>
  <c r="AO1341" i="15"/>
  <c r="AM1342" i="15"/>
  <c r="AN1342" i="15"/>
  <c r="AO1342" i="15"/>
  <c r="AM1343" i="15"/>
  <c r="AN1343" i="15"/>
  <c r="AO1343" i="15"/>
  <c r="AM1344" i="15"/>
  <c r="AN1344" i="15"/>
  <c r="AO1344" i="15"/>
  <c r="AM1345" i="15"/>
  <c r="AN1345" i="15"/>
  <c r="AO1345" i="15"/>
  <c r="AM1346" i="15"/>
  <c r="AN1346" i="15"/>
  <c r="AO1346" i="15"/>
  <c r="AM1347" i="15"/>
  <c r="AN1347" i="15"/>
  <c r="AO1347" i="15"/>
  <c r="AM1348" i="15"/>
  <c r="AN1348" i="15"/>
  <c r="AO1348" i="15"/>
  <c r="AM1349" i="15"/>
  <c r="AN1349" i="15"/>
  <c r="AO1349" i="15"/>
  <c r="AM1350" i="15"/>
  <c r="AN1350" i="15"/>
  <c r="AO1350" i="15"/>
  <c r="AM1351" i="15"/>
  <c r="AN1351" i="15"/>
  <c r="AO1351" i="15"/>
  <c r="AM1352" i="15"/>
  <c r="AN1352" i="15"/>
  <c r="AO1352" i="15"/>
  <c r="AM1353" i="15"/>
  <c r="AN1353" i="15"/>
  <c r="AO1353" i="15"/>
  <c r="AM1354" i="15"/>
  <c r="AN1354" i="15"/>
  <c r="AO1354" i="15"/>
  <c r="AM1355" i="15"/>
  <c r="AN1355" i="15"/>
  <c r="AO1355" i="15"/>
  <c r="AM1356" i="15"/>
  <c r="AN1356" i="15"/>
  <c r="AO1356" i="15"/>
  <c r="AM1357" i="15"/>
  <c r="AN1357" i="15"/>
  <c r="AO1357" i="15"/>
  <c r="AM1358" i="15"/>
  <c r="AN1358" i="15"/>
  <c r="AO1358" i="15"/>
  <c r="AM1359" i="15"/>
  <c r="AN1359" i="15"/>
  <c r="AO1359" i="15"/>
  <c r="AM1360" i="15"/>
  <c r="AN1360" i="15"/>
  <c r="AO1360" i="15"/>
  <c r="AM1361" i="15"/>
  <c r="AN1361" i="15"/>
  <c r="AO1361" i="15"/>
  <c r="AM1362" i="15"/>
  <c r="AN1362" i="15"/>
  <c r="AO1362" i="15"/>
  <c r="AM1363" i="15"/>
  <c r="AN1363" i="15"/>
  <c r="AO1363" i="15"/>
  <c r="AM1364" i="15"/>
  <c r="AN1364" i="15"/>
  <c r="AO1364" i="15"/>
  <c r="AM1365" i="15"/>
  <c r="AN1365" i="15"/>
  <c r="AO1365" i="15"/>
  <c r="AM1366" i="15"/>
  <c r="AN1366" i="15"/>
  <c r="AO1366" i="15"/>
  <c r="AM1367" i="15"/>
  <c r="AN1367" i="15"/>
  <c r="AO1367" i="15"/>
  <c r="AM1368" i="15"/>
  <c r="AN1368" i="15"/>
  <c r="AO1368" i="15"/>
  <c r="AM1369" i="15"/>
  <c r="AN1369" i="15"/>
  <c r="AO1369" i="15"/>
  <c r="AM1370" i="15"/>
  <c r="AN1370" i="15"/>
  <c r="AO1370" i="15"/>
  <c r="AM1371" i="15"/>
  <c r="AN1371" i="15"/>
  <c r="AO1371" i="15"/>
  <c r="AM1372" i="15"/>
  <c r="AN1372" i="15"/>
  <c r="AO1372" i="15"/>
  <c r="AM1373" i="15"/>
  <c r="AN1373" i="15"/>
  <c r="AO1373" i="15"/>
  <c r="AM1374" i="15"/>
  <c r="AN1374" i="15"/>
  <c r="AO1374" i="15"/>
  <c r="AM1375" i="15"/>
  <c r="AN1375" i="15"/>
  <c r="AO1375" i="15"/>
  <c r="AM1376" i="15"/>
  <c r="AN1376" i="15"/>
  <c r="AO1376" i="15"/>
  <c r="AM1377" i="15"/>
  <c r="AN1377" i="15"/>
  <c r="AO1377" i="15"/>
  <c r="AM1378" i="15"/>
  <c r="AN1378" i="15"/>
  <c r="AO1378" i="15"/>
  <c r="AM1379" i="15"/>
  <c r="AN1379" i="15"/>
  <c r="AO1379" i="15"/>
  <c r="AM1380" i="15"/>
  <c r="AN1380" i="15"/>
  <c r="AO1380" i="15"/>
  <c r="AM1381" i="15"/>
  <c r="AN1381" i="15"/>
  <c r="AO1381" i="15"/>
  <c r="AM1382" i="15"/>
  <c r="AN1382" i="15"/>
  <c r="AO1382" i="15"/>
  <c r="AM1383" i="15"/>
  <c r="AN1383" i="15"/>
  <c r="AO1383" i="15"/>
  <c r="AM1384" i="15"/>
  <c r="AN1384" i="15"/>
  <c r="AO1384" i="15"/>
  <c r="AM1385" i="15"/>
  <c r="AN1385" i="15"/>
  <c r="AO1385" i="15"/>
  <c r="AM1386" i="15"/>
  <c r="AN1386" i="15"/>
  <c r="AO1386" i="15"/>
  <c r="AM1387" i="15"/>
  <c r="AN1387" i="15"/>
  <c r="AO1387" i="15"/>
  <c r="AM1388" i="15"/>
  <c r="AN1388" i="15"/>
  <c r="AO1388" i="15"/>
  <c r="AM1389" i="15"/>
  <c r="AN1389" i="15"/>
  <c r="AO1389" i="15"/>
  <c r="AM1390" i="15"/>
  <c r="AN1390" i="15"/>
  <c r="AO1390" i="15"/>
  <c r="AM1391" i="15"/>
  <c r="AN1391" i="15"/>
  <c r="AO1391" i="15"/>
  <c r="AM1392" i="15"/>
  <c r="AN1392" i="15"/>
  <c r="AO1392" i="15"/>
  <c r="AM1393" i="15"/>
  <c r="AN1393" i="15"/>
  <c r="AO1393" i="15"/>
  <c r="AM1394" i="15"/>
  <c r="AN1394" i="15"/>
  <c r="AO1394" i="15"/>
  <c r="AM1395" i="15"/>
  <c r="AN1395" i="15"/>
  <c r="AO1395" i="15"/>
  <c r="AM1396" i="15"/>
  <c r="AN1396" i="15"/>
  <c r="AO1396" i="15"/>
  <c r="AM1397" i="15"/>
  <c r="AN1397" i="15"/>
  <c r="AO1397" i="15"/>
  <c r="AM1398" i="15"/>
  <c r="AN1398" i="15"/>
  <c r="AO1398" i="15"/>
  <c r="AM1399" i="15"/>
  <c r="AN1399" i="15"/>
  <c r="AO1399" i="15"/>
  <c r="AM1400" i="15"/>
  <c r="AN1400" i="15"/>
  <c r="AO1400" i="15"/>
  <c r="AM1401" i="15"/>
  <c r="AN1401" i="15"/>
  <c r="AO1401" i="15"/>
  <c r="AM1402" i="15"/>
  <c r="AN1402" i="15"/>
  <c r="AO1402" i="15"/>
  <c r="AM1403" i="15"/>
  <c r="AN1403" i="15"/>
  <c r="AO1403" i="15"/>
  <c r="AM1404" i="15"/>
  <c r="AN1404" i="15"/>
  <c r="AO1404" i="15"/>
  <c r="AM1405" i="15"/>
  <c r="AN1405" i="15"/>
  <c r="AO1405" i="15"/>
  <c r="AM1406" i="15"/>
  <c r="AN1406" i="15"/>
  <c r="AO1406" i="15"/>
  <c r="AM1407" i="15"/>
  <c r="AN1407" i="15"/>
  <c r="AO1407" i="15"/>
  <c r="AM1408" i="15"/>
  <c r="AN1408" i="15"/>
  <c r="AO1408" i="15"/>
  <c r="AM1409" i="15"/>
  <c r="AN1409" i="15"/>
  <c r="AO1409" i="15"/>
  <c r="AM1410" i="15"/>
  <c r="AN1410" i="15"/>
  <c r="AO1410" i="15"/>
  <c r="AM1411" i="15"/>
  <c r="AN1411" i="15"/>
  <c r="AO1411" i="15"/>
  <c r="AM1412" i="15"/>
  <c r="AN1412" i="15"/>
  <c r="AO1412" i="15"/>
  <c r="AM1413" i="15"/>
  <c r="AN1413" i="15"/>
  <c r="AO1413" i="15"/>
  <c r="AM1414" i="15"/>
  <c r="AN1414" i="15"/>
  <c r="AO1414" i="15"/>
  <c r="AM1415" i="15"/>
  <c r="AN1415" i="15"/>
  <c r="AO1415" i="15"/>
  <c r="AM1416" i="15"/>
  <c r="AN1416" i="15"/>
  <c r="AO1416" i="15"/>
  <c r="AM1417" i="15"/>
  <c r="AN1417" i="15"/>
  <c r="AO1417" i="15"/>
  <c r="AM1418" i="15"/>
  <c r="AN1418" i="15"/>
  <c r="AO1418" i="15"/>
  <c r="AM1419" i="15"/>
  <c r="AN1419" i="15"/>
  <c r="AO1419" i="15"/>
  <c r="AM1420" i="15"/>
  <c r="AN1420" i="15"/>
  <c r="AO1420" i="15"/>
  <c r="AM1421" i="15"/>
  <c r="AN1421" i="15"/>
  <c r="AO1421" i="15"/>
  <c r="AM1422" i="15"/>
  <c r="AN1422" i="15"/>
  <c r="AO1422" i="15"/>
  <c r="AM1423" i="15"/>
  <c r="AN1423" i="15"/>
  <c r="AO1423" i="15"/>
  <c r="AM1424" i="15"/>
  <c r="AN1424" i="15"/>
  <c r="AO1424" i="15"/>
  <c r="AM1425" i="15"/>
  <c r="AN1425" i="15"/>
  <c r="AO1425" i="15"/>
  <c r="AM1426" i="15"/>
  <c r="AN1426" i="15"/>
  <c r="AO1426" i="15"/>
  <c r="AM1427" i="15"/>
  <c r="AN1427" i="15"/>
  <c r="AO1427" i="15"/>
  <c r="AM1428" i="15"/>
  <c r="AN1428" i="15"/>
  <c r="AO1428" i="15"/>
  <c r="AM1429" i="15"/>
  <c r="AN1429" i="15"/>
  <c r="AO1429" i="15"/>
  <c r="AM1430" i="15"/>
  <c r="AN1430" i="15"/>
  <c r="AO1430" i="15"/>
  <c r="AM1431" i="15"/>
  <c r="AN1431" i="15"/>
  <c r="AO1431" i="15"/>
  <c r="AM1432" i="15"/>
  <c r="AN1432" i="15"/>
  <c r="AO1432" i="15"/>
  <c r="AM1433" i="15"/>
  <c r="AN1433" i="15"/>
  <c r="AO1433" i="15"/>
  <c r="AM1434" i="15"/>
  <c r="AN1434" i="15"/>
  <c r="AO1434" i="15"/>
  <c r="AM1435" i="15"/>
  <c r="AN1435" i="15"/>
  <c r="AO1435" i="15"/>
  <c r="AM1436" i="15"/>
  <c r="AN1436" i="15"/>
  <c r="AO1436" i="15"/>
  <c r="AM1437" i="15"/>
  <c r="AN1437" i="15"/>
  <c r="AO1437" i="15"/>
  <c r="AM1438" i="15"/>
  <c r="AN1438" i="15"/>
  <c r="AO1438" i="15"/>
  <c r="AM1439" i="15"/>
  <c r="AN1439" i="15"/>
  <c r="AO1439" i="15"/>
  <c r="AM1440" i="15"/>
  <c r="AN1440" i="15"/>
  <c r="AO1440" i="15"/>
  <c r="AM1441" i="15"/>
  <c r="AN1441" i="15"/>
  <c r="AO1441" i="15"/>
  <c r="AM1442" i="15"/>
  <c r="AN1442" i="15"/>
  <c r="AO1442" i="15"/>
  <c r="AM1443" i="15"/>
  <c r="AN1443" i="15"/>
  <c r="AO1443" i="15"/>
  <c r="AM1444" i="15"/>
  <c r="AN1444" i="15"/>
  <c r="AO1444" i="15"/>
  <c r="AM1445" i="15"/>
  <c r="AN1445" i="15"/>
  <c r="AO1445" i="15"/>
  <c r="AM1446" i="15"/>
  <c r="AN1446" i="15"/>
  <c r="AO1446" i="15"/>
  <c r="AM1447" i="15"/>
  <c r="AN1447" i="15"/>
  <c r="AO1447" i="15"/>
  <c r="AM1448" i="15"/>
  <c r="AN1448" i="15"/>
  <c r="AO1448" i="15"/>
  <c r="AM1449" i="15"/>
  <c r="AN1449" i="15"/>
  <c r="AO1449" i="15"/>
  <c r="AM1450" i="15"/>
  <c r="AN1450" i="15"/>
  <c r="AO1450" i="15"/>
  <c r="AM1451" i="15"/>
  <c r="AN1451" i="15"/>
  <c r="AO1451" i="15"/>
  <c r="AM1452" i="15"/>
  <c r="AN1452" i="15"/>
  <c r="AO1452" i="15"/>
  <c r="AM1453" i="15"/>
  <c r="AN1453" i="15"/>
  <c r="AO1453" i="15"/>
  <c r="AM1454" i="15"/>
  <c r="AN1454" i="15"/>
  <c r="AO1454" i="15"/>
  <c r="AM1455" i="15"/>
  <c r="AN1455" i="15"/>
  <c r="AO1455" i="15"/>
  <c r="AM1456" i="15"/>
  <c r="AN1456" i="15"/>
  <c r="AO1456" i="15"/>
  <c r="AM1457" i="15"/>
  <c r="AN1457" i="15"/>
  <c r="AO1457" i="15"/>
  <c r="AM1458" i="15"/>
  <c r="AN1458" i="15"/>
  <c r="AO1458" i="15"/>
  <c r="AM1459" i="15"/>
  <c r="AN1459" i="15"/>
  <c r="AO1459" i="15"/>
  <c r="AM1460" i="15"/>
  <c r="AN1460" i="15"/>
  <c r="AO1460" i="15"/>
  <c r="AM1461" i="15"/>
  <c r="AN1461" i="15"/>
  <c r="AO1461" i="15"/>
  <c r="AM1462" i="15"/>
  <c r="AN1462" i="15"/>
  <c r="AO1462" i="15"/>
  <c r="AM1463" i="15"/>
  <c r="AN1463" i="15"/>
  <c r="AO1463" i="15"/>
  <c r="AM1464" i="15"/>
  <c r="AN1464" i="15"/>
  <c r="AO1464" i="15"/>
  <c r="AM1465" i="15"/>
  <c r="AN1465" i="15"/>
  <c r="AO1465" i="15"/>
  <c r="AM1466" i="15"/>
  <c r="AN1466" i="15"/>
  <c r="AO1466" i="15"/>
  <c r="AM1467" i="15"/>
  <c r="AN1467" i="15"/>
  <c r="AO1467" i="15"/>
  <c r="AM1468" i="15"/>
  <c r="AN1468" i="15"/>
  <c r="AO1468" i="15"/>
  <c r="AM1469" i="15"/>
  <c r="AN1469" i="15"/>
  <c r="AO1469" i="15"/>
  <c r="AM1470" i="15"/>
  <c r="AN1470" i="15"/>
  <c r="AO1470" i="15"/>
  <c r="AM1471" i="15"/>
  <c r="AN1471" i="15"/>
  <c r="AO1471" i="15"/>
  <c r="AM1472" i="15"/>
  <c r="AN1472" i="15"/>
  <c r="AO1472" i="15"/>
  <c r="AM1473" i="15"/>
  <c r="AN1473" i="15"/>
  <c r="AO1473" i="15"/>
  <c r="AM1474" i="15"/>
  <c r="AN1474" i="15"/>
  <c r="AO1474" i="15"/>
  <c r="AM1475" i="15"/>
  <c r="AN1475" i="15"/>
  <c r="AO1475" i="15"/>
  <c r="AM1476" i="15"/>
  <c r="AN1476" i="15"/>
  <c r="AO1476" i="15"/>
  <c r="AM1477" i="15"/>
  <c r="AN1477" i="15"/>
  <c r="AO1477" i="15"/>
  <c r="AM1478" i="15"/>
  <c r="AN1478" i="15"/>
  <c r="AO1478" i="15"/>
  <c r="AM1479" i="15"/>
  <c r="AN1479" i="15"/>
  <c r="AO1479" i="15"/>
  <c r="AM1480" i="15"/>
  <c r="AN1480" i="15"/>
  <c r="AO1480" i="15"/>
  <c r="AM1481" i="15"/>
  <c r="AN1481" i="15"/>
  <c r="AO1481" i="15"/>
  <c r="AM1482" i="15"/>
  <c r="AN1482" i="15"/>
  <c r="AO1482" i="15"/>
  <c r="AM1483" i="15"/>
  <c r="AN1483" i="15"/>
  <c r="AO1483" i="15"/>
  <c r="AM1484" i="15"/>
  <c r="AN1484" i="15"/>
  <c r="AO1484" i="15"/>
  <c r="AM1485" i="15"/>
  <c r="AN1485" i="15"/>
  <c r="AO1485" i="15"/>
  <c r="AM1486" i="15"/>
  <c r="AN1486" i="15"/>
  <c r="AO1486" i="15"/>
  <c r="AM1487" i="15"/>
  <c r="AN1487" i="15"/>
  <c r="AO1487" i="15"/>
  <c r="AM1488" i="15"/>
  <c r="AN1488" i="15"/>
  <c r="AO1488" i="15"/>
  <c r="AM1489" i="15"/>
  <c r="AN1489" i="15"/>
  <c r="AO1489" i="15"/>
  <c r="AM1490" i="15"/>
  <c r="AN1490" i="15"/>
  <c r="AO1490" i="15"/>
  <c r="AM1491" i="15"/>
  <c r="AN1491" i="15"/>
  <c r="AO1491" i="15"/>
  <c r="AM1492" i="15"/>
  <c r="AN1492" i="15"/>
  <c r="AO1492" i="15"/>
  <c r="AM1493" i="15"/>
  <c r="AN1493" i="15"/>
  <c r="AO1493" i="15"/>
  <c r="AM1494" i="15"/>
  <c r="AN1494" i="15"/>
  <c r="AO1494" i="15"/>
  <c r="AM1495" i="15"/>
  <c r="AN1495" i="15"/>
  <c r="AO1495" i="15"/>
  <c r="AM1496" i="15"/>
  <c r="AN1496" i="15"/>
  <c r="AO1496" i="15"/>
  <c r="AM1497" i="15"/>
  <c r="AN1497" i="15"/>
  <c r="AO1497" i="15"/>
  <c r="AM1498" i="15"/>
  <c r="AN1498" i="15"/>
  <c r="AO1498" i="15"/>
  <c r="AM1499" i="15"/>
  <c r="AN1499" i="15"/>
  <c r="AO1499" i="15"/>
  <c r="B4" i="15"/>
  <c r="Q13" i="3"/>
  <c r="O24" i="1"/>
  <c r="O25" i="1"/>
  <c r="O24" i="3"/>
  <c r="E23" i="4"/>
  <c r="W4" i="15" s="1"/>
  <c r="E22" i="4"/>
  <c r="E21" i="4"/>
  <c r="E20" i="4"/>
  <c r="E19" i="4"/>
  <c r="E18" i="4"/>
  <c r="E17" i="4"/>
  <c r="E16" i="4"/>
  <c r="E15" i="4"/>
  <c r="E14" i="4"/>
  <c r="E13" i="4"/>
  <c r="M4" i="15" s="1"/>
  <c r="E12" i="4"/>
  <c r="L4" i="15" s="1"/>
  <c r="E11" i="4"/>
  <c r="K4" i="15" s="1"/>
  <c r="E10" i="4"/>
  <c r="E3" i="4"/>
  <c r="C4" i="15" s="1"/>
  <c r="L6" i="12"/>
  <c r="L7" i="12"/>
  <c r="G113" i="8"/>
  <c r="F113" i="8"/>
  <c r="F112" i="8"/>
  <c r="G112" i="8"/>
  <c r="D90" i="8"/>
  <c r="D88" i="8"/>
  <c r="G118" i="8"/>
  <c r="F118" i="8"/>
  <c r="G117" i="8"/>
  <c r="F117" i="8"/>
  <c r="C116" i="8"/>
  <c r="G115" i="8"/>
  <c r="F115" i="8"/>
  <c r="F114" i="8"/>
  <c r="E114" i="8"/>
  <c r="G114" i="8" s="1"/>
  <c r="G83" i="8"/>
  <c r="F83" i="8"/>
  <c r="G82" i="8"/>
  <c r="F82" i="8"/>
  <c r="C81" i="8"/>
  <c r="G80" i="8"/>
  <c r="F80" i="8"/>
  <c r="F79" i="8"/>
  <c r="E79" i="8"/>
  <c r="G79" i="8" s="1"/>
  <c r="G78" i="8"/>
  <c r="F78" i="8"/>
  <c r="D124" i="8"/>
  <c r="D125" i="8"/>
  <c r="D123" i="8"/>
  <c r="D126" i="8" s="1"/>
  <c r="G100" i="8"/>
  <c r="I100" i="8" s="1"/>
  <c r="G99" i="8"/>
  <c r="B4" i="9"/>
  <c r="B3" i="9"/>
  <c r="C42" i="8"/>
  <c r="B42" i="8"/>
  <c r="B60" i="8"/>
  <c r="D60" i="8"/>
  <c r="C60" i="8"/>
  <c r="D42" i="8"/>
  <c r="O4" i="15" l="1"/>
  <c r="P4" i="15"/>
  <c r="Q4" i="15"/>
  <c r="V4" i="15"/>
  <c r="G4" i="15"/>
  <c r="F4" i="15"/>
  <c r="H4" i="15"/>
  <c r="T4" i="15"/>
  <c r="R4" i="15"/>
  <c r="J4" i="15"/>
  <c r="S4" i="15"/>
  <c r="E4" i="15"/>
  <c r="D4" i="15"/>
  <c r="X6" i="3"/>
  <c r="I4" i="15"/>
  <c r="U4" i="15"/>
  <c r="AB4" i="15"/>
  <c r="N4" i="15"/>
  <c r="Z6" i="3"/>
  <c r="Q13" i="1"/>
  <c r="Q17" i="1"/>
  <c r="Y6" i="3"/>
  <c r="I99" i="8"/>
  <c r="H99" i="8" s="1"/>
  <c r="D92" i="8"/>
  <c r="G116" i="8"/>
  <c r="G119" i="8" s="1"/>
  <c r="F116" i="8"/>
  <c r="F119" i="8" s="1"/>
  <c r="G81" i="8"/>
  <c r="G84" i="8" s="1"/>
  <c r="F81" i="8"/>
  <c r="F84" i="8" s="1"/>
  <c r="I101" i="8"/>
  <c r="H100" i="8"/>
  <c r="H101" i="8" s="1"/>
  <c r="B67" i="8"/>
  <c r="B49" i="8"/>
  <c r="B48" i="8"/>
  <c r="B66" i="8"/>
  <c r="U8" i="3"/>
  <c r="AI8" i="3"/>
  <c r="U9" i="3"/>
  <c r="AI9" i="3"/>
  <c r="U10" i="3"/>
  <c r="AI10" i="3"/>
  <c r="U11" i="3"/>
  <c r="AI11" i="3"/>
  <c r="U12" i="3"/>
  <c r="AI12" i="3"/>
  <c r="U13" i="3"/>
  <c r="AI13" i="3"/>
  <c r="U14" i="3"/>
  <c r="AI14" i="3"/>
  <c r="U15" i="3"/>
  <c r="AI15" i="3"/>
  <c r="U16" i="3"/>
  <c r="AI16" i="3"/>
  <c r="U17" i="3"/>
  <c r="AI17" i="3"/>
  <c r="U18" i="3"/>
  <c r="AI18" i="3"/>
  <c r="U19" i="3"/>
  <c r="AI19" i="3"/>
  <c r="U20" i="3"/>
  <c r="AI20" i="3"/>
  <c r="U21" i="3"/>
  <c r="AI21" i="3"/>
  <c r="U22" i="3"/>
  <c r="AI22" i="3"/>
  <c r="U23" i="3"/>
  <c r="AI23" i="3"/>
  <c r="U24" i="3"/>
  <c r="AI24" i="3"/>
  <c r="U25" i="3"/>
  <c r="AI25" i="3"/>
  <c r="U26" i="3"/>
  <c r="AI26" i="3"/>
  <c r="U27" i="3"/>
  <c r="AI27" i="3"/>
  <c r="U28" i="3"/>
  <c r="AI28" i="3"/>
  <c r="U29" i="3"/>
  <c r="AI29" i="3"/>
  <c r="U30" i="3"/>
  <c r="AI30" i="3"/>
  <c r="U31" i="3"/>
  <c r="AI31" i="3"/>
  <c r="U32" i="3"/>
  <c r="AI32" i="3"/>
  <c r="U33" i="3"/>
  <c r="AI33" i="3"/>
  <c r="U34" i="3"/>
  <c r="AI34" i="3"/>
  <c r="U35" i="3"/>
  <c r="AI35" i="3"/>
  <c r="U36" i="3"/>
  <c r="AI36" i="3"/>
  <c r="U37" i="3"/>
  <c r="AI37" i="3"/>
  <c r="U38" i="3"/>
  <c r="AI38" i="3"/>
  <c r="U39" i="3"/>
  <c r="AI39" i="3"/>
  <c r="U40" i="3"/>
  <c r="AI40" i="3"/>
  <c r="U41" i="3"/>
  <c r="AI41" i="3"/>
  <c r="U42" i="3"/>
  <c r="AI42" i="3"/>
  <c r="U43" i="3"/>
  <c r="AI43" i="3"/>
  <c r="U44" i="3"/>
  <c r="AI44" i="3"/>
  <c r="U45" i="3"/>
  <c r="AI45" i="3"/>
  <c r="U46" i="3"/>
  <c r="AI46" i="3"/>
  <c r="U47" i="3"/>
  <c r="AI47" i="3"/>
  <c r="U48" i="3"/>
  <c r="AI48" i="3"/>
  <c r="U49" i="3"/>
  <c r="AI49" i="3"/>
  <c r="U50" i="3"/>
  <c r="AI50" i="3"/>
  <c r="U51" i="3"/>
  <c r="AI51" i="3"/>
  <c r="U52" i="3"/>
  <c r="AI52" i="3"/>
  <c r="U53" i="3"/>
  <c r="AI53" i="3"/>
  <c r="U54" i="3"/>
  <c r="AI54" i="3"/>
  <c r="U55" i="3"/>
  <c r="AI55" i="3"/>
  <c r="U56" i="3"/>
  <c r="AI56" i="3"/>
  <c r="U57" i="3"/>
  <c r="AI57" i="3"/>
  <c r="U58" i="3"/>
  <c r="AI58" i="3"/>
  <c r="U59" i="3"/>
  <c r="AI59" i="3"/>
  <c r="U60" i="3"/>
  <c r="AI60" i="3"/>
  <c r="U61" i="3"/>
  <c r="AI61" i="3"/>
  <c r="U62" i="3"/>
  <c r="AI62" i="3"/>
  <c r="U63" i="3"/>
  <c r="AI63" i="3"/>
  <c r="U64" i="3"/>
  <c r="AI64" i="3"/>
  <c r="U65" i="3"/>
  <c r="AI65" i="3"/>
  <c r="U66" i="3"/>
  <c r="AI66" i="3"/>
  <c r="U67" i="3"/>
  <c r="AI67" i="3"/>
  <c r="U68" i="3"/>
  <c r="AI68" i="3"/>
  <c r="U69" i="3"/>
  <c r="AI69" i="3"/>
  <c r="U70" i="3"/>
  <c r="AI70" i="3"/>
  <c r="U71" i="3"/>
  <c r="AI71" i="3"/>
  <c r="U72" i="3"/>
  <c r="AI72" i="3"/>
  <c r="U73" i="3"/>
  <c r="AI73" i="3"/>
  <c r="U74" i="3"/>
  <c r="AI74" i="3"/>
  <c r="U75" i="3"/>
  <c r="AI75" i="3"/>
  <c r="U76" i="3"/>
  <c r="AI76" i="3"/>
  <c r="U77" i="3"/>
  <c r="AI77" i="3"/>
  <c r="U78" i="3"/>
  <c r="AI78" i="3"/>
  <c r="U79" i="3"/>
  <c r="AI79" i="3"/>
  <c r="U80" i="3"/>
  <c r="AI80" i="3"/>
  <c r="U81" i="3"/>
  <c r="AI81" i="3"/>
  <c r="U82" i="3"/>
  <c r="AI82" i="3"/>
  <c r="U83" i="3"/>
  <c r="AI83" i="3"/>
  <c r="U84" i="3"/>
  <c r="AI84" i="3"/>
  <c r="U85" i="3"/>
  <c r="AI85" i="3"/>
  <c r="U86" i="3"/>
  <c r="AI86" i="3"/>
  <c r="U87" i="3"/>
  <c r="AI87" i="3"/>
  <c r="U88" i="3"/>
  <c r="AI88" i="3"/>
  <c r="U89" i="3"/>
  <c r="AI89" i="3"/>
  <c r="U90" i="3"/>
  <c r="AI90" i="3"/>
  <c r="U91" i="3"/>
  <c r="AI91" i="3"/>
  <c r="U92" i="3"/>
  <c r="AI92" i="3"/>
  <c r="U93" i="3"/>
  <c r="AI93" i="3"/>
  <c r="U94" i="3"/>
  <c r="AI94" i="3"/>
  <c r="U95" i="3"/>
  <c r="AI95" i="3"/>
  <c r="U96" i="3"/>
  <c r="AI96" i="3"/>
  <c r="U97" i="3"/>
  <c r="AI97" i="3"/>
  <c r="U98" i="3"/>
  <c r="AI98" i="3"/>
  <c r="U99" i="3"/>
  <c r="AI99" i="3"/>
  <c r="U100" i="3"/>
  <c r="AI100" i="3"/>
  <c r="U101" i="3"/>
  <c r="AI101" i="3"/>
  <c r="U102" i="3"/>
  <c r="AI102" i="3"/>
  <c r="U103" i="3"/>
  <c r="AI103" i="3"/>
  <c r="U104" i="3"/>
  <c r="AI104" i="3"/>
  <c r="U105" i="3"/>
  <c r="AI105" i="3"/>
  <c r="U106" i="3"/>
  <c r="AI106" i="3"/>
  <c r="U107" i="3"/>
  <c r="AI107" i="3"/>
  <c r="U108" i="3"/>
  <c r="AI108" i="3"/>
  <c r="U109" i="3"/>
  <c r="AI109" i="3"/>
  <c r="U110" i="3"/>
  <c r="AI110" i="3"/>
  <c r="U111" i="3"/>
  <c r="AI111" i="3"/>
  <c r="U112" i="3"/>
  <c r="AI112" i="3"/>
  <c r="U113" i="3"/>
  <c r="AI113" i="3"/>
  <c r="U114" i="3"/>
  <c r="AI114" i="3"/>
  <c r="U115" i="3"/>
  <c r="AI115" i="3"/>
  <c r="U116" i="3"/>
  <c r="AI116" i="3"/>
  <c r="U117" i="3"/>
  <c r="AI117" i="3"/>
  <c r="U118" i="3"/>
  <c r="AI118" i="3"/>
  <c r="U119" i="3"/>
  <c r="AI119" i="3"/>
  <c r="U120" i="3"/>
  <c r="AI120" i="3"/>
  <c r="U121" i="3"/>
  <c r="AI121" i="3"/>
  <c r="U122" i="3"/>
  <c r="AI122" i="3"/>
  <c r="U123" i="3"/>
  <c r="AI123" i="3"/>
  <c r="U124" i="3"/>
  <c r="AI124" i="3"/>
  <c r="U125" i="3"/>
  <c r="AI125" i="3"/>
  <c r="U126" i="3"/>
  <c r="AI126" i="3"/>
  <c r="U127" i="3"/>
  <c r="AI127" i="3"/>
  <c r="U128" i="3"/>
  <c r="AI128" i="3"/>
  <c r="U129" i="3"/>
  <c r="AI129" i="3"/>
  <c r="U130" i="3"/>
  <c r="AI130" i="3"/>
  <c r="U131" i="3"/>
  <c r="AI131" i="3"/>
  <c r="U132" i="3"/>
  <c r="AI132" i="3"/>
  <c r="U133" i="3"/>
  <c r="AI133" i="3"/>
  <c r="U134" i="3"/>
  <c r="AI134" i="3"/>
  <c r="U135" i="3"/>
  <c r="AI135" i="3"/>
  <c r="U136" i="3"/>
  <c r="AI136" i="3"/>
  <c r="U137" i="3"/>
  <c r="AI137" i="3"/>
  <c r="U138" i="3"/>
  <c r="AI138" i="3"/>
  <c r="U139" i="3"/>
  <c r="AI139" i="3"/>
  <c r="U140" i="3"/>
  <c r="AI140" i="3"/>
  <c r="U141" i="3"/>
  <c r="AI141" i="3"/>
  <c r="U142" i="3"/>
  <c r="AI142" i="3"/>
  <c r="U143" i="3"/>
  <c r="AI143" i="3"/>
  <c r="U144" i="3"/>
  <c r="AI144" i="3"/>
  <c r="U145" i="3"/>
  <c r="AI145" i="3"/>
  <c r="U146" i="3"/>
  <c r="AI146" i="3"/>
  <c r="U147" i="3"/>
  <c r="AI147" i="3"/>
  <c r="U148" i="3"/>
  <c r="AI148" i="3"/>
  <c r="U149" i="3"/>
  <c r="AI149" i="3"/>
  <c r="U150" i="3"/>
  <c r="AI150" i="3"/>
  <c r="U151" i="3"/>
  <c r="AI151" i="3"/>
  <c r="U152" i="3"/>
  <c r="AI152" i="3"/>
  <c r="U153" i="3"/>
  <c r="AI153" i="3"/>
  <c r="U154" i="3"/>
  <c r="AI154" i="3"/>
  <c r="U155" i="3"/>
  <c r="AI155" i="3"/>
  <c r="U156" i="3"/>
  <c r="AI156" i="3"/>
  <c r="U157" i="3"/>
  <c r="AI157" i="3"/>
  <c r="U158" i="3"/>
  <c r="AI158" i="3"/>
  <c r="U159" i="3"/>
  <c r="AI159" i="3"/>
  <c r="U160" i="3"/>
  <c r="AI160" i="3"/>
  <c r="U161" i="3"/>
  <c r="AI161" i="3"/>
  <c r="U162" i="3"/>
  <c r="AI162" i="3"/>
  <c r="U163" i="3"/>
  <c r="AI163" i="3"/>
  <c r="U164" i="3"/>
  <c r="AI164" i="3"/>
  <c r="U165" i="3"/>
  <c r="AI165" i="3"/>
  <c r="U166" i="3"/>
  <c r="AI166" i="3"/>
  <c r="U167" i="3"/>
  <c r="AI167" i="3"/>
  <c r="U168" i="3"/>
  <c r="AI168" i="3"/>
  <c r="U169" i="3"/>
  <c r="AI169" i="3"/>
  <c r="U170" i="3"/>
  <c r="AI170" i="3"/>
  <c r="U171" i="3"/>
  <c r="AI171" i="3"/>
  <c r="U172" i="3"/>
  <c r="AI172" i="3"/>
  <c r="U173" i="3"/>
  <c r="AI173" i="3"/>
  <c r="U174" i="3"/>
  <c r="AI174" i="3"/>
  <c r="U175" i="3"/>
  <c r="AI175" i="3"/>
  <c r="U176" i="3"/>
  <c r="AI176" i="3"/>
  <c r="U177" i="3"/>
  <c r="AI177" i="3"/>
  <c r="U178" i="3"/>
  <c r="AI178" i="3"/>
  <c r="U179" i="3"/>
  <c r="AI179" i="3"/>
  <c r="U180" i="3"/>
  <c r="AI180" i="3"/>
  <c r="U181" i="3"/>
  <c r="AI181" i="3"/>
  <c r="U182" i="3"/>
  <c r="AI182" i="3"/>
  <c r="U183" i="3"/>
  <c r="AI183" i="3"/>
  <c r="U184" i="3"/>
  <c r="AI184" i="3"/>
  <c r="U185" i="3"/>
  <c r="AI185" i="3"/>
  <c r="U186" i="3"/>
  <c r="AI186" i="3"/>
  <c r="U187" i="3"/>
  <c r="AI187" i="3"/>
  <c r="U188" i="3"/>
  <c r="AI188" i="3"/>
  <c r="U189" i="3"/>
  <c r="AI189" i="3"/>
  <c r="U190" i="3"/>
  <c r="AI190" i="3"/>
  <c r="U191" i="3"/>
  <c r="AI191" i="3"/>
  <c r="U192" i="3"/>
  <c r="AI192" i="3"/>
  <c r="U193" i="3"/>
  <c r="AI193" i="3"/>
  <c r="U194" i="3"/>
  <c r="AI194" i="3"/>
  <c r="U195" i="3"/>
  <c r="AI195" i="3"/>
  <c r="U196" i="3"/>
  <c r="AI196" i="3"/>
  <c r="U197" i="3"/>
  <c r="AI197" i="3"/>
  <c r="U198" i="3"/>
  <c r="AI198" i="3"/>
  <c r="U199" i="3"/>
  <c r="AI199" i="3"/>
  <c r="U200" i="3"/>
  <c r="AI200" i="3"/>
  <c r="U201" i="3"/>
  <c r="AI201" i="3"/>
  <c r="U202" i="3"/>
  <c r="AI202" i="3"/>
  <c r="U203" i="3"/>
  <c r="AI203" i="3"/>
  <c r="U204" i="3"/>
  <c r="AI204" i="3"/>
  <c r="U205" i="3"/>
  <c r="AI205" i="3"/>
  <c r="U206" i="3"/>
  <c r="AI206" i="3"/>
  <c r="U207" i="3"/>
  <c r="AI207" i="3"/>
  <c r="U208" i="3"/>
  <c r="AI208" i="3"/>
  <c r="U209" i="3"/>
  <c r="AI209" i="3"/>
  <c r="U210" i="3"/>
  <c r="AI210" i="3"/>
  <c r="U211" i="3"/>
  <c r="AI211" i="3"/>
  <c r="U212" i="3"/>
  <c r="AI212" i="3"/>
  <c r="U213" i="3"/>
  <c r="AI213" i="3"/>
  <c r="U214" i="3"/>
  <c r="AI214" i="3"/>
  <c r="U215" i="3"/>
  <c r="AI215" i="3"/>
  <c r="U216" i="3"/>
  <c r="AI216" i="3"/>
  <c r="U217" i="3"/>
  <c r="AI217" i="3"/>
  <c r="U218" i="3"/>
  <c r="AI218" i="3"/>
  <c r="U219" i="3"/>
  <c r="AI219" i="3"/>
  <c r="U220" i="3"/>
  <c r="AI220" i="3"/>
  <c r="U221" i="3"/>
  <c r="AI221" i="3"/>
  <c r="U222" i="3"/>
  <c r="AI222" i="3"/>
  <c r="U223" i="3"/>
  <c r="AI223" i="3"/>
  <c r="U224" i="3"/>
  <c r="AI224" i="3"/>
  <c r="U225" i="3"/>
  <c r="AI225" i="3"/>
  <c r="U226" i="3"/>
  <c r="AI226" i="3"/>
  <c r="U227" i="3"/>
  <c r="AI227" i="3"/>
  <c r="U228" i="3"/>
  <c r="AI228" i="3"/>
  <c r="U229" i="3"/>
  <c r="AI229" i="3"/>
  <c r="U230" i="3"/>
  <c r="AI230" i="3"/>
  <c r="U231" i="3"/>
  <c r="AI231" i="3"/>
  <c r="U232" i="3"/>
  <c r="AI232" i="3"/>
  <c r="U233" i="3"/>
  <c r="AI233" i="3"/>
  <c r="U234" i="3"/>
  <c r="AI234" i="3"/>
  <c r="U235" i="3"/>
  <c r="AI235" i="3"/>
  <c r="U236" i="3"/>
  <c r="AI236" i="3"/>
  <c r="U237" i="3"/>
  <c r="AI237" i="3"/>
  <c r="U238" i="3"/>
  <c r="AI238" i="3"/>
  <c r="U239" i="3"/>
  <c r="AI239" i="3"/>
  <c r="U240" i="3"/>
  <c r="AI240" i="3"/>
  <c r="U241" i="3"/>
  <c r="AI241" i="3"/>
  <c r="U242" i="3"/>
  <c r="AI242" i="3"/>
  <c r="U243" i="3"/>
  <c r="AI243" i="3"/>
  <c r="U244" i="3"/>
  <c r="AI244" i="3"/>
  <c r="U245" i="3"/>
  <c r="AI245" i="3"/>
  <c r="U246" i="3"/>
  <c r="AI246" i="3"/>
  <c r="U247" i="3"/>
  <c r="AI247" i="3"/>
  <c r="U248" i="3"/>
  <c r="AI248" i="3"/>
  <c r="U249" i="3"/>
  <c r="AI249" i="3"/>
  <c r="U250" i="3"/>
  <c r="AI250" i="3"/>
  <c r="U251" i="3"/>
  <c r="AI251" i="3"/>
  <c r="U252" i="3"/>
  <c r="AI252" i="3"/>
  <c r="U253" i="3"/>
  <c r="AI253" i="3"/>
  <c r="U254" i="3"/>
  <c r="AI254" i="3"/>
  <c r="U255" i="3"/>
  <c r="AI255" i="3"/>
  <c r="U256" i="3"/>
  <c r="AI256" i="3"/>
  <c r="U257" i="3"/>
  <c r="AI257" i="3"/>
  <c r="U258" i="3"/>
  <c r="AI258" i="3"/>
  <c r="U259" i="3"/>
  <c r="AI259" i="3"/>
  <c r="U260" i="3"/>
  <c r="AI260" i="3"/>
  <c r="U261" i="3"/>
  <c r="AI261" i="3"/>
  <c r="U262" i="3"/>
  <c r="AI262" i="3"/>
  <c r="U263" i="3"/>
  <c r="AI263" i="3"/>
  <c r="U264" i="3"/>
  <c r="AI264" i="3"/>
  <c r="U265" i="3"/>
  <c r="AI265" i="3"/>
  <c r="U266" i="3"/>
  <c r="AI266" i="3"/>
  <c r="U267" i="3"/>
  <c r="AI267" i="3"/>
  <c r="U268" i="3"/>
  <c r="AI268" i="3"/>
  <c r="U269" i="3"/>
  <c r="AI269" i="3"/>
  <c r="U270" i="3"/>
  <c r="AI270" i="3"/>
  <c r="U271" i="3"/>
  <c r="AI271" i="3"/>
  <c r="U272" i="3"/>
  <c r="AI272" i="3"/>
  <c r="U273" i="3"/>
  <c r="AI273" i="3"/>
  <c r="U274" i="3"/>
  <c r="AI274" i="3"/>
  <c r="U275" i="3"/>
  <c r="AI275" i="3"/>
  <c r="U276" i="3"/>
  <c r="AI276" i="3"/>
  <c r="U277" i="3"/>
  <c r="AI277" i="3"/>
  <c r="U278" i="3"/>
  <c r="AI278" i="3"/>
  <c r="U279" i="3"/>
  <c r="AI279" i="3"/>
  <c r="U280" i="3"/>
  <c r="AI280" i="3"/>
  <c r="U281" i="3"/>
  <c r="AI281" i="3"/>
  <c r="U282" i="3"/>
  <c r="AI282" i="3"/>
  <c r="U283" i="3"/>
  <c r="AI283" i="3"/>
  <c r="U284" i="3"/>
  <c r="AI284" i="3"/>
  <c r="U285" i="3"/>
  <c r="AI285" i="3"/>
  <c r="U286" i="3"/>
  <c r="AI286" i="3"/>
  <c r="U287" i="3"/>
  <c r="AI287" i="3"/>
  <c r="U288" i="3"/>
  <c r="AI288" i="3"/>
  <c r="U289" i="3"/>
  <c r="AI289" i="3"/>
  <c r="U290" i="3"/>
  <c r="AI290" i="3"/>
  <c r="U291" i="3"/>
  <c r="AI291" i="3"/>
  <c r="U292" i="3"/>
  <c r="AI292" i="3"/>
  <c r="U293" i="3"/>
  <c r="AI293" i="3"/>
  <c r="U294" i="3"/>
  <c r="AI294" i="3"/>
  <c r="U295" i="3"/>
  <c r="AI295" i="3"/>
  <c r="U296" i="3"/>
  <c r="AI296" i="3"/>
  <c r="U297" i="3"/>
  <c r="AI297" i="3"/>
  <c r="U298" i="3"/>
  <c r="AI298" i="3"/>
  <c r="U299" i="3"/>
  <c r="AI299" i="3"/>
  <c r="U300" i="3"/>
  <c r="AI300" i="3"/>
  <c r="U301" i="3"/>
  <c r="AI301" i="3"/>
  <c r="U302" i="3"/>
  <c r="AI302" i="3"/>
  <c r="U303" i="3"/>
  <c r="AI303" i="3"/>
  <c r="U304" i="3"/>
  <c r="AI304" i="3"/>
  <c r="U305" i="3"/>
  <c r="AI305" i="3"/>
  <c r="U306" i="3"/>
  <c r="AI306" i="3"/>
  <c r="U307" i="3"/>
  <c r="AI307" i="3"/>
  <c r="U308" i="3"/>
  <c r="AI308" i="3"/>
  <c r="U309" i="3"/>
  <c r="AI309" i="3"/>
  <c r="U310" i="3"/>
  <c r="AI310" i="3"/>
  <c r="U311" i="3"/>
  <c r="AI311" i="3"/>
  <c r="U312" i="3"/>
  <c r="AI312" i="3"/>
  <c r="U313" i="3"/>
  <c r="AI313" i="3"/>
  <c r="U314" i="3"/>
  <c r="AI314" i="3"/>
  <c r="U315" i="3"/>
  <c r="AI315" i="3"/>
  <c r="U316" i="3"/>
  <c r="AI316" i="3"/>
  <c r="U317" i="3"/>
  <c r="AI317" i="3"/>
  <c r="U318" i="3"/>
  <c r="AI318" i="3"/>
  <c r="U319" i="3"/>
  <c r="AI319" i="3"/>
  <c r="U320" i="3"/>
  <c r="AI320" i="3"/>
  <c r="U321" i="3"/>
  <c r="AI321" i="3"/>
  <c r="U322" i="3"/>
  <c r="AI322" i="3"/>
  <c r="U323" i="3"/>
  <c r="AI323" i="3"/>
  <c r="U324" i="3"/>
  <c r="AI324" i="3"/>
  <c r="U325" i="3"/>
  <c r="AI325" i="3"/>
  <c r="U326" i="3"/>
  <c r="AI326" i="3"/>
  <c r="U327" i="3"/>
  <c r="AI327" i="3"/>
  <c r="U328" i="3"/>
  <c r="AI328" i="3"/>
  <c r="U329" i="3"/>
  <c r="AI329" i="3"/>
  <c r="U330" i="3"/>
  <c r="AI330" i="3"/>
  <c r="U331" i="3"/>
  <c r="AI331" i="3"/>
  <c r="U332" i="3"/>
  <c r="AI332" i="3"/>
  <c r="U333" i="3"/>
  <c r="AI333" i="3"/>
  <c r="U334" i="3"/>
  <c r="AI334" i="3"/>
  <c r="U335" i="3"/>
  <c r="AI335" i="3"/>
  <c r="U336" i="3"/>
  <c r="AI336" i="3"/>
  <c r="U337" i="3"/>
  <c r="AI337" i="3"/>
  <c r="U338" i="3"/>
  <c r="AI338" i="3"/>
  <c r="U339" i="3"/>
  <c r="AI339" i="3"/>
  <c r="U340" i="3"/>
  <c r="AI340" i="3"/>
  <c r="U341" i="3"/>
  <c r="AI341" i="3"/>
  <c r="U342" i="3"/>
  <c r="AI342" i="3"/>
  <c r="U343" i="3"/>
  <c r="AI343" i="3"/>
  <c r="U344" i="3"/>
  <c r="AI344" i="3"/>
  <c r="U345" i="3"/>
  <c r="AI345" i="3"/>
  <c r="U346" i="3"/>
  <c r="AI346" i="3"/>
  <c r="U347" i="3"/>
  <c r="AI347" i="3"/>
  <c r="U348" i="3"/>
  <c r="AI348" i="3"/>
  <c r="U349" i="3"/>
  <c r="AI349" i="3"/>
  <c r="U350" i="3"/>
  <c r="AI350" i="3"/>
  <c r="U351" i="3"/>
  <c r="AI351" i="3"/>
  <c r="U352" i="3"/>
  <c r="AI352" i="3"/>
  <c r="U353" i="3"/>
  <c r="AI353" i="3"/>
  <c r="U354" i="3"/>
  <c r="AI354" i="3"/>
  <c r="U355" i="3"/>
  <c r="AI355" i="3"/>
  <c r="U356" i="3"/>
  <c r="AI356" i="3"/>
  <c r="U357" i="3"/>
  <c r="AI357" i="3"/>
  <c r="U358" i="3"/>
  <c r="AI358" i="3"/>
  <c r="U359" i="3"/>
  <c r="AI359" i="3"/>
  <c r="U360" i="3"/>
  <c r="AI360" i="3"/>
  <c r="U361" i="3"/>
  <c r="AI361" i="3"/>
  <c r="U362" i="3"/>
  <c r="AI362" i="3"/>
  <c r="U363" i="3"/>
  <c r="AI363" i="3"/>
  <c r="U364" i="3"/>
  <c r="AI364" i="3"/>
  <c r="U365" i="3"/>
  <c r="AI365" i="3"/>
  <c r="U366" i="3"/>
  <c r="AI366" i="3"/>
  <c r="U367" i="3"/>
  <c r="AI367" i="3"/>
  <c r="U368" i="3"/>
  <c r="AI368" i="3"/>
  <c r="U369" i="3"/>
  <c r="AI369" i="3"/>
  <c r="U370" i="3"/>
  <c r="AI370" i="3"/>
  <c r="U371" i="3"/>
  <c r="AI371" i="3"/>
  <c r="U372" i="3"/>
  <c r="AI372" i="3"/>
  <c r="U373" i="3"/>
  <c r="AI373" i="3"/>
  <c r="U374" i="3"/>
  <c r="AI374" i="3"/>
  <c r="U375" i="3"/>
  <c r="AI375" i="3"/>
  <c r="U376" i="3"/>
  <c r="AI376" i="3"/>
  <c r="U377" i="3"/>
  <c r="AI377" i="3"/>
  <c r="U378" i="3"/>
  <c r="AI378" i="3"/>
  <c r="U379" i="3"/>
  <c r="AI379" i="3"/>
  <c r="U380" i="3"/>
  <c r="AI380" i="3"/>
  <c r="U381" i="3"/>
  <c r="AI381" i="3"/>
  <c r="U382" i="3"/>
  <c r="AI382" i="3"/>
  <c r="U383" i="3"/>
  <c r="AI383" i="3"/>
  <c r="U384" i="3"/>
  <c r="AI384" i="3"/>
  <c r="U385" i="3"/>
  <c r="AI385" i="3"/>
  <c r="U386" i="3"/>
  <c r="AI386" i="3"/>
  <c r="U387" i="3"/>
  <c r="AI387" i="3"/>
  <c r="U388" i="3"/>
  <c r="AI388" i="3"/>
  <c r="U389" i="3"/>
  <c r="AI389" i="3"/>
  <c r="U390" i="3"/>
  <c r="AI390" i="3"/>
  <c r="U391" i="3"/>
  <c r="AI391" i="3"/>
  <c r="U392" i="3"/>
  <c r="AI392" i="3"/>
  <c r="U393" i="3"/>
  <c r="AI393" i="3"/>
  <c r="U394" i="3"/>
  <c r="AI394" i="3"/>
  <c r="U395" i="3"/>
  <c r="AI395" i="3"/>
  <c r="U396" i="3"/>
  <c r="AI396" i="3"/>
  <c r="U397" i="3"/>
  <c r="AI397" i="3"/>
  <c r="U398" i="3"/>
  <c r="AI398" i="3"/>
  <c r="U399" i="3"/>
  <c r="AI399" i="3"/>
  <c r="U400" i="3"/>
  <c r="AI400" i="3"/>
  <c r="U401" i="3"/>
  <c r="AI401" i="3"/>
  <c r="U402" i="3"/>
  <c r="AI402" i="3"/>
  <c r="U403" i="3"/>
  <c r="AI403" i="3"/>
  <c r="U404" i="3"/>
  <c r="AI404" i="3"/>
  <c r="U405" i="3"/>
  <c r="AI405" i="3"/>
  <c r="U406" i="3"/>
  <c r="AI406" i="3"/>
  <c r="U407" i="3"/>
  <c r="AI407" i="3"/>
  <c r="U408" i="3"/>
  <c r="AI408" i="3"/>
  <c r="U409" i="3"/>
  <c r="AI409" i="3"/>
  <c r="U410" i="3"/>
  <c r="AI410" i="3"/>
  <c r="U411" i="3"/>
  <c r="AI411" i="3"/>
  <c r="U412" i="3"/>
  <c r="AI412" i="3"/>
  <c r="U413" i="3"/>
  <c r="AI413" i="3"/>
  <c r="U414" i="3"/>
  <c r="AI414" i="3"/>
  <c r="U415" i="3"/>
  <c r="AI415" i="3"/>
  <c r="U416" i="3"/>
  <c r="AI416" i="3"/>
  <c r="U417" i="3"/>
  <c r="AI417" i="3"/>
  <c r="U418" i="3"/>
  <c r="AI418" i="3"/>
  <c r="U419" i="3"/>
  <c r="AI419" i="3"/>
  <c r="U420" i="3"/>
  <c r="AI420" i="3"/>
  <c r="U421" i="3"/>
  <c r="AI421" i="3"/>
  <c r="U422" i="3"/>
  <c r="AI422" i="3"/>
  <c r="U423" i="3"/>
  <c r="AI423" i="3"/>
  <c r="U424" i="3"/>
  <c r="AI424" i="3"/>
  <c r="U425" i="3"/>
  <c r="AI425" i="3"/>
  <c r="U426" i="3"/>
  <c r="AI426" i="3"/>
  <c r="U427" i="3"/>
  <c r="AI427" i="3"/>
  <c r="U428" i="3"/>
  <c r="AI428" i="3"/>
  <c r="U429" i="3"/>
  <c r="AI429" i="3"/>
  <c r="U430" i="3"/>
  <c r="AI430" i="3"/>
  <c r="U431" i="3"/>
  <c r="AI431" i="3"/>
  <c r="U432" i="3"/>
  <c r="AI432" i="3"/>
  <c r="U433" i="3"/>
  <c r="AI433" i="3"/>
  <c r="U434" i="3"/>
  <c r="AI434" i="3"/>
  <c r="U435" i="3"/>
  <c r="AI435" i="3"/>
  <c r="U436" i="3"/>
  <c r="AI436" i="3"/>
  <c r="U437" i="3"/>
  <c r="AI437" i="3"/>
  <c r="U438" i="3"/>
  <c r="AI438" i="3"/>
  <c r="U439" i="3"/>
  <c r="AI439" i="3"/>
  <c r="U440" i="3"/>
  <c r="AI440" i="3"/>
  <c r="U441" i="3"/>
  <c r="AI441" i="3"/>
  <c r="U442" i="3"/>
  <c r="AI442" i="3"/>
  <c r="U443" i="3"/>
  <c r="AI443" i="3"/>
  <c r="U444" i="3"/>
  <c r="AI444" i="3"/>
  <c r="U445" i="3"/>
  <c r="AI445" i="3"/>
  <c r="U446" i="3"/>
  <c r="AI446" i="3"/>
  <c r="U447" i="3"/>
  <c r="AI447" i="3"/>
  <c r="U448" i="3"/>
  <c r="AI448" i="3"/>
  <c r="U449" i="3"/>
  <c r="AI449" i="3"/>
  <c r="U450" i="3"/>
  <c r="AI450" i="3"/>
  <c r="U451" i="3"/>
  <c r="AI451" i="3"/>
  <c r="U452" i="3"/>
  <c r="AI452" i="3"/>
  <c r="U453" i="3"/>
  <c r="AI453" i="3"/>
  <c r="U454" i="3"/>
  <c r="AI454" i="3"/>
  <c r="U455" i="3"/>
  <c r="AI455" i="3"/>
  <c r="U456" i="3"/>
  <c r="AI456" i="3"/>
  <c r="U457" i="3"/>
  <c r="AI457" i="3"/>
  <c r="U458" i="3"/>
  <c r="AI458" i="3"/>
  <c r="U459" i="3"/>
  <c r="AI459" i="3"/>
  <c r="U460" i="3"/>
  <c r="AI460" i="3"/>
  <c r="U461" i="3"/>
  <c r="AI461" i="3"/>
  <c r="U462" i="3"/>
  <c r="AI462" i="3"/>
  <c r="U463" i="3"/>
  <c r="AI463" i="3"/>
  <c r="U464" i="3"/>
  <c r="AI464" i="3"/>
  <c r="U465" i="3"/>
  <c r="AI465" i="3"/>
  <c r="U466" i="3"/>
  <c r="AI466" i="3"/>
  <c r="U467" i="3"/>
  <c r="AI467" i="3"/>
  <c r="U468" i="3"/>
  <c r="AI468" i="3"/>
  <c r="U469" i="3"/>
  <c r="AI469" i="3"/>
  <c r="U470" i="3"/>
  <c r="AI470" i="3"/>
  <c r="U471" i="3"/>
  <c r="AI471" i="3"/>
  <c r="U472" i="3"/>
  <c r="AI472" i="3"/>
  <c r="U473" i="3"/>
  <c r="AI473" i="3"/>
  <c r="U474" i="3"/>
  <c r="AI474" i="3"/>
  <c r="U475" i="3"/>
  <c r="AI475" i="3"/>
  <c r="U476" i="3"/>
  <c r="AI476" i="3"/>
  <c r="U477" i="3"/>
  <c r="AI477" i="3"/>
  <c r="U478" i="3"/>
  <c r="AI478" i="3"/>
  <c r="U479" i="3"/>
  <c r="AI479" i="3"/>
  <c r="U480" i="3"/>
  <c r="AI480" i="3"/>
  <c r="U481" i="3"/>
  <c r="AI481" i="3"/>
  <c r="U482" i="3"/>
  <c r="AI482" i="3"/>
  <c r="U483" i="3"/>
  <c r="AI483" i="3"/>
  <c r="U484" i="3"/>
  <c r="AI484" i="3"/>
  <c r="U485" i="3"/>
  <c r="AI485" i="3"/>
  <c r="U486" i="3"/>
  <c r="AI486" i="3"/>
  <c r="AI7" i="3"/>
  <c r="U7" i="3"/>
  <c r="AI6" i="3"/>
  <c r="U12" i="1"/>
  <c r="AI12" i="1"/>
  <c r="U13" i="1"/>
  <c r="AI13" i="1"/>
  <c r="U14" i="1"/>
  <c r="AI14" i="1"/>
  <c r="U15" i="1"/>
  <c r="AI15" i="1"/>
  <c r="U16" i="1"/>
  <c r="AI16" i="1"/>
  <c r="U17" i="1"/>
  <c r="AI17" i="1"/>
  <c r="U18" i="1"/>
  <c r="AI18" i="1"/>
  <c r="U19" i="1"/>
  <c r="AI19" i="1"/>
  <c r="U20" i="1"/>
  <c r="AI20" i="1"/>
  <c r="U21" i="1"/>
  <c r="AI21" i="1"/>
  <c r="U22" i="1"/>
  <c r="AI22" i="1"/>
  <c r="U23" i="1"/>
  <c r="AI23" i="1"/>
  <c r="U24" i="1"/>
  <c r="AI24" i="1"/>
  <c r="U25" i="1"/>
  <c r="AI25" i="1"/>
  <c r="U26" i="1"/>
  <c r="AI26" i="1"/>
  <c r="U27" i="1"/>
  <c r="AI27" i="1"/>
  <c r="U28" i="1"/>
  <c r="AI28" i="1"/>
  <c r="U29" i="1"/>
  <c r="AI29" i="1"/>
  <c r="U30" i="1"/>
  <c r="AI30" i="1"/>
  <c r="U31" i="1"/>
  <c r="AI31" i="1"/>
  <c r="U32" i="1"/>
  <c r="AI32" i="1"/>
  <c r="U33" i="1"/>
  <c r="AI33" i="1"/>
  <c r="U34" i="1"/>
  <c r="AI34" i="1"/>
  <c r="U35" i="1"/>
  <c r="AI35" i="1"/>
  <c r="U36" i="1"/>
  <c r="AI36" i="1"/>
  <c r="U37" i="1"/>
  <c r="AI37" i="1"/>
  <c r="U38" i="1"/>
  <c r="AI38" i="1"/>
  <c r="U39" i="1"/>
  <c r="AI39" i="1"/>
  <c r="U40" i="1"/>
  <c r="AI40" i="1"/>
  <c r="U41" i="1"/>
  <c r="AI41" i="1"/>
  <c r="U42" i="1"/>
  <c r="AI42" i="1"/>
  <c r="U43" i="1"/>
  <c r="AI43" i="1"/>
  <c r="U44" i="1"/>
  <c r="AI44" i="1"/>
  <c r="U45" i="1"/>
  <c r="AI45" i="1"/>
  <c r="U46" i="1"/>
  <c r="AI46" i="1"/>
  <c r="U47" i="1"/>
  <c r="AI47" i="1"/>
  <c r="U48" i="1"/>
  <c r="AI48" i="1"/>
  <c r="U49" i="1"/>
  <c r="AI49" i="1"/>
  <c r="U50" i="1"/>
  <c r="AI50" i="1"/>
  <c r="U51" i="1"/>
  <c r="AI51" i="1"/>
  <c r="U52" i="1"/>
  <c r="AI52" i="1"/>
  <c r="U53" i="1"/>
  <c r="AI53" i="1"/>
  <c r="U54" i="1"/>
  <c r="AI54" i="1"/>
  <c r="U55" i="1"/>
  <c r="AI55" i="1"/>
  <c r="U56" i="1"/>
  <c r="AI56" i="1"/>
  <c r="U57" i="1"/>
  <c r="AI57" i="1"/>
  <c r="U58" i="1"/>
  <c r="AI58" i="1"/>
  <c r="U59" i="1"/>
  <c r="AI59" i="1"/>
  <c r="U60" i="1"/>
  <c r="AI60" i="1"/>
  <c r="U61" i="1"/>
  <c r="AI61" i="1"/>
  <c r="U62" i="1"/>
  <c r="AI62" i="1"/>
  <c r="U63" i="1"/>
  <c r="AI63" i="1"/>
  <c r="U64" i="1"/>
  <c r="AI64" i="1"/>
  <c r="U65" i="1"/>
  <c r="AI65" i="1"/>
  <c r="U66" i="1"/>
  <c r="AI66" i="1"/>
  <c r="U67" i="1"/>
  <c r="AI67" i="1"/>
  <c r="U68" i="1"/>
  <c r="AI68" i="1"/>
  <c r="U69" i="1"/>
  <c r="AI69" i="1"/>
  <c r="U70" i="1"/>
  <c r="AI70" i="1"/>
  <c r="U71" i="1"/>
  <c r="AI71" i="1"/>
  <c r="U72" i="1"/>
  <c r="AI72" i="1"/>
  <c r="U73" i="1"/>
  <c r="AI73" i="1"/>
  <c r="U74" i="1"/>
  <c r="AI74" i="1"/>
  <c r="U75" i="1"/>
  <c r="AI75" i="1"/>
  <c r="U76" i="1"/>
  <c r="AI76" i="1"/>
  <c r="U77" i="1"/>
  <c r="AI77" i="1"/>
  <c r="U78" i="1"/>
  <c r="AI78" i="1"/>
  <c r="U79" i="1"/>
  <c r="AI79" i="1"/>
  <c r="U80" i="1"/>
  <c r="AI80" i="1"/>
  <c r="U81" i="1"/>
  <c r="AI81" i="1"/>
  <c r="U82" i="1"/>
  <c r="AI82" i="1"/>
  <c r="U83" i="1"/>
  <c r="AI83" i="1"/>
  <c r="U84" i="1"/>
  <c r="AI84" i="1"/>
  <c r="U85" i="1"/>
  <c r="AI85" i="1"/>
  <c r="U86" i="1"/>
  <c r="AI86" i="1"/>
  <c r="U87" i="1"/>
  <c r="AI87" i="1"/>
  <c r="U88" i="1"/>
  <c r="AI88" i="1"/>
  <c r="U89" i="1"/>
  <c r="AI89" i="1"/>
  <c r="U90" i="1"/>
  <c r="AI90" i="1"/>
  <c r="U91" i="1"/>
  <c r="AI91" i="1"/>
  <c r="U92" i="1"/>
  <c r="AI92" i="1"/>
  <c r="U93" i="1"/>
  <c r="AI93" i="1"/>
  <c r="U94" i="1"/>
  <c r="AI94" i="1"/>
  <c r="U95" i="1"/>
  <c r="AI95" i="1"/>
  <c r="U96" i="1"/>
  <c r="AI96" i="1"/>
  <c r="U97" i="1"/>
  <c r="AI97" i="1"/>
  <c r="U98" i="1"/>
  <c r="AI98" i="1"/>
  <c r="U99" i="1"/>
  <c r="AI99" i="1"/>
  <c r="U100" i="1"/>
  <c r="AI100" i="1"/>
  <c r="U101" i="1"/>
  <c r="AI101" i="1"/>
  <c r="U102" i="1"/>
  <c r="AI102" i="1"/>
  <c r="U103" i="1"/>
  <c r="AI103" i="1"/>
  <c r="U104" i="1"/>
  <c r="AI104" i="1"/>
  <c r="U105" i="1"/>
  <c r="AI105" i="1"/>
  <c r="U106" i="1"/>
  <c r="AI106" i="1"/>
  <c r="U107" i="1"/>
  <c r="AI107" i="1"/>
  <c r="U108" i="1"/>
  <c r="AI108" i="1"/>
  <c r="U109" i="1"/>
  <c r="AI109" i="1"/>
  <c r="U110" i="1"/>
  <c r="AI110" i="1"/>
  <c r="U111" i="1"/>
  <c r="AI111" i="1"/>
  <c r="U112" i="1"/>
  <c r="AI112" i="1"/>
  <c r="U113" i="1"/>
  <c r="AI113" i="1"/>
  <c r="U114" i="1"/>
  <c r="AI114" i="1"/>
  <c r="U115" i="1"/>
  <c r="AI115" i="1"/>
  <c r="U116" i="1"/>
  <c r="AI116" i="1"/>
  <c r="U117" i="1"/>
  <c r="AI117" i="1"/>
  <c r="U118" i="1"/>
  <c r="AI118" i="1"/>
  <c r="U119" i="1"/>
  <c r="AI119" i="1"/>
  <c r="U120" i="1"/>
  <c r="AI120" i="1"/>
  <c r="U121" i="1"/>
  <c r="AI121" i="1"/>
  <c r="U122" i="1"/>
  <c r="AI122" i="1"/>
  <c r="U123" i="1"/>
  <c r="AI123" i="1"/>
  <c r="U124" i="1"/>
  <c r="AI124" i="1"/>
  <c r="U125" i="1"/>
  <c r="AI125" i="1"/>
  <c r="U126" i="1"/>
  <c r="AI126" i="1"/>
  <c r="U127" i="1"/>
  <c r="AI127" i="1"/>
  <c r="U128" i="1"/>
  <c r="AI128" i="1"/>
  <c r="U129" i="1"/>
  <c r="AI129" i="1"/>
  <c r="U130" i="1"/>
  <c r="AI130" i="1"/>
  <c r="U131" i="1"/>
  <c r="AI131" i="1"/>
  <c r="U132" i="1"/>
  <c r="AI132" i="1"/>
  <c r="U133" i="1"/>
  <c r="AI133" i="1"/>
  <c r="U134" i="1"/>
  <c r="AI134" i="1"/>
  <c r="U135" i="1"/>
  <c r="AI135" i="1"/>
  <c r="U136" i="1"/>
  <c r="AI136" i="1"/>
  <c r="U137" i="1"/>
  <c r="AI137" i="1"/>
  <c r="U138" i="1"/>
  <c r="AI138" i="1"/>
  <c r="U139" i="1"/>
  <c r="AI139" i="1"/>
  <c r="U140" i="1"/>
  <c r="AI140" i="1"/>
  <c r="U141" i="1"/>
  <c r="AI141" i="1"/>
  <c r="U142" i="1"/>
  <c r="AI142" i="1"/>
  <c r="U143" i="1"/>
  <c r="AI143" i="1"/>
  <c r="U144" i="1"/>
  <c r="AI144" i="1"/>
  <c r="U145" i="1"/>
  <c r="AI145" i="1"/>
  <c r="U146" i="1"/>
  <c r="AI146" i="1"/>
  <c r="U147" i="1"/>
  <c r="AI147" i="1"/>
  <c r="U148" i="1"/>
  <c r="AI148" i="1"/>
  <c r="U149" i="1"/>
  <c r="AI149" i="1"/>
  <c r="U150" i="1"/>
  <c r="AI150" i="1"/>
  <c r="U151" i="1"/>
  <c r="AI151" i="1"/>
  <c r="U152" i="1"/>
  <c r="AI152" i="1"/>
  <c r="U153" i="1"/>
  <c r="AI153" i="1"/>
  <c r="U154" i="1"/>
  <c r="AI154" i="1"/>
  <c r="U155" i="1"/>
  <c r="AI155" i="1"/>
  <c r="U156" i="1"/>
  <c r="AI156" i="1"/>
  <c r="U157" i="1"/>
  <c r="AI157" i="1"/>
  <c r="U158" i="1"/>
  <c r="AI158" i="1"/>
  <c r="U159" i="1"/>
  <c r="AI159" i="1"/>
  <c r="U160" i="1"/>
  <c r="AI160" i="1"/>
  <c r="U161" i="1"/>
  <c r="AI161" i="1"/>
  <c r="U162" i="1"/>
  <c r="AI162" i="1"/>
  <c r="U163" i="1"/>
  <c r="AI163" i="1"/>
  <c r="U164" i="1"/>
  <c r="AI164" i="1"/>
  <c r="U165" i="1"/>
  <c r="AI165" i="1"/>
  <c r="U166" i="1"/>
  <c r="AI166" i="1"/>
  <c r="U167" i="1"/>
  <c r="AI167" i="1"/>
  <c r="U168" i="1"/>
  <c r="AI168" i="1"/>
  <c r="U169" i="1"/>
  <c r="AI169" i="1"/>
  <c r="U170" i="1"/>
  <c r="AI170" i="1"/>
  <c r="U171" i="1"/>
  <c r="AI171" i="1"/>
  <c r="U172" i="1"/>
  <c r="AI172" i="1"/>
  <c r="U173" i="1"/>
  <c r="AI173" i="1"/>
  <c r="U174" i="1"/>
  <c r="AI174" i="1"/>
  <c r="U175" i="1"/>
  <c r="AI175" i="1"/>
  <c r="U176" i="1"/>
  <c r="AI176" i="1"/>
  <c r="U177" i="1"/>
  <c r="AI177" i="1"/>
  <c r="U178" i="1"/>
  <c r="AI178" i="1"/>
  <c r="U179" i="1"/>
  <c r="AI179" i="1"/>
  <c r="U180" i="1"/>
  <c r="AI180" i="1"/>
  <c r="U181" i="1"/>
  <c r="AI181" i="1"/>
  <c r="U182" i="1"/>
  <c r="AI182" i="1"/>
  <c r="U183" i="1"/>
  <c r="AI183" i="1"/>
  <c r="U184" i="1"/>
  <c r="AI184" i="1"/>
  <c r="U185" i="1"/>
  <c r="AI185" i="1"/>
  <c r="U186" i="1"/>
  <c r="AI186" i="1"/>
  <c r="U187" i="1"/>
  <c r="AI187" i="1"/>
  <c r="U188" i="1"/>
  <c r="AI188" i="1"/>
  <c r="U189" i="1"/>
  <c r="AI189" i="1"/>
  <c r="U190" i="1"/>
  <c r="AI190" i="1"/>
  <c r="U191" i="1"/>
  <c r="AI191" i="1"/>
  <c r="U192" i="1"/>
  <c r="AI192" i="1"/>
  <c r="U193" i="1"/>
  <c r="AI193" i="1"/>
  <c r="U194" i="1"/>
  <c r="AI194" i="1"/>
  <c r="U195" i="1"/>
  <c r="AI195" i="1"/>
  <c r="U196" i="1"/>
  <c r="AI196" i="1"/>
  <c r="U197" i="1"/>
  <c r="AI197" i="1"/>
  <c r="U198" i="1"/>
  <c r="AI198" i="1"/>
  <c r="U199" i="1"/>
  <c r="AI199" i="1"/>
  <c r="U200" i="1"/>
  <c r="AI200" i="1"/>
  <c r="U201" i="1"/>
  <c r="AI201" i="1"/>
  <c r="U202" i="1"/>
  <c r="AI202" i="1"/>
  <c r="U203" i="1"/>
  <c r="AI203" i="1"/>
  <c r="U204" i="1"/>
  <c r="AI204" i="1"/>
  <c r="U205" i="1"/>
  <c r="AI205" i="1"/>
  <c r="U206" i="1"/>
  <c r="AI206" i="1"/>
  <c r="U207" i="1"/>
  <c r="AI207" i="1"/>
  <c r="U208" i="1"/>
  <c r="AI208" i="1"/>
  <c r="U209" i="1"/>
  <c r="AI209" i="1"/>
  <c r="U210" i="1"/>
  <c r="AI210" i="1"/>
  <c r="U211" i="1"/>
  <c r="AI211" i="1"/>
  <c r="U212" i="1"/>
  <c r="AI212" i="1"/>
  <c r="U213" i="1"/>
  <c r="AI213" i="1"/>
  <c r="U214" i="1"/>
  <c r="AI214" i="1"/>
  <c r="U215" i="1"/>
  <c r="AI215" i="1"/>
  <c r="U216" i="1"/>
  <c r="AI216" i="1"/>
  <c r="U217" i="1"/>
  <c r="AI217" i="1"/>
  <c r="U218" i="1"/>
  <c r="AI218" i="1"/>
  <c r="U219" i="1"/>
  <c r="AI219" i="1"/>
  <c r="U220" i="1"/>
  <c r="AI220" i="1"/>
  <c r="U221" i="1"/>
  <c r="AI221" i="1"/>
  <c r="U222" i="1"/>
  <c r="AI222" i="1"/>
  <c r="U223" i="1"/>
  <c r="AI223" i="1"/>
  <c r="U224" i="1"/>
  <c r="AI224" i="1"/>
  <c r="U225" i="1"/>
  <c r="AI225" i="1"/>
  <c r="U226" i="1"/>
  <c r="AI226" i="1"/>
  <c r="U227" i="1"/>
  <c r="AI227" i="1"/>
  <c r="U228" i="1"/>
  <c r="AI228" i="1"/>
  <c r="U229" i="1"/>
  <c r="AI229" i="1"/>
  <c r="U230" i="1"/>
  <c r="AI230" i="1"/>
  <c r="U231" i="1"/>
  <c r="AI231" i="1"/>
  <c r="U232" i="1"/>
  <c r="AI232" i="1"/>
  <c r="U233" i="1"/>
  <c r="AI233" i="1"/>
  <c r="U234" i="1"/>
  <c r="AI234" i="1"/>
  <c r="U235" i="1"/>
  <c r="AI235" i="1"/>
  <c r="U236" i="1"/>
  <c r="AI236" i="1"/>
  <c r="U237" i="1"/>
  <c r="AI237" i="1"/>
  <c r="U238" i="1"/>
  <c r="AI238" i="1"/>
  <c r="U239" i="1"/>
  <c r="AI239" i="1"/>
  <c r="U240" i="1"/>
  <c r="AI240" i="1"/>
  <c r="U241" i="1"/>
  <c r="AI241" i="1"/>
  <c r="U242" i="1"/>
  <c r="AI242" i="1"/>
  <c r="U243" i="1"/>
  <c r="AI243" i="1"/>
  <c r="U244" i="1"/>
  <c r="AI244" i="1"/>
  <c r="U245" i="1"/>
  <c r="AI245" i="1"/>
  <c r="U246" i="1"/>
  <c r="AI246" i="1"/>
  <c r="U247" i="1"/>
  <c r="AI247" i="1"/>
  <c r="U248" i="1"/>
  <c r="AI248" i="1"/>
  <c r="U249" i="1"/>
  <c r="AI249" i="1"/>
  <c r="U250" i="1"/>
  <c r="AI250" i="1"/>
  <c r="U251" i="1"/>
  <c r="AI251" i="1"/>
  <c r="U252" i="1"/>
  <c r="AI252" i="1"/>
  <c r="U253" i="1"/>
  <c r="AI253" i="1"/>
  <c r="U254" i="1"/>
  <c r="AI254" i="1"/>
  <c r="U255" i="1"/>
  <c r="AI255" i="1"/>
  <c r="U256" i="1"/>
  <c r="AI256" i="1"/>
  <c r="U257" i="1"/>
  <c r="AI257" i="1"/>
  <c r="U258" i="1"/>
  <c r="AI258" i="1"/>
  <c r="U259" i="1"/>
  <c r="AI259" i="1"/>
  <c r="U260" i="1"/>
  <c r="AI260" i="1"/>
  <c r="U261" i="1"/>
  <c r="AI261" i="1"/>
  <c r="U262" i="1"/>
  <c r="AI262" i="1"/>
  <c r="U263" i="1"/>
  <c r="AI263" i="1"/>
  <c r="U264" i="1"/>
  <c r="AI264" i="1"/>
  <c r="U265" i="1"/>
  <c r="AI265" i="1"/>
  <c r="U266" i="1"/>
  <c r="AI266" i="1"/>
  <c r="U267" i="1"/>
  <c r="AI267" i="1"/>
  <c r="U268" i="1"/>
  <c r="AI268" i="1"/>
  <c r="U269" i="1"/>
  <c r="AI269" i="1"/>
  <c r="U270" i="1"/>
  <c r="AI270" i="1"/>
  <c r="U271" i="1"/>
  <c r="AI271" i="1"/>
  <c r="U272" i="1"/>
  <c r="AI272" i="1"/>
  <c r="U273" i="1"/>
  <c r="AI273" i="1"/>
  <c r="U274" i="1"/>
  <c r="AI274" i="1"/>
  <c r="U275" i="1"/>
  <c r="AI275" i="1"/>
  <c r="U276" i="1"/>
  <c r="AI276" i="1"/>
  <c r="U277" i="1"/>
  <c r="AI277" i="1"/>
  <c r="U278" i="1"/>
  <c r="AI278" i="1"/>
  <c r="U279" i="1"/>
  <c r="AI279" i="1"/>
  <c r="U280" i="1"/>
  <c r="AI280" i="1"/>
  <c r="U281" i="1"/>
  <c r="AI281" i="1"/>
  <c r="U282" i="1"/>
  <c r="AI282" i="1"/>
  <c r="U283" i="1"/>
  <c r="AI283" i="1"/>
  <c r="U284" i="1"/>
  <c r="AI284" i="1"/>
  <c r="U285" i="1"/>
  <c r="AI285" i="1"/>
  <c r="U286" i="1"/>
  <c r="AI286" i="1"/>
  <c r="U287" i="1"/>
  <c r="AI287" i="1"/>
  <c r="U288" i="1"/>
  <c r="AI288" i="1"/>
  <c r="U289" i="1"/>
  <c r="AI289" i="1"/>
  <c r="U290" i="1"/>
  <c r="AI290" i="1"/>
  <c r="U291" i="1"/>
  <c r="AI291" i="1"/>
  <c r="U292" i="1"/>
  <c r="AI292" i="1"/>
  <c r="U293" i="1"/>
  <c r="AI293" i="1"/>
  <c r="U294" i="1"/>
  <c r="AI294" i="1"/>
  <c r="U295" i="1"/>
  <c r="AI295" i="1"/>
  <c r="U296" i="1"/>
  <c r="AI296" i="1"/>
  <c r="U297" i="1"/>
  <c r="AI297" i="1"/>
  <c r="U298" i="1"/>
  <c r="AI298" i="1"/>
  <c r="U299" i="1"/>
  <c r="AI299" i="1"/>
  <c r="U300" i="1"/>
  <c r="AI300" i="1"/>
  <c r="U301" i="1"/>
  <c r="AI301" i="1"/>
  <c r="U302" i="1"/>
  <c r="AI302" i="1"/>
  <c r="U303" i="1"/>
  <c r="AI303" i="1"/>
  <c r="U304" i="1"/>
  <c r="AI304" i="1"/>
  <c r="U305" i="1"/>
  <c r="AI305" i="1"/>
  <c r="U306" i="1"/>
  <c r="AI306" i="1"/>
  <c r="U307" i="1"/>
  <c r="AI307" i="1"/>
  <c r="U308" i="1"/>
  <c r="AI308" i="1"/>
  <c r="U309" i="1"/>
  <c r="AI309" i="1"/>
  <c r="U310" i="1"/>
  <c r="AI310" i="1"/>
  <c r="U311" i="1"/>
  <c r="AI311" i="1"/>
  <c r="U312" i="1"/>
  <c r="AI312" i="1"/>
  <c r="U313" i="1"/>
  <c r="AI313" i="1"/>
  <c r="U314" i="1"/>
  <c r="AI314" i="1"/>
  <c r="U315" i="1"/>
  <c r="AI315" i="1"/>
  <c r="U316" i="1"/>
  <c r="AI316" i="1"/>
  <c r="U317" i="1"/>
  <c r="AI317" i="1"/>
  <c r="U318" i="1"/>
  <c r="AI318" i="1"/>
  <c r="U319" i="1"/>
  <c r="AI319" i="1"/>
  <c r="U320" i="1"/>
  <c r="AI320" i="1"/>
  <c r="U321" i="1"/>
  <c r="AI321" i="1"/>
  <c r="U322" i="1"/>
  <c r="AI322" i="1"/>
  <c r="U323" i="1"/>
  <c r="AI323" i="1"/>
  <c r="U324" i="1"/>
  <c r="AI324" i="1"/>
  <c r="U325" i="1"/>
  <c r="AI325" i="1"/>
  <c r="U326" i="1"/>
  <c r="AI326" i="1"/>
  <c r="U327" i="1"/>
  <c r="AI327" i="1"/>
  <c r="U328" i="1"/>
  <c r="AI328" i="1"/>
  <c r="U329" i="1"/>
  <c r="AI329" i="1"/>
  <c r="U330" i="1"/>
  <c r="AI330" i="1"/>
  <c r="U331" i="1"/>
  <c r="AI331" i="1"/>
  <c r="U332" i="1"/>
  <c r="AI332" i="1"/>
  <c r="U333" i="1"/>
  <c r="AI333" i="1"/>
  <c r="U334" i="1"/>
  <c r="AI334" i="1"/>
  <c r="U335" i="1"/>
  <c r="AI335" i="1"/>
  <c r="U336" i="1"/>
  <c r="AI336" i="1"/>
  <c r="U337" i="1"/>
  <c r="AI337" i="1"/>
  <c r="U338" i="1"/>
  <c r="AI338" i="1"/>
  <c r="U339" i="1"/>
  <c r="AI339" i="1"/>
  <c r="U340" i="1"/>
  <c r="AI340" i="1"/>
  <c r="U341" i="1"/>
  <c r="AI341" i="1"/>
  <c r="U342" i="1"/>
  <c r="AI342" i="1"/>
  <c r="U343" i="1"/>
  <c r="AI343" i="1"/>
  <c r="U344" i="1"/>
  <c r="AI344" i="1"/>
  <c r="U345" i="1"/>
  <c r="AI345" i="1"/>
  <c r="U346" i="1"/>
  <c r="AI346" i="1"/>
  <c r="U347" i="1"/>
  <c r="AI347" i="1"/>
  <c r="U348" i="1"/>
  <c r="AI348" i="1"/>
  <c r="U349" i="1"/>
  <c r="AI349" i="1"/>
  <c r="U350" i="1"/>
  <c r="AI350" i="1"/>
  <c r="U351" i="1"/>
  <c r="AI351" i="1"/>
  <c r="U352" i="1"/>
  <c r="AI352" i="1"/>
  <c r="U353" i="1"/>
  <c r="AI353" i="1"/>
  <c r="U354" i="1"/>
  <c r="AI354" i="1"/>
  <c r="U355" i="1"/>
  <c r="AI355" i="1"/>
  <c r="U356" i="1"/>
  <c r="AI356" i="1"/>
  <c r="U357" i="1"/>
  <c r="AI357" i="1"/>
  <c r="U358" i="1"/>
  <c r="AI358" i="1"/>
  <c r="U359" i="1"/>
  <c r="AI359" i="1"/>
  <c r="U360" i="1"/>
  <c r="AI360" i="1"/>
  <c r="U361" i="1"/>
  <c r="AI361" i="1"/>
  <c r="U362" i="1"/>
  <c r="AI362" i="1"/>
  <c r="U363" i="1"/>
  <c r="AI363" i="1"/>
  <c r="U364" i="1"/>
  <c r="AI364" i="1"/>
  <c r="U365" i="1"/>
  <c r="AI365" i="1"/>
  <c r="U366" i="1"/>
  <c r="AI366" i="1"/>
  <c r="U367" i="1"/>
  <c r="AI367" i="1"/>
  <c r="U368" i="1"/>
  <c r="AI368" i="1"/>
  <c r="U369" i="1"/>
  <c r="AI369" i="1"/>
  <c r="U370" i="1"/>
  <c r="AI370" i="1"/>
  <c r="U371" i="1"/>
  <c r="AI371" i="1"/>
  <c r="U372" i="1"/>
  <c r="AI372" i="1"/>
  <c r="U373" i="1"/>
  <c r="AI373" i="1"/>
  <c r="U374" i="1"/>
  <c r="AI374" i="1"/>
  <c r="U375" i="1"/>
  <c r="AI375" i="1"/>
  <c r="U376" i="1"/>
  <c r="AI376" i="1"/>
  <c r="U377" i="1"/>
  <c r="AI377" i="1"/>
  <c r="U378" i="1"/>
  <c r="AI378" i="1"/>
  <c r="U379" i="1"/>
  <c r="AI379" i="1"/>
  <c r="U380" i="1"/>
  <c r="AI380" i="1"/>
  <c r="U381" i="1"/>
  <c r="AI381" i="1"/>
  <c r="U382" i="1"/>
  <c r="AI382" i="1"/>
  <c r="U383" i="1"/>
  <c r="AI383" i="1"/>
  <c r="U384" i="1"/>
  <c r="AI384" i="1"/>
  <c r="U385" i="1"/>
  <c r="AI385" i="1"/>
  <c r="U386" i="1"/>
  <c r="AI386" i="1"/>
  <c r="U387" i="1"/>
  <c r="AI387" i="1"/>
  <c r="U388" i="1"/>
  <c r="AI388" i="1"/>
  <c r="U389" i="1"/>
  <c r="AI389" i="1"/>
  <c r="U390" i="1"/>
  <c r="AI390" i="1"/>
  <c r="U391" i="1"/>
  <c r="AI391" i="1"/>
  <c r="U392" i="1"/>
  <c r="AI392" i="1"/>
  <c r="U393" i="1"/>
  <c r="AI393" i="1"/>
  <c r="U394" i="1"/>
  <c r="AI394" i="1"/>
  <c r="U395" i="1"/>
  <c r="AI395" i="1"/>
  <c r="U396" i="1"/>
  <c r="AI396" i="1"/>
  <c r="U397" i="1"/>
  <c r="AI397" i="1"/>
  <c r="U398" i="1"/>
  <c r="AI398" i="1"/>
  <c r="U399" i="1"/>
  <c r="AI399" i="1"/>
  <c r="U400" i="1"/>
  <c r="AI400" i="1"/>
  <c r="U401" i="1"/>
  <c r="AI401" i="1"/>
  <c r="U402" i="1"/>
  <c r="AI402" i="1"/>
  <c r="U403" i="1"/>
  <c r="AI403" i="1"/>
  <c r="U404" i="1"/>
  <c r="AI404" i="1"/>
  <c r="U405" i="1"/>
  <c r="AI405" i="1"/>
  <c r="U406" i="1"/>
  <c r="AI406" i="1"/>
  <c r="U407" i="1"/>
  <c r="AI407" i="1"/>
  <c r="U408" i="1"/>
  <c r="AI408" i="1"/>
  <c r="U409" i="1"/>
  <c r="AI409" i="1"/>
  <c r="U410" i="1"/>
  <c r="AI410" i="1"/>
  <c r="U411" i="1"/>
  <c r="AI411" i="1"/>
  <c r="U412" i="1"/>
  <c r="AI412" i="1"/>
  <c r="U413" i="1"/>
  <c r="AI413" i="1"/>
  <c r="U414" i="1"/>
  <c r="AI414" i="1"/>
  <c r="U415" i="1"/>
  <c r="AI415" i="1"/>
  <c r="U416" i="1"/>
  <c r="AI416" i="1"/>
  <c r="U417" i="1"/>
  <c r="AI417" i="1"/>
  <c r="U418" i="1"/>
  <c r="AI418" i="1"/>
  <c r="U419" i="1"/>
  <c r="AI419" i="1"/>
  <c r="U420" i="1"/>
  <c r="AI420" i="1"/>
  <c r="U421" i="1"/>
  <c r="AI421" i="1"/>
  <c r="U422" i="1"/>
  <c r="AI422" i="1"/>
  <c r="U423" i="1"/>
  <c r="AI423" i="1"/>
  <c r="U424" i="1"/>
  <c r="AI424" i="1"/>
  <c r="U425" i="1"/>
  <c r="AI425" i="1"/>
  <c r="U426" i="1"/>
  <c r="AI426" i="1"/>
  <c r="U427" i="1"/>
  <c r="AI427" i="1"/>
  <c r="U428" i="1"/>
  <c r="AI428" i="1"/>
  <c r="U429" i="1"/>
  <c r="AI429" i="1"/>
  <c r="U430" i="1"/>
  <c r="AI430" i="1"/>
  <c r="U431" i="1"/>
  <c r="AI431" i="1"/>
  <c r="U432" i="1"/>
  <c r="AI432" i="1"/>
  <c r="U433" i="1"/>
  <c r="AI433" i="1"/>
  <c r="U434" i="1"/>
  <c r="AI434" i="1"/>
  <c r="U435" i="1"/>
  <c r="AI435" i="1"/>
  <c r="U436" i="1"/>
  <c r="AI436" i="1"/>
  <c r="U437" i="1"/>
  <c r="AI437" i="1"/>
  <c r="U438" i="1"/>
  <c r="AI438" i="1"/>
  <c r="U439" i="1"/>
  <c r="AI439" i="1"/>
  <c r="U440" i="1"/>
  <c r="AI440" i="1"/>
  <c r="U441" i="1"/>
  <c r="AI441" i="1"/>
  <c r="U442" i="1"/>
  <c r="AI442" i="1"/>
  <c r="U443" i="1"/>
  <c r="AI443" i="1"/>
  <c r="U444" i="1"/>
  <c r="AI444" i="1"/>
  <c r="U445" i="1"/>
  <c r="AI445" i="1"/>
  <c r="U446" i="1"/>
  <c r="AI446" i="1"/>
  <c r="U447" i="1"/>
  <c r="AI447" i="1"/>
  <c r="U448" i="1"/>
  <c r="AI448" i="1"/>
  <c r="U449" i="1"/>
  <c r="AI449" i="1"/>
  <c r="U450" i="1"/>
  <c r="AI450" i="1"/>
  <c r="U451" i="1"/>
  <c r="AI451" i="1"/>
  <c r="U452" i="1"/>
  <c r="AI452" i="1"/>
  <c r="U453" i="1"/>
  <c r="AI453" i="1"/>
  <c r="U454" i="1"/>
  <c r="AI454" i="1"/>
  <c r="U455" i="1"/>
  <c r="AI455" i="1"/>
  <c r="U456" i="1"/>
  <c r="AI456" i="1"/>
  <c r="U457" i="1"/>
  <c r="AI457" i="1"/>
  <c r="U458" i="1"/>
  <c r="AI458" i="1"/>
  <c r="U459" i="1"/>
  <c r="AI459" i="1"/>
  <c r="U460" i="1"/>
  <c r="AI460" i="1"/>
  <c r="U461" i="1"/>
  <c r="AI461" i="1"/>
  <c r="U462" i="1"/>
  <c r="AI462" i="1"/>
  <c r="U463" i="1"/>
  <c r="AI463" i="1"/>
  <c r="U464" i="1"/>
  <c r="AI464" i="1"/>
  <c r="U465" i="1"/>
  <c r="AI465" i="1"/>
  <c r="U466" i="1"/>
  <c r="AI466" i="1"/>
  <c r="U467" i="1"/>
  <c r="AI467" i="1"/>
  <c r="U468" i="1"/>
  <c r="AI468" i="1"/>
  <c r="U469" i="1"/>
  <c r="AI469" i="1"/>
  <c r="U470" i="1"/>
  <c r="AI470" i="1"/>
  <c r="U471" i="1"/>
  <c r="AI471" i="1"/>
  <c r="U472" i="1"/>
  <c r="AI472" i="1"/>
  <c r="U473" i="1"/>
  <c r="AI473" i="1"/>
  <c r="U474" i="1"/>
  <c r="AI474" i="1"/>
  <c r="U475" i="1"/>
  <c r="AI475" i="1"/>
  <c r="U476" i="1"/>
  <c r="AI476" i="1"/>
  <c r="U477" i="1"/>
  <c r="AI477" i="1"/>
  <c r="U478" i="1"/>
  <c r="AI478" i="1"/>
  <c r="U479" i="1"/>
  <c r="AI479" i="1"/>
  <c r="U480" i="1"/>
  <c r="AI480" i="1"/>
  <c r="U481" i="1"/>
  <c r="AI481" i="1"/>
  <c r="U482" i="1"/>
  <c r="AI482" i="1"/>
  <c r="U483" i="1"/>
  <c r="AI483" i="1"/>
  <c r="U484" i="1"/>
  <c r="AI484" i="1"/>
  <c r="U485" i="1"/>
  <c r="AI485" i="1"/>
  <c r="U486" i="1"/>
  <c r="AI486" i="1"/>
  <c r="U8" i="1"/>
  <c r="AI8" i="1"/>
  <c r="U9" i="1"/>
  <c r="AI9" i="1"/>
  <c r="U10" i="1"/>
  <c r="AI10" i="1"/>
  <c r="U11" i="1"/>
  <c r="AI11" i="1"/>
  <c r="AI7" i="1"/>
  <c r="U7" i="1"/>
  <c r="AI6" i="1"/>
  <c r="X6" i="1" l="1"/>
  <c r="Z6" i="1"/>
  <c r="Y6" i="1"/>
  <c r="W6" i="3"/>
  <c r="V6" i="3" s="1"/>
  <c r="W7" i="3" s="1"/>
  <c r="X4" i="15"/>
  <c r="W6" i="1" l="1"/>
  <c r="V6" i="1" s="1"/>
  <c r="W7" i="1" s="1"/>
  <c r="V7" i="1" s="1"/>
  <c r="AA7" i="3"/>
  <c r="AA8" i="3" s="1"/>
  <c r="AB7" i="3"/>
  <c r="AC6" i="3"/>
  <c r="AG6" i="3" s="1"/>
  <c r="Y4" i="15"/>
  <c r="AA4" i="15"/>
  <c r="Z4" i="15"/>
  <c r="AD6" i="3"/>
  <c r="AF6" i="3"/>
  <c r="V7" i="3"/>
  <c r="W8" i="3"/>
  <c r="AE6" i="3" l="1"/>
  <c r="AC6" i="1"/>
  <c r="AG6" i="1" s="1"/>
  <c r="W9" i="3"/>
  <c r="V8" i="3"/>
  <c r="AC7" i="3"/>
  <c r="AG7" i="3" s="1"/>
  <c r="W8" i="1"/>
  <c r="AA9" i="3"/>
  <c r="AB8" i="3"/>
  <c r="AB9" i="3" s="1"/>
  <c r="AD6" i="1" l="1"/>
  <c r="AE6" i="1"/>
  <c r="AD7" i="3"/>
  <c r="AF7" i="3"/>
  <c r="AC8" i="3"/>
  <c r="AG8" i="3" s="1"/>
  <c r="V9" i="3"/>
  <c r="W10" i="3"/>
  <c r="AE7" i="3"/>
  <c r="AB10" i="3"/>
  <c r="AA10" i="3"/>
  <c r="AD8" i="3" l="1"/>
  <c r="V10" i="3"/>
  <c r="W11" i="3"/>
  <c r="AC9" i="3"/>
  <c r="AG9" i="3" s="1"/>
  <c r="AF8" i="3"/>
  <c r="AE8" i="3"/>
  <c r="AA11" i="3"/>
  <c r="AB11" i="3"/>
  <c r="AD9" i="3" l="1"/>
  <c r="AE9" i="3"/>
  <c r="AF9" i="3"/>
  <c r="W12" i="3"/>
  <c r="V11" i="3"/>
  <c r="AC10" i="3"/>
  <c r="AG10" i="3" s="1"/>
  <c r="AA12" i="3"/>
  <c r="AB12" i="3"/>
  <c r="AD10" i="3" l="1"/>
  <c r="AF10" i="3"/>
  <c r="AC11" i="3"/>
  <c r="AG11" i="3" s="1"/>
  <c r="AE10" i="3"/>
  <c r="V12" i="3"/>
  <c r="W13" i="3"/>
  <c r="AA13" i="3"/>
  <c r="AB13" i="3"/>
  <c r="AD11" i="3" l="1"/>
  <c r="AE11" i="3"/>
  <c r="W14" i="3"/>
  <c r="V13" i="3"/>
  <c r="AF11" i="3"/>
  <c r="AC12" i="3"/>
  <c r="AG12" i="3" s="1"/>
  <c r="AB14" i="3"/>
  <c r="AA14" i="3"/>
  <c r="AB7" i="1"/>
  <c r="AA7" i="1"/>
  <c r="AD12" i="3" l="1"/>
  <c r="AF12" i="3"/>
  <c r="AA15" i="3"/>
  <c r="AE12" i="3"/>
  <c r="AC13" i="3"/>
  <c r="AF13" i="3" s="1"/>
  <c r="V14" i="3"/>
  <c r="W15" i="3"/>
  <c r="AC7" i="1"/>
  <c r="AE7" i="1" s="1"/>
  <c r="AB15" i="3"/>
  <c r="AF6" i="1"/>
  <c r="AA8" i="1"/>
  <c r="AB8" i="1"/>
  <c r="AD13" i="3" l="1"/>
  <c r="AD7" i="1"/>
  <c r="AB16" i="3"/>
  <c r="AA16" i="3"/>
  <c r="AC14" i="3"/>
  <c r="AD14" i="3" s="1"/>
  <c r="AG7" i="1"/>
  <c r="V15" i="3"/>
  <c r="W16" i="3"/>
  <c r="AG13" i="3"/>
  <c r="AE13" i="3"/>
  <c r="V8" i="1"/>
  <c r="AF7" i="1"/>
  <c r="AB9" i="1"/>
  <c r="AA9" i="1"/>
  <c r="AA17" i="3"/>
  <c r="AB17" i="3" l="1"/>
  <c r="AE14" i="3"/>
  <c r="AG14" i="3"/>
  <c r="AF14" i="3"/>
  <c r="W17" i="3"/>
  <c r="AA18" i="3" s="1"/>
  <c r="V16" i="3"/>
  <c r="AC15" i="3"/>
  <c r="AD15" i="3" s="1"/>
  <c r="W9" i="1"/>
  <c r="AB10" i="1" s="1"/>
  <c r="AC8" i="1"/>
  <c r="AG8" i="1" s="1"/>
  <c r="AD8" i="1" l="1"/>
  <c r="AA10" i="1"/>
  <c r="AF8" i="1"/>
  <c r="V9" i="1"/>
  <c r="AB18" i="3"/>
  <c r="AE15" i="3"/>
  <c r="AG15" i="3"/>
  <c r="AF15" i="3"/>
  <c r="AC16" i="3"/>
  <c r="AD16" i="3" s="1"/>
  <c r="V17" i="3"/>
  <c r="W18" i="3"/>
  <c r="AB19" i="3" s="1"/>
  <c r="AE8" i="1"/>
  <c r="AA19" i="3" l="1"/>
  <c r="W10" i="1"/>
  <c r="V10" i="1" s="1"/>
  <c r="AC9" i="1"/>
  <c r="AG9" i="1" s="1"/>
  <c r="AF16" i="3"/>
  <c r="V18" i="3"/>
  <c r="W19" i="3"/>
  <c r="AC17" i="3"/>
  <c r="AD17" i="3" s="1"/>
  <c r="AG16" i="3"/>
  <c r="AE16" i="3"/>
  <c r="AB20" i="3" l="1"/>
  <c r="AA20" i="3"/>
  <c r="AA11" i="1"/>
  <c r="AC10" i="1"/>
  <c r="AD10" i="1" s="1"/>
  <c r="W11" i="1"/>
  <c r="V11" i="1" s="1"/>
  <c r="AB11" i="1"/>
  <c r="AD9" i="1"/>
  <c r="AE9" i="1"/>
  <c r="AF9" i="1"/>
  <c r="AF17" i="3"/>
  <c r="AC18" i="3"/>
  <c r="AF18" i="3" s="1"/>
  <c r="AG17" i="3"/>
  <c r="AE17" i="3"/>
  <c r="W20" i="3"/>
  <c r="AB21" i="3" s="1"/>
  <c r="V19" i="3"/>
  <c r="AD18" i="3" l="1"/>
  <c r="AB12" i="1"/>
  <c r="AA12" i="1"/>
  <c r="AE10" i="1"/>
  <c r="AF10" i="1"/>
  <c r="AG10" i="1"/>
  <c r="W12" i="1"/>
  <c r="AC11" i="1"/>
  <c r="AD11" i="1" s="1"/>
  <c r="AA21" i="3"/>
  <c r="AC19" i="3"/>
  <c r="AF19" i="3" s="1"/>
  <c r="W21" i="3"/>
  <c r="V20" i="3"/>
  <c r="AG18" i="3"/>
  <c r="AE18" i="3"/>
  <c r="AD19" i="3" l="1"/>
  <c r="AA13" i="1"/>
  <c r="AB13" i="1"/>
  <c r="V12" i="1"/>
  <c r="AC12" i="1" s="1"/>
  <c r="AF12" i="1" s="1"/>
  <c r="AA22" i="3"/>
  <c r="AG11" i="1"/>
  <c r="AF11" i="1"/>
  <c r="AE11" i="1"/>
  <c r="AB22" i="3"/>
  <c r="AC20" i="3"/>
  <c r="AD20" i="3" s="1"/>
  <c r="V21" i="3"/>
  <c r="W22" i="3"/>
  <c r="AB23" i="3" s="1"/>
  <c r="AG19" i="3"/>
  <c r="AE19" i="3"/>
  <c r="AA23" i="3" l="1"/>
  <c r="W13" i="1"/>
  <c r="V13" i="1" s="1"/>
  <c r="W14" i="1" s="1"/>
  <c r="V14" i="1" s="1"/>
  <c r="W15" i="1" s="1"/>
  <c r="V15" i="1" s="1"/>
  <c r="AD12" i="1"/>
  <c r="AE12" i="1"/>
  <c r="AG12" i="1"/>
  <c r="W23" i="3"/>
  <c r="AA24" i="3" s="1"/>
  <c r="V22" i="3"/>
  <c r="AC21" i="3"/>
  <c r="AF21" i="3" s="1"/>
  <c r="AG20" i="3"/>
  <c r="AE20" i="3"/>
  <c r="AF20" i="3"/>
  <c r="AB24" i="3" l="1"/>
  <c r="AD21" i="3"/>
  <c r="AB14" i="1"/>
  <c r="AA14" i="1"/>
  <c r="AA15" i="1" s="1"/>
  <c r="AA16" i="1" s="1"/>
  <c r="AC13" i="1"/>
  <c r="AF13" i="1" s="1"/>
  <c r="AC22" i="3"/>
  <c r="AD22" i="3" s="1"/>
  <c r="W24" i="3"/>
  <c r="AA25" i="3" s="1"/>
  <c r="V23" i="3"/>
  <c r="AE21" i="3"/>
  <c r="AG21" i="3"/>
  <c r="W16" i="1"/>
  <c r="AB15" i="1" l="1"/>
  <c r="AB16" i="1" s="1"/>
  <c r="AB17" i="1" s="1"/>
  <c r="AC14" i="1"/>
  <c r="AE14" i="1" s="1"/>
  <c r="AE13" i="1"/>
  <c r="AD13" i="1"/>
  <c r="AG13" i="1"/>
  <c r="AB25" i="3"/>
  <c r="AC23" i="3"/>
  <c r="AD23" i="3" s="1"/>
  <c r="W25" i="3"/>
  <c r="AA26" i="3" s="1"/>
  <c r="V24" i="3"/>
  <c r="AG22" i="3"/>
  <c r="AE22" i="3"/>
  <c r="AF22" i="3"/>
  <c r="AA17" i="1"/>
  <c r="V16" i="1"/>
  <c r="AB26" i="3"/>
  <c r="AD14" i="1" l="1"/>
  <c r="AF14" i="1"/>
  <c r="AG14" i="1"/>
  <c r="AC15" i="1"/>
  <c r="AE15" i="1" s="1"/>
  <c r="AG23" i="3"/>
  <c r="AE23" i="3"/>
  <c r="AF23" i="3"/>
  <c r="AC24" i="3"/>
  <c r="AF24" i="3" s="1"/>
  <c r="V25" i="3"/>
  <c r="W26" i="3"/>
  <c r="W17" i="1"/>
  <c r="AC16" i="1"/>
  <c r="AG16" i="1" s="1"/>
  <c r="AD24" i="3" l="1"/>
  <c r="AD15" i="1"/>
  <c r="AF15" i="1"/>
  <c r="AG15" i="1"/>
  <c r="AD16" i="1"/>
  <c r="AE16" i="1"/>
  <c r="W27" i="3"/>
  <c r="V26" i="3"/>
  <c r="AC25" i="3"/>
  <c r="AG25" i="3" s="1"/>
  <c r="AG24" i="3"/>
  <c r="AE24" i="3"/>
  <c r="AA18" i="1"/>
  <c r="AA27" i="3"/>
  <c r="AE25" i="3"/>
  <c r="AB27" i="3"/>
  <c r="AF16" i="1"/>
  <c r="V17" i="1"/>
  <c r="AB18" i="1"/>
  <c r="AA28" i="3" l="1"/>
  <c r="AD25" i="3"/>
  <c r="AB28" i="3"/>
  <c r="AF25" i="3"/>
  <c r="AC26" i="3"/>
  <c r="AF26" i="3" s="1"/>
  <c r="W28" i="3"/>
  <c r="V27" i="3"/>
  <c r="W18" i="1"/>
  <c r="AC17" i="1"/>
  <c r="AG17" i="1" s="1"/>
  <c r="AA29" i="3" l="1"/>
  <c r="AD26" i="3"/>
  <c r="AD17" i="1"/>
  <c r="AC27" i="3"/>
  <c r="AF27" i="3" s="1"/>
  <c r="W29" i="3"/>
  <c r="V28" i="3"/>
  <c r="AE17" i="1"/>
  <c r="AG26" i="3"/>
  <c r="AE26" i="3"/>
  <c r="AB29" i="3"/>
  <c r="AB30" i="3" s="1"/>
  <c r="AF17" i="1"/>
  <c r="V18" i="1"/>
  <c r="AA19" i="1"/>
  <c r="AB19" i="1"/>
  <c r="AD27" i="3" l="1"/>
  <c r="AC28" i="3"/>
  <c r="AG28" i="3" s="1"/>
  <c r="V29" i="3"/>
  <c r="W30" i="3"/>
  <c r="AG27" i="3"/>
  <c r="AE27" i="3"/>
  <c r="AA30" i="3"/>
  <c r="W19" i="1"/>
  <c r="AB20" i="1" s="1"/>
  <c r="AC18" i="1"/>
  <c r="AG18" i="1" s="1"/>
  <c r="AB31" i="3" l="1"/>
  <c r="AD28" i="3"/>
  <c r="AD18" i="1"/>
  <c r="AA31" i="3"/>
  <c r="AE18" i="1"/>
  <c r="AC29" i="3"/>
  <c r="AG29" i="3" s="1"/>
  <c r="AF28" i="3"/>
  <c r="AE29" i="3"/>
  <c r="AE28" i="3"/>
  <c r="W31" i="3"/>
  <c r="V30" i="3"/>
  <c r="AF18" i="1"/>
  <c r="V19" i="1"/>
  <c r="AA20" i="1"/>
  <c r="AB32" i="3" l="1"/>
  <c r="AA32" i="3"/>
  <c r="AD29" i="3"/>
  <c r="V31" i="3"/>
  <c r="W32" i="3"/>
  <c r="AC30" i="3"/>
  <c r="AD30" i="3" s="1"/>
  <c r="AF29" i="3"/>
  <c r="W20" i="1"/>
  <c r="AB21" i="1" s="1"/>
  <c r="AC19" i="1"/>
  <c r="AG19" i="1" s="1"/>
  <c r="AB33" i="3" l="1"/>
  <c r="AA33" i="3"/>
  <c r="AD19" i="1"/>
  <c r="AG30" i="3"/>
  <c r="AE30" i="3"/>
  <c r="AF30" i="3"/>
  <c r="AE19" i="1"/>
  <c r="W33" i="3"/>
  <c r="V32" i="3"/>
  <c r="AC31" i="3"/>
  <c r="AF31" i="3" s="1"/>
  <c r="AF19" i="1"/>
  <c r="V20" i="1"/>
  <c r="AA21" i="1"/>
  <c r="AD31" i="3" l="1"/>
  <c r="AA34" i="3"/>
  <c r="AB34" i="3"/>
  <c r="AC32" i="3"/>
  <c r="AF32" i="3" s="1"/>
  <c r="V33" i="3"/>
  <c r="W34" i="3"/>
  <c r="AG31" i="3"/>
  <c r="AE31" i="3"/>
  <c r="W21" i="1"/>
  <c r="AC20" i="1"/>
  <c r="AG20" i="1" s="1"/>
  <c r="AD32" i="3" l="1"/>
  <c r="AB35" i="3"/>
  <c r="AD20" i="1"/>
  <c r="AA35" i="3"/>
  <c r="AE20" i="1"/>
  <c r="W35" i="3"/>
  <c r="V34" i="3"/>
  <c r="AC33" i="3"/>
  <c r="AD33" i="3" s="1"/>
  <c r="AB22" i="1"/>
  <c r="AG32" i="3"/>
  <c r="AE32" i="3"/>
  <c r="AF20" i="1"/>
  <c r="V21" i="1"/>
  <c r="AA22" i="1"/>
  <c r="AG33" i="3" l="1"/>
  <c r="AE33" i="3"/>
  <c r="AF33" i="3"/>
  <c r="AC34" i="3"/>
  <c r="AD34" i="3" s="1"/>
  <c r="V35" i="3"/>
  <c r="W36" i="3"/>
  <c r="AB36" i="3"/>
  <c r="AA36" i="3"/>
  <c r="AA37" i="3" s="1"/>
  <c r="W22" i="1"/>
  <c r="AB23" i="1" s="1"/>
  <c r="AC21" i="1"/>
  <c r="AG21" i="1" s="1"/>
  <c r="AD21" i="1" l="1"/>
  <c r="AB37" i="3"/>
  <c r="V36" i="3"/>
  <c r="W37" i="3"/>
  <c r="AC35" i="3"/>
  <c r="AD35" i="3" s="1"/>
  <c r="AG34" i="3"/>
  <c r="AE34" i="3"/>
  <c r="AF34" i="3"/>
  <c r="AE21" i="1"/>
  <c r="AF21" i="1"/>
  <c r="V22" i="1"/>
  <c r="AA23" i="1"/>
  <c r="AB38" i="3" l="1"/>
  <c r="W38" i="3"/>
  <c r="V37" i="3"/>
  <c r="AC36" i="3"/>
  <c r="AG36" i="3" s="1"/>
  <c r="AG35" i="3"/>
  <c r="AE35" i="3"/>
  <c r="AF35" i="3"/>
  <c r="AA38" i="3"/>
  <c r="W23" i="1"/>
  <c r="AC22" i="1"/>
  <c r="AG22" i="1" s="1"/>
  <c r="AE36" i="3" l="1"/>
  <c r="AD36" i="3"/>
  <c r="AB39" i="3"/>
  <c r="AD22" i="1"/>
  <c r="AF36" i="3"/>
  <c r="AB24" i="1"/>
  <c r="V38" i="3"/>
  <c r="W39" i="3"/>
  <c r="AC37" i="3"/>
  <c r="AD37" i="3" s="1"/>
  <c r="AA39" i="3"/>
  <c r="AE22" i="1"/>
  <c r="AF22" i="1"/>
  <c r="V23" i="1"/>
  <c r="AA24" i="1"/>
  <c r="AA40" i="3" l="1"/>
  <c r="AB40" i="3"/>
  <c r="AG37" i="3"/>
  <c r="AE37" i="3"/>
  <c r="AF37" i="3"/>
  <c r="W40" i="3"/>
  <c r="V39" i="3"/>
  <c r="AC38" i="3"/>
  <c r="AD38" i="3" s="1"/>
  <c r="W24" i="1"/>
  <c r="AB25" i="1" s="1"/>
  <c r="AC23" i="1"/>
  <c r="AG23" i="1" s="1"/>
  <c r="AB41" i="3" l="1"/>
  <c r="AA41" i="3"/>
  <c r="AD23" i="1"/>
  <c r="AE23" i="1"/>
  <c r="AG38" i="3"/>
  <c r="AE38" i="3"/>
  <c r="AF38" i="3"/>
  <c r="AC39" i="3"/>
  <c r="AF39" i="3" s="1"/>
  <c r="V40" i="3"/>
  <c r="W41" i="3"/>
  <c r="AA42" i="3" s="1"/>
  <c r="AF23" i="1"/>
  <c r="V24" i="1"/>
  <c r="AA25" i="1"/>
  <c r="AD39" i="3" l="1"/>
  <c r="AB42" i="3"/>
  <c r="W42" i="3"/>
  <c r="AA43" i="3" s="1"/>
  <c r="V41" i="3"/>
  <c r="AC40" i="3"/>
  <c r="AD40" i="3" s="1"/>
  <c r="AG39" i="3"/>
  <c r="AE39" i="3"/>
  <c r="W25" i="1"/>
  <c r="AB26" i="1" s="1"/>
  <c r="AC24" i="1"/>
  <c r="AG24" i="1" s="1"/>
  <c r="AD24" i="1" l="1"/>
  <c r="AB43" i="3"/>
  <c r="AE24" i="1"/>
  <c r="AG40" i="3"/>
  <c r="AE40" i="3"/>
  <c r="AF40" i="3"/>
  <c r="AC41" i="3"/>
  <c r="AF41" i="3" s="1"/>
  <c r="W43" i="3"/>
  <c r="AA44" i="3" s="1"/>
  <c r="V42" i="3"/>
  <c r="AF24" i="1"/>
  <c r="V25" i="1"/>
  <c r="AA26" i="1"/>
  <c r="AB44" i="3" l="1"/>
  <c r="AD41" i="3"/>
  <c r="AC42" i="3"/>
  <c r="AD42" i="3" s="1"/>
  <c r="W44" i="3"/>
  <c r="AA45" i="3" s="1"/>
  <c r="V43" i="3"/>
  <c r="AG41" i="3"/>
  <c r="AE41" i="3"/>
  <c r="W26" i="1"/>
  <c r="AC25" i="1"/>
  <c r="AG25" i="1" s="1"/>
  <c r="AD25" i="1" l="1"/>
  <c r="AG42" i="3"/>
  <c r="AE42" i="3"/>
  <c r="AF42" i="3"/>
  <c r="AB27" i="1"/>
  <c r="AE25" i="1"/>
  <c r="AC43" i="3"/>
  <c r="AD43" i="3" s="1"/>
  <c r="W45" i="3"/>
  <c r="V44" i="3"/>
  <c r="AB45" i="3"/>
  <c r="AF25" i="1"/>
  <c r="V26" i="1"/>
  <c r="AA27" i="1"/>
  <c r="AB46" i="3" l="1"/>
  <c r="AC44" i="3"/>
  <c r="AG44" i="3" s="1"/>
  <c r="V45" i="3"/>
  <c r="W46" i="3"/>
  <c r="AG43" i="3"/>
  <c r="AE43" i="3"/>
  <c r="AF43" i="3"/>
  <c r="AA46" i="3"/>
  <c r="W27" i="1"/>
  <c r="AB28" i="1" s="1"/>
  <c r="AC26" i="1"/>
  <c r="AG26" i="1" s="1"/>
  <c r="AE44" i="3" l="1"/>
  <c r="AB47" i="3"/>
  <c r="AD44" i="3"/>
  <c r="AD26" i="1"/>
  <c r="AC45" i="3"/>
  <c r="AG45" i="3" s="1"/>
  <c r="AE26" i="1"/>
  <c r="V46" i="3"/>
  <c r="W47" i="3"/>
  <c r="AF44" i="3"/>
  <c r="AA47" i="3"/>
  <c r="AF26" i="1"/>
  <c r="V27" i="1"/>
  <c r="AA28" i="1"/>
  <c r="AA48" i="3" l="1"/>
  <c r="AD45" i="3"/>
  <c r="AB48" i="3"/>
  <c r="AE45" i="3"/>
  <c r="AF45" i="3"/>
  <c r="W48" i="3"/>
  <c r="AA49" i="3" s="1"/>
  <c r="V47" i="3"/>
  <c r="AC46" i="3"/>
  <c r="AD46" i="3" s="1"/>
  <c r="W28" i="1"/>
  <c r="AB29" i="1" s="1"/>
  <c r="AC27" i="1"/>
  <c r="AG27" i="1" s="1"/>
  <c r="AD27" i="1" l="1"/>
  <c r="AE46" i="3"/>
  <c r="AG46" i="3"/>
  <c r="AF46" i="3"/>
  <c r="AC47" i="3"/>
  <c r="AD47" i="3" s="1"/>
  <c r="W49" i="3"/>
  <c r="AA50" i="3" s="1"/>
  <c r="V48" i="3"/>
  <c r="AB49" i="3"/>
  <c r="AE27" i="1"/>
  <c r="AF27" i="1"/>
  <c r="V28" i="1"/>
  <c r="AA29" i="1"/>
  <c r="AF47" i="3" l="1"/>
  <c r="AB50" i="3"/>
  <c r="AC48" i="3"/>
  <c r="AG48" i="3" s="1"/>
  <c r="W50" i="3"/>
  <c r="AA51" i="3" s="1"/>
  <c r="V49" i="3"/>
  <c r="AG47" i="3"/>
  <c r="AE47" i="3"/>
  <c r="AE48" i="3"/>
  <c r="W29" i="1"/>
  <c r="AB30" i="1" s="1"/>
  <c r="AC28" i="1"/>
  <c r="AG28" i="1" s="1"/>
  <c r="AB51" i="3"/>
  <c r="AD48" i="3" l="1"/>
  <c r="AD28" i="1"/>
  <c r="AC49" i="3"/>
  <c r="AD49" i="3" s="1"/>
  <c r="V50" i="3"/>
  <c r="W51" i="3"/>
  <c r="AF48" i="3"/>
  <c r="AE28" i="1"/>
  <c r="AF28" i="1"/>
  <c r="V29" i="1"/>
  <c r="AA30" i="1"/>
  <c r="AB52" i="3"/>
  <c r="V51" i="3" l="1"/>
  <c r="W52" i="3"/>
  <c r="AC50" i="3"/>
  <c r="AD50" i="3" s="1"/>
  <c r="AG49" i="3"/>
  <c r="AE49" i="3"/>
  <c r="AF49" i="3"/>
  <c r="AA52" i="3"/>
  <c r="AB53" i="3" s="1"/>
  <c r="W30" i="1"/>
  <c r="AB31" i="1" s="1"/>
  <c r="AC29" i="1"/>
  <c r="AG29" i="1" s="1"/>
  <c r="AD29" i="1" l="1"/>
  <c r="AA53" i="3"/>
  <c r="AG50" i="3"/>
  <c r="AE50" i="3"/>
  <c r="AC51" i="3"/>
  <c r="AD51" i="3" s="1"/>
  <c r="AF50" i="3"/>
  <c r="W53" i="3"/>
  <c r="AB54" i="3" s="1"/>
  <c r="V52" i="3"/>
  <c r="AE29" i="1"/>
  <c r="V30" i="1"/>
  <c r="AF29" i="1"/>
  <c r="AA31" i="1"/>
  <c r="W54" i="3" l="1"/>
  <c r="V53" i="3"/>
  <c r="AC52" i="3"/>
  <c r="AF52" i="3" s="1"/>
  <c r="AG51" i="3"/>
  <c r="AE51" i="3"/>
  <c r="AF51" i="3"/>
  <c r="AA54" i="3"/>
  <c r="W31" i="1"/>
  <c r="AC30" i="1"/>
  <c r="AG30" i="1" s="1"/>
  <c r="AD52" i="3" l="1"/>
  <c r="AD30" i="1"/>
  <c r="AA55" i="3"/>
  <c r="AB55" i="3"/>
  <c r="AG52" i="3"/>
  <c r="AE52" i="3"/>
  <c r="AE30" i="1"/>
  <c r="AC53" i="3"/>
  <c r="AD53" i="3" s="1"/>
  <c r="V54" i="3"/>
  <c r="W55" i="3"/>
  <c r="AF30" i="1"/>
  <c r="V31" i="1"/>
  <c r="AB32" i="1"/>
  <c r="AA32" i="1"/>
  <c r="V55" i="3" l="1"/>
  <c r="W56" i="3"/>
  <c r="AC54" i="3"/>
  <c r="AF54" i="3" s="1"/>
  <c r="AG53" i="3"/>
  <c r="AE53" i="3"/>
  <c r="AF53" i="3"/>
  <c r="AB56" i="3"/>
  <c r="AA56" i="3"/>
  <c r="W32" i="1"/>
  <c r="AC31" i="1"/>
  <c r="AG31" i="1" s="1"/>
  <c r="AD54" i="3" l="1"/>
  <c r="AD31" i="1"/>
  <c r="AA57" i="3"/>
  <c r="AB57" i="3"/>
  <c r="AC55" i="3"/>
  <c r="AD55" i="3" s="1"/>
  <c r="AG54" i="3"/>
  <c r="AE54" i="3"/>
  <c r="W57" i="3"/>
  <c r="V56" i="3"/>
  <c r="AE31" i="1"/>
  <c r="AF31" i="1"/>
  <c r="V32" i="1"/>
  <c r="AA33" i="1"/>
  <c r="AB33" i="1"/>
  <c r="W58" i="3" l="1"/>
  <c r="V57" i="3"/>
  <c r="AC56" i="3"/>
  <c r="AD56" i="3" s="1"/>
  <c r="AG55" i="3"/>
  <c r="AE55" i="3"/>
  <c r="AF55" i="3"/>
  <c r="AB58" i="3"/>
  <c r="AA58" i="3"/>
  <c r="AA59" i="3" s="1"/>
  <c r="W33" i="1"/>
  <c r="AC32" i="1"/>
  <c r="AG32" i="1" s="1"/>
  <c r="AD32" i="1" l="1"/>
  <c r="AB34" i="1"/>
  <c r="AB59" i="3"/>
  <c r="AG56" i="3"/>
  <c r="AE56" i="3"/>
  <c r="AF56" i="3"/>
  <c r="W59" i="3"/>
  <c r="AA60" i="3" s="1"/>
  <c r="V58" i="3"/>
  <c r="AE32" i="1"/>
  <c r="AC57" i="3"/>
  <c r="AD57" i="3" s="1"/>
  <c r="AF32" i="1"/>
  <c r="V33" i="1"/>
  <c r="AA34" i="1"/>
  <c r="AF57" i="3" l="1"/>
  <c r="AC58" i="3"/>
  <c r="AG58" i="3" s="1"/>
  <c r="AG57" i="3"/>
  <c r="AE57" i="3"/>
  <c r="V59" i="3"/>
  <c r="W60" i="3"/>
  <c r="AB60" i="3"/>
  <c r="W34" i="1"/>
  <c r="AA35" i="1" s="1"/>
  <c r="AC33" i="1"/>
  <c r="AG33" i="1" s="1"/>
  <c r="AB61" i="3"/>
  <c r="AE58" i="3" l="1"/>
  <c r="AD58" i="3"/>
  <c r="AD33" i="1"/>
  <c r="AF58" i="3"/>
  <c r="AB35" i="1"/>
  <c r="V60" i="3"/>
  <c r="W61" i="3"/>
  <c r="AC59" i="3"/>
  <c r="AF59" i="3" s="1"/>
  <c r="AE33" i="1"/>
  <c r="AA61" i="3"/>
  <c r="AF33" i="1"/>
  <c r="V34" i="1"/>
  <c r="AD59" i="3" l="1"/>
  <c r="AA62" i="3"/>
  <c r="AB62" i="3"/>
  <c r="V61" i="3"/>
  <c r="W62" i="3"/>
  <c r="AA63" i="3" s="1"/>
  <c r="AC60" i="3"/>
  <c r="AD60" i="3" s="1"/>
  <c r="AG59" i="3"/>
  <c r="AE59" i="3"/>
  <c r="W35" i="1"/>
  <c r="AC34" i="1"/>
  <c r="AG34" i="1" s="1"/>
  <c r="AD34" i="1" l="1"/>
  <c r="AB63" i="3"/>
  <c r="AC61" i="3"/>
  <c r="AD61" i="3" s="1"/>
  <c r="AG60" i="3"/>
  <c r="AE60" i="3"/>
  <c r="AF60" i="3"/>
  <c r="V62" i="3"/>
  <c r="W63" i="3"/>
  <c r="AA64" i="3" s="1"/>
  <c r="AE34" i="1"/>
  <c r="AF34" i="1"/>
  <c r="V35" i="1"/>
  <c r="AB36" i="1"/>
  <c r="AA36" i="1"/>
  <c r="W64" i="3" l="1"/>
  <c r="AA65" i="3" s="1"/>
  <c r="V63" i="3"/>
  <c r="AC62" i="3"/>
  <c r="AD62" i="3" s="1"/>
  <c r="AG61" i="3"/>
  <c r="AE61" i="3"/>
  <c r="AB64" i="3"/>
  <c r="AF61" i="3"/>
  <c r="W36" i="1"/>
  <c r="AC35" i="1"/>
  <c r="AG35" i="1" s="1"/>
  <c r="AB65" i="3" l="1"/>
  <c r="AD35" i="1"/>
  <c r="AG62" i="3"/>
  <c r="AE62" i="3"/>
  <c r="W65" i="3"/>
  <c r="V64" i="3"/>
  <c r="AF62" i="3"/>
  <c r="AC63" i="3"/>
  <c r="AF63" i="3" s="1"/>
  <c r="AE35" i="1"/>
  <c r="AF35" i="1"/>
  <c r="V36" i="1"/>
  <c r="AA37" i="1"/>
  <c r="AB37" i="1"/>
  <c r="AD63" i="3" l="1"/>
  <c r="AC64" i="3"/>
  <c r="AG64" i="3" s="1"/>
  <c r="W66" i="3"/>
  <c r="V65" i="3"/>
  <c r="AG63" i="3"/>
  <c r="AE63" i="3"/>
  <c r="AB66" i="3"/>
  <c r="AE64" i="3"/>
  <c r="AA66" i="3"/>
  <c r="W37" i="1"/>
  <c r="AC36" i="1"/>
  <c r="AG36" i="1" s="1"/>
  <c r="AD64" i="3" l="1"/>
  <c r="AD36" i="1"/>
  <c r="AA67" i="3"/>
  <c r="AB67" i="3"/>
  <c r="AE36" i="1"/>
  <c r="AC65" i="3"/>
  <c r="AD65" i="3" s="1"/>
  <c r="V66" i="3"/>
  <c r="W67" i="3"/>
  <c r="AF64" i="3"/>
  <c r="AF36" i="1"/>
  <c r="V37" i="1"/>
  <c r="AA38" i="1"/>
  <c r="AB38" i="1"/>
  <c r="AB68" i="3" l="1"/>
  <c r="AA68" i="3"/>
  <c r="V67" i="3"/>
  <c r="W68" i="3"/>
  <c r="AC66" i="3"/>
  <c r="AF66" i="3" s="1"/>
  <c r="AE65" i="3"/>
  <c r="AG65" i="3"/>
  <c r="AF65" i="3"/>
  <c r="W38" i="1"/>
  <c r="AC37" i="1"/>
  <c r="AG37" i="1" s="1"/>
  <c r="AA69" i="3" l="1"/>
  <c r="AD66" i="3"/>
  <c r="AD37" i="1"/>
  <c r="AB69" i="3"/>
  <c r="AG66" i="3"/>
  <c r="AE66" i="3"/>
  <c r="W69" i="3"/>
  <c r="V68" i="3"/>
  <c r="AC67" i="3"/>
  <c r="AD67" i="3" s="1"/>
  <c r="AE37" i="1"/>
  <c r="AF37" i="1"/>
  <c r="V38" i="1"/>
  <c r="AA39" i="1"/>
  <c r="AB39" i="1"/>
  <c r="AA70" i="3" l="1"/>
  <c r="AG67" i="3"/>
  <c r="AE67" i="3"/>
  <c r="AF67" i="3"/>
  <c r="AC68" i="3"/>
  <c r="AD68" i="3" s="1"/>
  <c r="V69" i="3"/>
  <c r="W70" i="3"/>
  <c r="AB70" i="3"/>
  <c r="W39" i="1"/>
  <c r="AB40" i="1" s="1"/>
  <c r="AC38" i="1"/>
  <c r="AG38" i="1" s="1"/>
  <c r="AD38" i="1" l="1"/>
  <c r="AB71" i="3"/>
  <c r="W71" i="3"/>
  <c r="V70" i="3"/>
  <c r="AC69" i="3"/>
  <c r="AD69" i="3" s="1"/>
  <c r="AG68" i="3"/>
  <c r="AE68" i="3"/>
  <c r="AF68" i="3"/>
  <c r="AA71" i="3"/>
  <c r="AE38" i="1"/>
  <c r="AF38" i="1"/>
  <c r="V39" i="1"/>
  <c r="AA40" i="1"/>
  <c r="AA72" i="3" l="1"/>
  <c r="AG69" i="3"/>
  <c r="AE69" i="3"/>
  <c r="V71" i="3"/>
  <c r="W72" i="3"/>
  <c r="AF69" i="3"/>
  <c r="AC70" i="3"/>
  <c r="AD70" i="3" s="1"/>
  <c r="AB72" i="3"/>
  <c r="W40" i="1"/>
  <c r="AA41" i="1" s="1"/>
  <c r="AC39" i="1"/>
  <c r="AG39" i="1" s="1"/>
  <c r="AD39" i="1" l="1"/>
  <c r="AB41" i="1"/>
  <c r="AB73" i="3"/>
  <c r="AG70" i="3"/>
  <c r="AE70" i="3"/>
  <c r="AC71" i="3"/>
  <c r="AF71" i="3" s="1"/>
  <c r="AF70" i="3"/>
  <c r="W73" i="3"/>
  <c r="V72" i="3"/>
  <c r="AA73" i="3"/>
  <c r="AE39" i="1"/>
  <c r="AF39" i="1"/>
  <c r="V40" i="1"/>
  <c r="AD71" i="3" l="1"/>
  <c r="AA74" i="3"/>
  <c r="AB74" i="3"/>
  <c r="W74" i="3"/>
  <c r="V73" i="3"/>
  <c r="AC72" i="3"/>
  <c r="AF72" i="3" s="1"/>
  <c r="AG71" i="3"/>
  <c r="AE71" i="3"/>
  <c r="W41" i="1"/>
  <c r="AC40" i="1"/>
  <c r="AG40" i="1" s="1"/>
  <c r="AA75" i="3" l="1"/>
  <c r="AD72" i="3"/>
  <c r="AD40" i="1"/>
  <c r="W75" i="3"/>
  <c r="AA76" i="3" s="1"/>
  <c r="V74" i="3"/>
  <c r="AG72" i="3"/>
  <c r="AE72" i="3"/>
  <c r="AC73" i="3"/>
  <c r="AD73" i="3" s="1"/>
  <c r="AE40" i="1"/>
  <c r="AB75" i="3"/>
  <c r="AF40" i="1"/>
  <c r="V41" i="1"/>
  <c r="AB42" i="1"/>
  <c r="AA42" i="1"/>
  <c r="AB76" i="3" l="1"/>
  <c r="AG73" i="3"/>
  <c r="AE73" i="3"/>
  <c r="AF73" i="3"/>
  <c r="AC74" i="3"/>
  <c r="AG74" i="3" s="1"/>
  <c r="V75" i="3"/>
  <c r="W76" i="3"/>
  <c r="W42" i="1"/>
  <c r="AC41" i="1"/>
  <c r="AG41" i="1" s="1"/>
  <c r="AA77" i="3"/>
  <c r="AB77" i="3" l="1"/>
  <c r="AD74" i="3"/>
  <c r="AD41" i="1"/>
  <c r="AE74" i="3"/>
  <c r="W77" i="3"/>
  <c r="V76" i="3"/>
  <c r="AC75" i="3"/>
  <c r="AF75" i="3" s="1"/>
  <c r="AE41" i="1"/>
  <c r="AF74" i="3"/>
  <c r="AF41" i="1"/>
  <c r="V42" i="1"/>
  <c r="AA43" i="1"/>
  <c r="AB43" i="1"/>
  <c r="AB78" i="3"/>
  <c r="AD75" i="3" l="1"/>
  <c r="AG75" i="3"/>
  <c r="AE75" i="3"/>
  <c r="AC76" i="3"/>
  <c r="AD76" i="3" s="1"/>
  <c r="W78" i="3"/>
  <c r="V77" i="3"/>
  <c r="AA78" i="3"/>
  <c r="W43" i="1"/>
  <c r="AC42" i="1"/>
  <c r="AG42" i="1" s="1"/>
  <c r="AD42" i="1" l="1"/>
  <c r="AA79" i="3"/>
  <c r="AB79" i="3"/>
  <c r="AF76" i="3"/>
  <c r="W79" i="3"/>
  <c r="V78" i="3"/>
  <c r="AC77" i="3"/>
  <c r="AD77" i="3" s="1"/>
  <c r="AG76" i="3"/>
  <c r="AE76" i="3"/>
  <c r="AE42" i="1"/>
  <c r="AF42" i="1"/>
  <c r="V43" i="1"/>
  <c r="AA44" i="1"/>
  <c r="AB44" i="1"/>
  <c r="AB80" i="3" l="1"/>
  <c r="V79" i="3"/>
  <c r="W80" i="3"/>
  <c r="AG77" i="3"/>
  <c r="AE77" i="3"/>
  <c r="AF77" i="3"/>
  <c r="AC78" i="3"/>
  <c r="AD78" i="3" s="1"/>
  <c r="AA80" i="3"/>
  <c r="W44" i="1"/>
  <c r="AB45" i="1" s="1"/>
  <c r="AC43" i="1"/>
  <c r="AG43" i="1" s="1"/>
  <c r="AB81" i="3" l="1"/>
  <c r="AD43" i="1"/>
  <c r="AA81" i="3"/>
  <c r="AC79" i="3"/>
  <c r="AD79" i="3" s="1"/>
  <c r="AG78" i="3"/>
  <c r="AE78" i="3"/>
  <c r="AF78" i="3"/>
  <c r="V80" i="3"/>
  <c r="W81" i="3"/>
  <c r="AE43" i="1"/>
  <c r="AF43" i="1"/>
  <c r="V44" i="1"/>
  <c r="AA45" i="1"/>
  <c r="AB82" i="3" l="1"/>
  <c r="AC80" i="3"/>
  <c r="AD80" i="3" s="1"/>
  <c r="W82" i="3"/>
  <c r="V81" i="3"/>
  <c r="AA82" i="3"/>
  <c r="AG79" i="3"/>
  <c r="AE79" i="3"/>
  <c r="AF79" i="3"/>
  <c r="W45" i="1"/>
  <c r="AB46" i="1" s="1"/>
  <c r="AC44" i="1"/>
  <c r="AG44" i="1" s="1"/>
  <c r="AB83" i="3" l="1"/>
  <c r="AD44" i="1"/>
  <c r="AA83" i="3"/>
  <c r="AC81" i="3"/>
  <c r="AD81" i="3" s="1"/>
  <c r="W83" i="3"/>
  <c r="V82" i="3"/>
  <c r="AE44" i="1"/>
  <c r="AG80" i="3"/>
  <c r="AE80" i="3"/>
  <c r="AF80" i="3"/>
  <c r="AF44" i="1"/>
  <c r="V45" i="1"/>
  <c r="AA46" i="1"/>
  <c r="AC82" i="3" l="1"/>
  <c r="AD82" i="3" s="1"/>
  <c r="W84" i="3"/>
  <c r="V83" i="3"/>
  <c r="AG81" i="3"/>
  <c r="AE81" i="3"/>
  <c r="AF81" i="3"/>
  <c r="AA84" i="3"/>
  <c r="AA85" i="3" s="1"/>
  <c r="AB84" i="3"/>
  <c r="W46" i="1"/>
  <c r="AB47" i="1" s="1"/>
  <c r="AC45" i="1"/>
  <c r="AG45" i="1" s="1"/>
  <c r="AD45" i="1" l="1"/>
  <c r="AB85" i="3"/>
  <c r="AC83" i="3"/>
  <c r="AD83" i="3" s="1"/>
  <c r="V84" i="3"/>
  <c r="W85" i="3"/>
  <c r="AE82" i="3"/>
  <c r="AG82" i="3"/>
  <c r="AF82" i="3"/>
  <c r="AE45" i="1"/>
  <c r="AF45" i="1"/>
  <c r="V46" i="1"/>
  <c r="AA47" i="1"/>
  <c r="V85" i="3" l="1"/>
  <c r="W86" i="3"/>
  <c r="AC84" i="3"/>
  <c r="AG84" i="3" s="1"/>
  <c r="AE83" i="3"/>
  <c r="AG83" i="3"/>
  <c r="AF83" i="3"/>
  <c r="AB86" i="3"/>
  <c r="AE84" i="3"/>
  <c r="AA86" i="3"/>
  <c r="AA87" i="3" s="1"/>
  <c r="W47" i="1"/>
  <c r="AA48" i="1" s="1"/>
  <c r="AC46" i="1"/>
  <c r="AG46" i="1" s="1"/>
  <c r="AD84" i="3" l="1"/>
  <c r="AD46" i="1"/>
  <c r="AB48" i="1"/>
  <c r="AB87" i="3"/>
  <c r="AC85" i="3"/>
  <c r="AD85" i="3" s="1"/>
  <c r="AE46" i="1"/>
  <c r="AF84" i="3"/>
  <c r="V86" i="3"/>
  <c r="W87" i="3"/>
  <c r="AF46" i="1"/>
  <c r="V47" i="1"/>
  <c r="AB88" i="3" l="1"/>
  <c r="W88" i="3"/>
  <c r="V87" i="3"/>
  <c r="AC86" i="3"/>
  <c r="AD86" i="3" s="1"/>
  <c r="AG85" i="3"/>
  <c r="AE85" i="3"/>
  <c r="AF85" i="3"/>
  <c r="AA88" i="3"/>
  <c r="AB89" i="3" s="1"/>
  <c r="W48" i="1"/>
  <c r="AC47" i="1"/>
  <c r="AG47" i="1" s="1"/>
  <c r="AD47" i="1" l="1"/>
  <c r="AA89" i="3"/>
  <c r="AE86" i="3"/>
  <c r="AG86" i="3"/>
  <c r="W89" i="3"/>
  <c r="V88" i="3"/>
  <c r="AF86" i="3"/>
  <c r="AE47" i="1"/>
  <c r="AC87" i="3"/>
  <c r="AF87" i="3" s="1"/>
  <c r="AF47" i="1"/>
  <c r="V48" i="1"/>
  <c r="AB49" i="1"/>
  <c r="AA49" i="1"/>
  <c r="AA90" i="3"/>
  <c r="AD87" i="3" l="1"/>
  <c r="AC88" i="3"/>
  <c r="AF88" i="3" s="1"/>
  <c r="V89" i="3"/>
  <c r="W90" i="3"/>
  <c r="AA91" i="3" s="1"/>
  <c r="AG87" i="3"/>
  <c r="AE87" i="3"/>
  <c r="AB90" i="3"/>
  <c r="AB91" i="3" s="1"/>
  <c r="W49" i="1"/>
  <c r="AC48" i="1"/>
  <c r="AG48" i="1" s="1"/>
  <c r="AD88" i="3" l="1"/>
  <c r="AD48" i="1"/>
  <c r="AC89" i="3"/>
  <c r="AF89" i="3" s="1"/>
  <c r="AE48" i="1"/>
  <c r="V90" i="3"/>
  <c r="W91" i="3"/>
  <c r="AA92" i="3" s="1"/>
  <c r="AE88" i="3"/>
  <c r="AG88" i="3"/>
  <c r="AF48" i="1"/>
  <c r="V49" i="1"/>
  <c r="AB50" i="1"/>
  <c r="AA50" i="1"/>
  <c r="AD89" i="3" l="1"/>
  <c r="AE89" i="3"/>
  <c r="AG89" i="3"/>
  <c r="W92" i="3"/>
  <c r="V91" i="3"/>
  <c r="AC90" i="3"/>
  <c r="AD90" i="3" s="1"/>
  <c r="AB92" i="3"/>
  <c r="AB93" i="3" s="1"/>
  <c r="W50" i="1"/>
  <c r="AC49" i="1"/>
  <c r="AG49" i="1" s="1"/>
  <c r="AA93" i="3"/>
  <c r="AD49" i="1" l="1"/>
  <c r="AC91" i="3"/>
  <c r="AD91" i="3" s="1"/>
  <c r="AB51" i="1"/>
  <c r="V92" i="3"/>
  <c r="W93" i="3"/>
  <c r="AG90" i="3"/>
  <c r="AE90" i="3"/>
  <c r="AF90" i="3"/>
  <c r="AE49" i="1"/>
  <c r="AF49" i="1"/>
  <c r="V50" i="1"/>
  <c r="AA51" i="1"/>
  <c r="W94" i="3" l="1"/>
  <c r="V93" i="3"/>
  <c r="AC92" i="3"/>
  <c r="AD92" i="3" s="1"/>
  <c r="AG91" i="3"/>
  <c r="AE91" i="3"/>
  <c r="AF91" i="3"/>
  <c r="AB94" i="3"/>
  <c r="AA94" i="3"/>
  <c r="AA95" i="3" s="1"/>
  <c r="W51" i="1"/>
  <c r="AB52" i="1" s="1"/>
  <c r="AC50" i="1"/>
  <c r="AG50" i="1" s="1"/>
  <c r="AD50" i="1" l="1"/>
  <c r="AB95" i="3"/>
  <c r="AG92" i="3"/>
  <c r="AE92" i="3"/>
  <c r="AF92" i="3"/>
  <c r="W95" i="3"/>
  <c r="V94" i="3"/>
  <c r="AC93" i="3"/>
  <c r="AG93" i="3" s="1"/>
  <c r="AE50" i="1"/>
  <c r="AF50" i="1"/>
  <c r="V51" i="1"/>
  <c r="AA52" i="1"/>
  <c r="AD93" i="3" l="1"/>
  <c r="AB96" i="3"/>
  <c r="AA96" i="3"/>
  <c r="AE93" i="3"/>
  <c r="AF93" i="3"/>
  <c r="AC94" i="3"/>
  <c r="AG94" i="3" s="1"/>
  <c r="V95" i="3"/>
  <c r="W96" i="3"/>
  <c r="W52" i="1"/>
  <c r="AC51" i="1"/>
  <c r="AG51" i="1" s="1"/>
  <c r="AA97" i="3"/>
  <c r="AD94" i="3" l="1"/>
  <c r="AD51" i="1"/>
  <c r="AE94" i="3"/>
  <c r="AC95" i="3"/>
  <c r="AD95" i="3" s="1"/>
  <c r="AB53" i="1"/>
  <c r="AF94" i="3"/>
  <c r="W97" i="3"/>
  <c r="V96" i="3"/>
  <c r="AE51" i="1"/>
  <c r="AB97" i="3"/>
  <c r="AF51" i="1"/>
  <c r="V52" i="1"/>
  <c r="AA53" i="1"/>
  <c r="AB98" i="3" l="1"/>
  <c r="AC96" i="3"/>
  <c r="AD96" i="3" s="1"/>
  <c r="W98" i="3"/>
  <c r="V97" i="3"/>
  <c r="AG95" i="3"/>
  <c r="AE95" i="3"/>
  <c r="AF95" i="3"/>
  <c r="AA98" i="3"/>
  <c r="AB99" i="3" s="1"/>
  <c r="W53" i="1"/>
  <c r="AA54" i="1" s="1"/>
  <c r="AC52" i="1"/>
  <c r="AG52" i="1" s="1"/>
  <c r="AD52" i="1" l="1"/>
  <c r="AB54" i="1"/>
  <c r="AE52" i="1"/>
  <c r="AA99" i="3"/>
  <c r="AC97" i="3"/>
  <c r="AG97" i="3" s="1"/>
  <c r="V98" i="3"/>
  <c r="W99" i="3"/>
  <c r="AG96" i="3"/>
  <c r="AE96" i="3"/>
  <c r="AF96" i="3"/>
  <c r="AE97" i="3"/>
  <c r="AF52" i="1"/>
  <c r="V53" i="1"/>
  <c r="AD97" i="3" l="1"/>
  <c r="AF97" i="3"/>
  <c r="W100" i="3"/>
  <c r="V99" i="3"/>
  <c r="AC98" i="3"/>
  <c r="AD98" i="3" s="1"/>
  <c r="AA100" i="3"/>
  <c r="AA101" i="3" s="1"/>
  <c r="AB100" i="3"/>
  <c r="W54" i="1"/>
  <c r="AC53" i="1"/>
  <c r="AG53" i="1" s="1"/>
  <c r="AD53" i="1" l="1"/>
  <c r="AF98" i="3"/>
  <c r="AB101" i="3"/>
  <c r="AE53" i="1"/>
  <c r="V100" i="3"/>
  <c r="W101" i="3"/>
  <c r="AG98" i="3"/>
  <c r="AE98" i="3"/>
  <c r="AC99" i="3"/>
  <c r="AD99" i="3" s="1"/>
  <c r="AF53" i="1"/>
  <c r="V54" i="1"/>
  <c r="AA55" i="1"/>
  <c r="AB55" i="1"/>
  <c r="AB102" i="3"/>
  <c r="W102" i="3" l="1"/>
  <c r="V101" i="3"/>
  <c r="AC100" i="3"/>
  <c r="AF100" i="3" s="1"/>
  <c r="AG99" i="3"/>
  <c r="AE99" i="3"/>
  <c r="AF99" i="3"/>
  <c r="AA102" i="3"/>
  <c r="W55" i="1"/>
  <c r="AC54" i="1"/>
  <c r="AG54" i="1" s="1"/>
  <c r="AD100" i="3" l="1"/>
  <c r="AD54" i="1"/>
  <c r="AA103" i="3"/>
  <c r="AB103" i="3"/>
  <c r="W103" i="3"/>
  <c r="AA104" i="3" s="1"/>
  <c r="V102" i="3"/>
  <c r="AE54" i="1"/>
  <c r="AG100" i="3"/>
  <c r="AE100" i="3"/>
  <c r="AC101" i="3"/>
  <c r="AD101" i="3" s="1"/>
  <c r="AF54" i="1"/>
  <c r="V55" i="1"/>
  <c r="AA56" i="1"/>
  <c r="AB56" i="1"/>
  <c r="AB104" i="3" l="1"/>
  <c r="AG101" i="3"/>
  <c r="AE101" i="3"/>
  <c r="AF101" i="3"/>
  <c r="AC102" i="3"/>
  <c r="AD102" i="3" s="1"/>
  <c r="V103" i="3"/>
  <c r="W104" i="3"/>
  <c r="W56" i="1"/>
  <c r="AB57" i="1" s="1"/>
  <c r="AC55" i="1"/>
  <c r="AG55" i="1" s="1"/>
  <c r="AD55" i="1" l="1"/>
  <c r="AB105" i="3"/>
  <c r="AA105" i="3"/>
  <c r="W105" i="3"/>
  <c r="V104" i="3"/>
  <c r="AA57" i="1"/>
  <c r="AC103" i="3"/>
  <c r="AF103" i="3" s="1"/>
  <c r="AG102" i="3"/>
  <c r="AE102" i="3"/>
  <c r="AF102" i="3"/>
  <c r="AE55" i="1"/>
  <c r="AF55" i="1"/>
  <c r="V56" i="1"/>
  <c r="AA106" i="3"/>
  <c r="AB106" i="3"/>
  <c r="AD103" i="3" l="1"/>
  <c r="AC104" i="3"/>
  <c r="AD104" i="3" s="1"/>
  <c r="W106" i="3"/>
  <c r="AB107" i="3" s="1"/>
  <c r="V105" i="3"/>
  <c r="AG103" i="3"/>
  <c r="AE103" i="3"/>
  <c r="W57" i="1"/>
  <c r="AC56" i="1"/>
  <c r="AG56" i="1" s="1"/>
  <c r="AA107" i="3"/>
  <c r="AD56" i="1" l="1"/>
  <c r="AC105" i="3"/>
  <c r="AD105" i="3" s="1"/>
  <c r="W107" i="3"/>
  <c r="V106" i="3"/>
  <c r="AG104" i="3"/>
  <c r="AE104" i="3"/>
  <c r="AF104" i="3"/>
  <c r="AE56" i="1"/>
  <c r="AF56" i="1"/>
  <c r="V57" i="1"/>
  <c r="AB58" i="1"/>
  <c r="AA58" i="1"/>
  <c r="AC106" i="3" l="1"/>
  <c r="AG106" i="3" s="1"/>
  <c r="V107" i="3"/>
  <c r="W108" i="3"/>
  <c r="AG105" i="3"/>
  <c r="AE105" i="3"/>
  <c r="AB108" i="3"/>
  <c r="AF105" i="3"/>
  <c r="AE106" i="3"/>
  <c r="AA108" i="3"/>
  <c r="W58" i="1"/>
  <c r="AC57" i="1"/>
  <c r="AG57" i="1" s="1"/>
  <c r="AD106" i="3" l="1"/>
  <c r="AD57" i="1"/>
  <c r="AA109" i="3"/>
  <c r="AB109" i="3"/>
  <c r="AF106" i="3"/>
  <c r="AE57" i="1"/>
  <c r="V108" i="3"/>
  <c r="W109" i="3"/>
  <c r="AC107" i="3"/>
  <c r="AF107" i="3" s="1"/>
  <c r="AF57" i="1"/>
  <c r="V58" i="1"/>
  <c r="AB59" i="1"/>
  <c r="AA59" i="1"/>
  <c r="AA110" i="3"/>
  <c r="AD107" i="3" l="1"/>
  <c r="AB110" i="3"/>
  <c r="V109" i="3"/>
  <c r="W110" i="3"/>
  <c r="AE107" i="3"/>
  <c r="AG107" i="3"/>
  <c r="AC108" i="3"/>
  <c r="AD108" i="3" s="1"/>
  <c r="W59" i="1"/>
  <c r="AB60" i="1" s="1"/>
  <c r="AC58" i="1"/>
  <c r="AG58" i="1" s="1"/>
  <c r="AA111" i="3"/>
  <c r="AD58" i="1" l="1"/>
  <c r="AB111" i="3"/>
  <c r="AC109" i="3"/>
  <c r="AD109" i="3" s="1"/>
  <c r="AE58" i="1"/>
  <c r="AG108" i="3"/>
  <c r="AE108" i="3"/>
  <c r="AF108" i="3"/>
  <c r="V110" i="3"/>
  <c r="W111" i="3"/>
  <c r="AF58" i="1"/>
  <c r="V59" i="1"/>
  <c r="AA60" i="1"/>
  <c r="V111" i="3" l="1"/>
  <c r="W112" i="3"/>
  <c r="AC110" i="3"/>
  <c r="AD110" i="3" s="1"/>
  <c r="AF110" i="3"/>
  <c r="AA112" i="3"/>
  <c r="AA113" i="3" s="1"/>
  <c r="AG109" i="3"/>
  <c r="AE109" i="3"/>
  <c r="AF109" i="3"/>
  <c r="AB112" i="3"/>
  <c r="AB113" i="3" s="1"/>
  <c r="W60" i="1"/>
  <c r="AB61" i="1" s="1"/>
  <c r="AC59" i="1"/>
  <c r="AG59" i="1" s="1"/>
  <c r="AD59" i="1" l="1"/>
  <c r="AG110" i="3"/>
  <c r="AE110" i="3"/>
  <c r="AC111" i="3"/>
  <c r="AD111" i="3" s="1"/>
  <c r="V112" i="3"/>
  <c r="W113" i="3"/>
  <c r="AB114" i="3" s="1"/>
  <c r="AE59" i="1"/>
  <c r="AF59" i="1"/>
  <c r="V60" i="1"/>
  <c r="AA61" i="1"/>
  <c r="W114" i="3" l="1"/>
  <c r="V113" i="3"/>
  <c r="AC112" i="3"/>
  <c r="AD112" i="3" s="1"/>
  <c r="AG111" i="3"/>
  <c r="AE111" i="3"/>
  <c r="AF111" i="3"/>
  <c r="AA114" i="3"/>
  <c r="AB115" i="3" s="1"/>
  <c r="W61" i="1"/>
  <c r="AB62" i="1" s="1"/>
  <c r="AC60" i="1"/>
  <c r="AG60" i="1" s="1"/>
  <c r="AD60" i="1" l="1"/>
  <c r="AG112" i="3"/>
  <c r="AE112" i="3"/>
  <c r="W115" i="3"/>
  <c r="V114" i="3"/>
  <c r="AF112" i="3"/>
  <c r="AE60" i="1"/>
  <c r="AC113" i="3"/>
  <c r="AF113" i="3" s="1"/>
  <c r="AA115" i="3"/>
  <c r="AF60" i="1"/>
  <c r="V61" i="1"/>
  <c r="AA62" i="1"/>
  <c r="AD113" i="3" l="1"/>
  <c r="AB116" i="3"/>
  <c r="AA116" i="3"/>
  <c r="AC114" i="3"/>
  <c r="AG114" i="3" s="1"/>
  <c r="AG113" i="3"/>
  <c r="AE113" i="3"/>
  <c r="W116" i="3"/>
  <c r="V115" i="3"/>
  <c r="AE114" i="3"/>
  <c r="W62" i="1"/>
  <c r="AB63" i="1" s="1"/>
  <c r="AC61" i="1"/>
  <c r="AG61" i="1" s="1"/>
  <c r="AD114" i="3" l="1"/>
  <c r="AD61" i="1"/>
  <c r="AA117" i="3"/>
  <c r="AB117" i="3"/>
  <c r="V116" i="3"/>
  <c r="W117" i="3"/>
  <c r="AC115" i="3"/>
  <c r="AD115" i="3" s="1"/>
  <c r="AE61" i="1"/>
  <c r="AF114" i="3"/>
  <c r="AF61" i="1"/>
  <c r="V62" i="1"/>
  <c r="AA63" i="1"/>
  <c r="AA118" i="3" l="1"/>
  <c r="AB118" i="3"/>
  <c r="AG115" i="3"/>
  <c r="AE115" i="3"/>
  <c r="AC116" i="3"/>
  <c r="AD116" i="3" s="1"/>
  <c r="AF115" i="3"/>
  <c r="V117" i="3"/>
  <c r="W118" i="3"/>
  <c r="W63" i="1"/>
  <c r="AC62" i="1"/>
  <c r="AG62" i="1" s="1"/>
  <c r="AA119" i="3" l="1"/>
  <c r="AB119" i="3"/>
  <c r="AD62" i="1"/>
  <c r="AB64" i="1"/>
  <c r="AC117" i="3"/>
  <c r="AF117" i="3" s="1"/>
  <c r="W119" i="3"/>
  <c r="V118" i="3"/>
  <c r="AG116" i="3"/>
  <c r="AE116" i="3"/>
  <c r="AF116" i="3"/>
  <c r="AE62" i="1"/>
  <c r="AF62" i="1"/>
  <c r="V63" i="1"/>
  <c r="AA64" i="1"/>
  <c r="AA120" i="3"/>
  <c r="AD117" i="3" l="1"/>
  <c r="W120" i="3"/>
  <c r="V119" i="3"/>
  <c r="AC118" i="3"/>
  <c r="AG118" i="3" s="1"/>
  <c r="AB120" i="3"/>
  <c r="AG117" i="3"/>
  <c r="AE117" i="3"/>
  <c r="AE118" i="3"/>
  <c r="W64" i="1"/>
  <c r="AB65" i="1" s="1"/>
  <c r="AC63" i="1"/>
  <c r="AG63" i="1" s="1"/>
  <c r="AD118" i="3" l="1"/>
  <c r="AD63" i="1"/>
  <c r="AB121" i="3"/>
  <c r="AA121" i="3"/>
  <c r="AA65" i="1"/>
  <c r="AE63" i="1"/>
  <c r="AF118" i="3"/>
  <c r="AC119" i="3"/>
  <c r="AD119" i="3" s="1"/>
  <c r="W121" i="3"/>
  <c r="V120" i="3"/>
  <c r="AF63" i="1"/>
  <c r="V64" i="1"/>
  <c r="AB122" i="3"/>
  <c r="W122" i="3" l="1"/>
  <c r="V121" i="3"/>
  <c r="AC120" i="3"/>
  <c r="AD120" i="3" s="1"/>
  <c r="AG119" i="3"/>
  <c r="AE119" i="3"/>
  <c r="AF119" i="3"/>
  <c r="AA122" i="3"/>
  <c r="AA123" i="3" s="1"/>
  <c r="W65" i="1"/>
  <c r="AC64" i="1"/>
  <c r="AG64" i="1" s="1"/>
  <c r="AD64" i="1" l="1"/>
  <c r="AB123" i="3"/>
  <c r="AE64" i="1"/>
  <c r="AG120" i="3"/>
  <c r="AE120" i="3"/>
  <c r="W123" i="3"/>
  <c r="V122" i="3"/>
  <c r="AF120" i="3"/>
  <c r="AC121" i="3"/>
  <c r="AD121" i="3" s="1"/>
  <c r="AF64" i="1"/>
  <c r="V65" i="1"/>
  <c r="AB66" i="1"/>
  <c r="AA66" i="1"/>
  <c r="V123" i="3" l="1"/>
  <c r="W124" i="3"/>
  <c r="AG121" i="3"/>
  <c r="AE121" i="3"/>
  <c r="AF121" i="3"/>
  <c r="AB124" i="3"/>
  <c r="AC122" i="3"/>
  <c r="AD122" i="3" s="1"/>
  <c r="AA124" i="3"/>
  <c r="AA125" i="3" s="1"/>
  <c r="W66" i="1"/>
  <c r="AA67" i="1" s="1"/>
  <c r="AC65" i="1"/>
  <c r="AG65" i="1" s="1"/>
  <c r="AD65" i="1" l="1"/>
  <c r="AB67" i="1"/>
  <c r="AG122" i="3"/>
  <c r="AE122" i="3"/>
  <c r="AF122" i="3"/>
  <c r="AB125" i="3"/>
  <c r="W125" i="3"/>
  <c r="V124" i="3"/>
  <c r="AC123" i="3"/>
  <c r="AF123" i="3" s="1"/>
  <c r="AE65" i="1"/>
  <c r="AF65" i="1"/>
  <c r="V66" i="1"/>
  <c r="AB126" i="3"/>
  <c r="AD123" i="3" l="1"/>
  <c r="AC124" i="3"/>
  <c r="AD124" i="3" s="1"/>
  <c r="V125" i="3"/>
  <c r="W126" i="3"/>
  <c r="AG123" i="3"/>
  <c r="AE123" i="3"/>
  <c r="AA126" i="3"/>
  <c r="AB127" i="3" s="1"/>
  <c r="W67" i="1"/>
  <c r="AC66" i="1"/>
  <c r="AG66" i="1" s="1"/>
  <c r="AD66" i="1" l="1"/>
  <c r="AA127" i="3"/>
  <c r="AE66" i="1"/>
  <c r="AC125" i="3"/>
  <c r="AF125" i="3" s="1"/>
  <c r="V126" i="3"/>
  <c r="W127" i="3"/>
  <c r="AA128" i="3" s="1"/>
  <c r="AG124" i="3"/>
  <c r="AE124" i="3"/>
  <c r="AF124" i="3"/>
  <c r="AF66" i="1"/>
  <c r="V67" i="1"/>
  <c r="AB68" i="1"/>
  <c r="AA68" i="1"/>
  <c r="AD125" i="3" l="1"/>
  <c r="AC126" i="3"/>
  <c r="AD126" i="3" s="1"/>
  <c r="W128" i="3"/>
  <c r="AA129" i="3" s="1"/>
  <c r="V127" i="3"/>
  <c r="AG125" i="3"/>
  <c r="AE125" i="3"/>
  <c r="AB128" i="3"/>
  <c r="AB129" i="3" s="1"/>
  <c r="W68" i="1"/>
  <c r="AC67" i="1"/>
  <c r="AG67" i="1" s="1"/>
  <c r="AD67" i="1" l="1"/>
  <c r="AB69" i="1"/>
  <c r="AE67" i="1"/>
  <c r="W129" i="3"/>
  <c r="V128" i="3"/>
  <c r="AC127" i="3"/>
  <c r="AD127" i="3" s="1"/>
  <c r="AG126" i="3"/>
  <c r="AE126" i="3"/>
  <c r="AF126" i="3"/>
  <c r="AF67" i="1"/>
  <c r="V68" i="1"/>
  <c r="AA69" i="1"/>
  <c r="V129" i="3" l="1"/>
  <c r="W130" i="3"/>
  <c r="AG127" i="3"/>
  <c r="AE127" i="3"/>
  <c r="AF127" i="3"/>
  <c r="AA130" i="3"/>
  <c r="AA131" i="3" s="1"/>
  <c r="AC128" i="3"/>
  <c r="AD128" i="3" s="1"/>
  <c r="AB130" i="3"/>
  <c r="W69" i="1"/>
  <c r="AB70" i="1" s="1"/>
  <c r="AC68" i="1"/>
  <c r="AG68" i="1" s="1"/>
  <c r="AD68" i="1" l="1"/>
  <c r="AB131" i="3"/>
  <c r="AE68" i="1"/>
  <c r="AC129" i="3"/>
  <c r="AD129" i="3" s="1"/>
  <c r="AG128" i="3"/>
  <c r="AE128" i="3"/>
  <c r="AF128" i="3"/>
  <c r="V130" i="3"/>
  <c r="W131" i="3"/>
  <c r="AF68" i="1"/>
  <c r="V69" i="1"/>
  <c r="AA70" i="1"/>
  <c r="AB132" i="3"/>
  <c r="W132" i="3" l="1"/>
  <c r="V131" i="3"/>
  <c r="AC130" i="3"/>
  <c r="AD130" i="3" s="1"/>
  <c r="AF130" i="3"/>
  <c r="AG129" i="3"/>
  <c r="AE129" i="3"/>
  <c r="AF129" i="3"/>
  <c r="AA132" i="3"/>
  <c r="AB133" i="3" s="1"/>
  <c r="W70" i="1"/>
  <c r="AB71" i="1" s="1"/>
  <c r="AC69" i="1"/>
  <c r="AG69" i="1" s="1"/>
  <c r="AD69" i="1" l="1"/>
  <c r="AG130" i="3"/>
  <c r="AE130" i="3"/>
  <c r="AC131" i="3"/>
  <c r="AF131" i="3" s="1"/>
  <c r="V132" i="3"/>
  <c r="W133" i="3"/>
  <c r="AE69" i="1"/>
  <c r="AA133" i="3"/>
  <c r="AF69" i="1"/>
  <c r="V70" i="1"/>
  <c r="AA71" i="1"/>
  <c r="AB134" i="3" l="1"/>
  <c r="AA134" i="3"/>
  <c r="AD131" i="3"/>
  <c r="V133" i="3"/>
  <c r="W134" i="3"/>
  <c r="AC132" i="3"/>
  <c r="AD132" i="3" s="1"/>
  <c r="AE131" i="3"/>
  <c r="AG131" i="3"/>
  <c r="W71" i="1"/>
  <c r="AB72" i="1" s="1"/>
  <c r="AC70" i="1"/>
  <c r="AG70" i="1" s="1"/>
  <c r="AB135" i="3" l="1"/>
  <c r="AA135" i="3"/>
  <c r="AD70" i="1"/>
  <c r="V134" i="3"/>
  <c r="W135" i="3"/>
  <c r="AG132" i="3"/>
  <c r="AE132" i="3"/>
  <c r="AF132" i="3"/>
  <c r="AC133" i="3"/>
  <c r="AD133" i="3" s="1"/>
  <c r="AE70" i="1"/>
  <c r="AF70" i="1"/>
  <c r="V71" i="1"/>
  <c r="AA72" i="1"/>
  <c r="AB136" i="3"/>
  <c r="W136" i="3" l="1"/>
  <c r="V135" i="3"/>
  <c r="AC134" i="3"/>
  <c r="AD134" i="3" s="1"/>
  <c r="AE133" i="3"/>
  <c r="AG133" i="3"/>
  <c r="AF133" i="3"/>
  <c r="AA136" i="3"/>
  <c r="W72" i="1"/>
  <c r="AB73" i="1" s="1"/>
  <c r="AC71" i="1"/>
  <c r="AG71" i="1" s="1"/>
  <c r="AD71" i="1" l="1"/>
  <c r="AA137" i="3"/>
  <c r="AB137" i="3"/>
  <c r="W137" i="3"/>
  <c r="V136" i="3"/>
  <c r="AG134" i="3"/>
  <c r="AE134" i="3"/>
  <c r="AF134" i="3"/>
  <c r="AC135" i="3"/>
  <c r="AD135" i="3" s="1"/>
  <c r="AE71" i="1"/>
  <c r="AF71" i="1"/>
  <c r="V72" i="1"/>
  <c r="AA73" i="1"/>
  <c r="AA138" i="3" l="1"/>
  <c r="AG135" i="3"/>
  <c r="AE135" i="3"/>
  <c r="W138" i="3"/>
  <c r="V137" i="3"/>
  <c r="AF135" i="3"/>
  <c r="AC136" i="3"/>
  <c r="AD136" i="3" s="1"/>
  <c r="AB138" i="3"/>
  <c r="W73" i="1"/>
  <c r="AB74" i="1" s="1"/>
  <c r="AC72" i="1"/>
  <c r="AG72" i="1" s="1"/>
  <c r="AB139" i="3" l="1"/>
  <c r="AD72" i="1"/>
  <c r="AG136" i="3"/>
  <c r="AE136" i="3"/>
  <c r="AF136" i="3"/>
  <c r="AE72" i="1"/>
  <c r="AC137" i="3"/>
  <c r="AD137" i="3" s="1"/>
  <c r="V138" i="3"/>
  <c r="W139" i="3"/>
  <c r="AA139" i="3"/>
  <c r="AF72" i="1"/>
  <c r="V73" i="1"/>
  <c r="AA74" i="1"/>
  <c r="AA140" i="3" l="1"/>
  <c r="W140" i="3"/>
  <c r="V139" i="3"/>
  <c r="AC138" i="3"/>
  <c r="AF138" i="3" s="1"/>
  <c r="AE137" i="3"/>
  <c r="AG137" i="3"/>
  <c r="AF137" i="3"/>
  <c r="AB140" i="3"/>
  <c r="W74" i="1"/>
  <c r="AB75" i="1" s="1"/>
  <c r="AC73" i="1"/>
  <c r="AG73" i="1" s="1"/>
  <c r="AD138" i="3" l="1"/>
  <c r="AD73" i="1"/>
  <c r="AB141" i="3"/>
  <c r="V140" i="3"/>
  <c r="W141" i="3"/>
  <c r="AG138" i="3"/>
  <c r="AE138" i="3"/>
  <c r="AC139" i="3"/>
  <c r="AF139" i="3" s="1"/>
  <c r="AA141" i="3"/>
  <c r="AE73" i="1"/>
  <c r="AF73" i="1"/>
  <c r="V74" i="1"/>
  <c r="AA75" i="1"/>
  <c r="AD139" i="3" l="1"/>
  <c r="AA142" i="3"/>
  <c r="AB142" i="3"/>
  <c r="AG139" i="3"/>
  <c r="AE139" i="3"/>
  <c r="W142" i="3"/>
  <c r="V141" i="3"/>
  <c r="AC140" i="3"/>
  <c r="AD140" i="3" s="1"/>
  <c r="W75" i="1"/>
  <c r="AB76" i="1" s="1"/>
  <c r="AC74" i="1"/>
  <c r="AG74" i="1" s="1"/>
  <c r="AD74" i="1" l="1"/>
  <c r="AA76" i="1"/>
  <c r="AA143" i="3"/>
  <c r="AB143" i="3"/>
  <c r="AG140" i="3"/>
  <c r="AE140" i="3"/>
  <c r="AF140" i="3"/>
  <c r="AC141" i="3"/>
  <c r="AD141" i="3" s="1"/>
  <c r="V142" i="3"/>
  <c r="W143" i="3"/>
  <c r="AB144" i="3" s="1"/>
  <c r="AE74" i="1"/>
  <c r="AF74" i="1"/>
  <c r="V75" i="1"/>
  <c r="AE141" i="3" l="1"/>
  <c r="AG141" i="3"/>
  <c r="W144" i="3"/>
  <c r="V143" i="3"/>
  <c r="AC142" i="3"/>
  <c r="AD142" i="3" s="1"/>
  <c r="AF141" i="3"/>
  <c r="AA144" i="3"/>
  <c r="AB145" i="3" s="1"/>
  <c r="W76" i="1"/>
  <c r="AC75" i="1"/>
  <c r="AG75" i="1" s="1"/>
  <c r="AD75" i="1" l="1"/>
  <c r="AA145" i="3"/>
  <c r="AG142" i="3"/>
  <c r="AE142" i="3"/>
  <c r="AC143" i="3"/>
  <c r="AD143" i="3" s="1"/>
  <c r="V144" i="3"/>
  <c r="W145" i="3"/>
  <c r="AE75" i="1"/>
  <c r="AF142" i="3"/>
  <c r="AF75" i="1"/>
  <c r="V76" i="1"/>
  <c r="AB77" i="1"/>
  <c r="AA77" i="1"/>
  <c r="V145" i="3" l="1"/>
  <c r="W146" i="3"/>
  <c r="AC144" i="3"/>
  <c r="AD144" i="3" s="1"/>
  <c r="AG143" i="3"/>
  <c r="AE143" i="3"/>
  <c r="AF143" i="3"/>
  <c r="AB146" i="3"/>
  <c r="AA146" i="3"/>
  <c r="W77" i="1"/>
  <c r="AA78" i="1" s="1"/>
  <c r="AC76" i="1"/>
  <c r="AG76" i="1" s="1"/>
  <c r="AA147" i="3" l="1"/>
  <c r="AB78" i="1"/>
  <c r="AD76" i="1"/>
  <c r="AB147" i="3"/>
  <c r="AG144" i="3"/>
  <c r="AE144" i="3"/>
  <c r="AF144" i="3"/>
  <c r="AE76" i="1"/>
  <c r="V146" i="3"/>
  <c r="W147" i="3"/>
  <c r="AC145" i="3"/>
  <c r="AF145" i="3" s="1"/>
  <c r="AF76" i="1"/>
  <c r="V77" i="1"/>
  <c r="AA148" i="3"/>
  <c r="AD145" i="3" l="1"/>
  <c r="AB148" i="3"/>
  <c r="AG145" i="3"/>
  <c r="AE145" i="3"/>
  <c r="W148" i="3"/>
  <c r="V147" i="3"/>
  <c r="AC146" i="3"/>
  <c r="AD146" i="3" s="1"/>
  <c r="W78" i="1"/>
  <c r="AC77" i="1"/>
  <c r="AG77" i="1" s="1"/>
  <c r="AD77" i="1" l="1"/>
  <c r="AB149" i="3"/>
  <c r="AA149" i="3"/>
  <c r="AC147" i="3"/>
  <c r="AD147" i="3" s="1"/>
  <c r="W149" i="3"/>
  <c r="V148" i="3"/>
  <c r="AE146" i="3"/>
  <c r="AG146" i="3"/>
  <c r="AF146" i="3"/>
  <c r="AE77" i="1"/>
  <c r="AF77" i="1"/>
  <c r="V78" i="1"/>
  <c r="AB79" i="1"/>
  <c r="AA79" i="1"/>
  <c r="AA150" i="3" l="1"/>
  <c r="W150" i="3"/>
  <c r="V149" i="3"/>
  <c r="AC148" i="3"/>
  <c r="AD148" i="3" s="1"/>
  <c r="AG147" i="3"/>
  <c r="AE147" i="3"/>
  <c r="AB150" i="3"/>
  <c r="AF147" i="3"/>
  <c r="W79" i="1"/>
  <c r="AC78" i="1"/>
  <c r="AG78" i="1" s="1"/>
  <c r="AD78" i="1" l="1"/>
  <c r="AB151" i="3"/>
  <c r="AA151" i="3"/>
  <c r="W151" i="3"/>
  <c r="V150" i="3"/>
  <c r="AG148" i="3"/>
  <c r="AE148" i="3"/>
  <c r="AF148" i="3"/>
  <c r="AE78" i="1"/>
  <c r="AC149" i="3"/>
  <c r="AD149" i="3" s="1"/>
  <c r="AF78" i="1"/>
  <c r="V79" i="1"/>
  <c r="AB80" i="1"/>
  <c r="AA80" i="1"/>
  <c r="AA152" i="3" l="1"/>
  <c r="AG149" i="3"/>
  <c r="AE149" i="3"/>
  <c r="W152" i="3"/>
  <c r="V151" i="3"/>
  <c r="AF149" i="3"/>
  <c r="AC150" i="3"/>
  <c r="AD150" i="3" s="1"/>
  <c r="AB152" i="3"/>
  <c r="AB153" i="3" s="1"/>
  <c r="W80" i="1"/>
  <c r="AC79" i="1"/>
  <c r="AG79" i="1" s="1"/>
  <c r="AA153" i="3"/>
  <c r="AD79" i="1" l="1"/>
  <c r="AG150" i="3"/>
  <c r="AE150" i="3"/>
  <c r="AF150" i="3"/>
  <c r="AC151" i="3"/>
  <c r="AD151" i="3" s="1"/>
  <c r="V152" i="3"/>
  <c r="W153" i="3"/>
  <c r="AE79" i="1"/>
  <c r="AF79" i="1"/>
  <c r="V80" i="1"/>
  <c r="AB81" i="1"/>
  <c r="AA81" i="1"/>
  <c r="W154" i="3" l="1"/>
  <c r="V153" i="3"/>
  <c r="AC152" i="3"/>
  <c r="AD152" i="3" s="1"/>
  <c r="AG151" i="3"/>
  <c r="AE151" i="3"/>
  <c r="AF151" i="3"/>
  <c r="AB154" i="3"/>
  <c r="AA154" i="3"/>
  <c r="W81" i="1"/>
  <c r="AC80" i="1"/>
  <c r="AG80" i="1" s="1"/>
  <c r="AA155" i="3" l="1"/>
  <c r="AD80" i="1"/>
  <c r="V154" i="3"/>
  <c r="W155" i="3"/>
  <c r="AB155" i="3"/>
  <c r="AG152" i="3"/>
  <c r="AE152" i="3"/>
  <c r="AF152" i="3"/>
  <c r="AE80" i="1"/>
  <c r="AC153" i="3"/>
  <c r="AD153" i="3" s="1"/>
  <c r="AF80" i="1"/>
  <c r="V81" i="1"/>
  <c r="AB82" i="1"/>
  <c r="AA82" i="1"/>
  <c r="AB156" i="3" l="1"/>
  <c r="AG153" i="3"/>
  <c r="AE153" i="3"/>
  <c r="AF153" i="3"/>
  <c r="W156" i="3"/>
  <c r="V155" i="3"/>
  <c r="AC154" i="3"/>
  <c r="AG154" i="3" s="1"/>
  <c r="AA156" i="3"/>
  <c r="W82" i="1"/>
  <c r="AC81" i="1"/>
  <c r="AG81" i="1" s="1"/>
  <c r="AD154" i="3" l="1"/>
  <c r="AD81" i="1"/>
  <c r="AA157" i="3"/>
  <c r="AB157" i="3"/>
  <c r="AE154" i="3"/>
  <c r="AC155" i="3"/>
  <c r="AD155" i="3" s="1"/>
  <c r="AF154" i="3"/>
  <c r="V156" i="3"/>
  <c r="W157" i="3"/>
  <c r="AE81" i="1"/>
  <c r="AF81" i="1"/>
  <c r="V82" i="1"/>
  <c r="AB83" i="1"/>
  <c r="AA83" i="1"/>
  <c r="AA158" i="3" l="1"/>
  <c r="AB158" i="3"/>
  <c r="W158" i="3"/>
  <c r="V157" i="3"/>
  <c r="AC156" i="3"/>
  <c r="AD156" i="3" s="1"/>
  <c r="AE155" i="3"/>
  <c r="AG155" i="3"/>
  <c r="AF155" i="3"/>
  <c r="W83" i="1"/>
  <c r="AC82" i="1"/>
  <c r="AG82" i="1" s="1"/>
  <c r="AD82" i="1" l="1"/>
  <c r="AB159" i="3"/>
  <c r="AA159" i="3"/>
  <c r="AG156" i="3"/>
  <c r="AE156" i="3"/>
  <c r="AC157" i="3"/>
  <c r="AF157" i="3" s="1"/>
  <c r="W159" i="3"/>
  <c r="V158" i="3"/>
  <c r="AF156" i="3"/>
  <c r="AE82" i="1"/>
  <c r="AF82" i="1"/>
  <c r="V83" i="1"/>
  <c r="AB84" i="1"/>
  <c r="AA84" i="1"/>
  <c r="AA160" i="3"/>
  <c r="AD157" i="3" l="1"/>
  <c r="AC158" i="3"/>
  <c r="AD158" i="3" s="1"/>
  <c r="W160" i="3"/>
  <c r="AA161" i="3" s="1"/>
  <c r="V159" i="3"/>
  <c r="AG157" i="3"/>
  <c r="AE157" i="3"/>
  <c r="AB160" i="3"/>
  <c r="W84" i="1"/>
  <c r="AC83" i="1"/>
  <c r="AG83" i="1" s="1"/>
  <c r="AB161" i="3" l="1"/>
  <c r="AD83" i="1"/>
  <c r="AC159" i="3"/>
  <c r="AD159" i="3" s="1"/>
  <c r="AF159" i="3"/>
  <c r="W161" i="3"/>
  <c r="V160" i="3"/>
  <c r="AG158" i="3"/>
  <c r="AE158" i="3"/>
  <c r="AF158" i="3"/>
  <c r="AE83" i="1"/>
  <c r="AF83" i="1"/>
  <c r="V84" i="1"/>
  <c r="AB85" i="1"/>
  <c r="AA85" i="1"/>
  <c r="W162" i="3" l="1"/>
  <c r="V161" i="3"/>
  <c r="AA162" i="3"/>
  <c r="AA163" i="3" s="1"/>
  <c r="AC160" i="3"/>
  <c r="AD160" i="3" s="1"/>
  <c r="AE159" i="3"/>
  <c r="AG159" i="3"/>
  <c r="AB162" i="3"/>
  <c r="AB163" i="3" s="1"/>
  <c r="W85" i="1"/>
  <c r="AC84" i="1"/>
  <c r="AG84" i="1" s="1"/>
  <c r="AD84" i="1" l="1"/>
  <c r="AG160" i="3"/>
  <c r="AE160" i="3"/>
  <c r="AF160" i="3"/>
  <c r="AC161" i="3"/>
  <c r="AD161" i="3" s="1"/>
  <c r="W163" i="3"/>
  <c r="V162" i="3"/>
  <c r="AE84" i="1"/>
  <c r="AF84" i="1"/>
  <c r="V85" i="1"/>
  <c r="AB86" i="1"/>
  <c r="AA86" i="1"/>
  <c r="AC162" i="3" l="1"/>
  <c r="AG162" i="3" s="1"/>
  <c r="W164" i="3"/>
  <c r="V163" i="3"/>
  <c r="AG161" i="3"/>
  <c r="AE161" i="3"/>
  <c r="AB164" i="3"/>
  <c r="AF161" i="3"/>
  <c r="AA164" i="3"/>
  <c r="W86" i="1"/>
  <c r="AC85" i="1"/>
  <c r="AG85" i="1" s="1"/>
  <c r="AD162" i="3" l="1"/>
  <c r="AD85" i="1"/>
  <c r="AA165" i="3"/>
  <c r="AE162" i="3"/>
  <c r="AB165" i="3"/>
  <c r="AC163" i="3"/>
  <c r="AD163" i="3" s="1"/>
  <c r="V164" i="3"/>
  <c r="W165" i="3"/>
  <c r="AF162" i="3"/>
  <c r="AE85" i="1"/>
  <c r="AF85" i="1"/>
  <c r="V86" i="1"/>
  <c r="AB87" i="1"/>
  <c r="AA87" i="1"/>
  <c r="AC164" i="3" l="1"/>
  <c r="AF164" i="3" s="1"/>
  <c r="W166" i="3"/>
  <c r="V165" i="3"/>
  <c r="AA166" i="3"/>
  <c r="AE163" i="3"/>
  <c r="AG163" i="3"/>
  <c r="AF163" i="3"/>
  <c r="AB166" i="3"/>
  <c r="W87" i="1"/>
  <c r="AC86" i="1"/>
  <c r="AG86" i="1" s="1"/>
  <c r="AA167" i="3" l="1"/>
  <c r="AD164" i="3"/>
  <c r="AD86" i="1"/>
  <c r="AB167" i="3"/>
  <c r="AC165" i="3"/>
  <c r="AD165" i="3" s="1"/>
  <c r="W167" i="3"/>
  <c r="AA168" i="3" s="1"/>
  <c r="V166" i="3"/>
  <c r="AG164" i="3"/>
  <c r="AE164" i="3"/>
  <c r="AE86" i="1"/>
  <c r="AF86" i="1"/>
  <c r="V87" i="1"/>
  <c r="AA88" i="1"/>
  <c r="AB88" i="1"/>
  <c r="AF165" i="3" l="1"/>
  <c r="AC166" i="3"/>
  <c r="AD166" i="3" s="1"/>
  <c r="W168" i="3"/>
  <c r="AA169" i="3" s="1"/>
  <c r="V167" i="3"/>
  <c r="AG165" i="3"/>
  <c r="AE165" i="3"/>
  <c r="AB168" i="3"/>
  <c r="AB169" i="3" s="1"/>
  <c r="W88" i="1"/>
  <c r="AC87" i="1"/>
  <c r="AG87" i="1" s="1"/>
  <c r="AD87" i="1" l="1"/>
  <c r="V168" i="3"/>
  <c r="W169" i="3"/>
  <c r="AC167" i="3"/>
  <c r="AD167" i="3" s="1"/>
  <c r="AG166" i="3"/>
  <c r="AE166" i="3"/>
  <c r="AF166" i="3"/>
  <c r="AE87" i="1"/>
  <c r="AF87" i="1"/>
  <c r="V88" i="1"/>
  <c r="AA89" i="1"/>
  <c r="AB89" i="1"/>
  <c r="AG167" i="3" l="1"/>
  <c r="AE167" i="3"/>
  <c r="AF167" i="3"/>
  <c r="AC168" i="3"/>
  <c r="AG168" i="3" s="1"/>
  <c r="V169" i="3"/>
  <c r="W170" i="3"/>
  <c r="AB170" i="3"/>
  <c r="AA170" i="3"/>
  <c r="W89" i="1"/>
  <c r="AC88" i="1"/>
  <c r="AG88" i="1" s="1"/>
  <c r="AD168" i="3" l="1"/>
  <c r="AD88" i="1"/>
  <c r="AA171" i="3"/>
  <c r="AE168" i="3"/>
  <c r="AB171" i="3"/>
  <c r="V170" i="3"/>
  <c r="W171" i="3"/>
  <c r="AF168" i="3"/>
  <c r="AE88" i="1"/>
  <c r="AC169" i="3"/>
  <c r="AF169" i="3" s="1"/>
  <c r="AF88" i="1"/>
  <c r="V89" i="1"/>
  <c r="AB90" i="1"/>
  <c r="AA90" i="1"/>
  <c r="AD169" i="3" l="1"/>
  <c r="AB172" i="3"/>
  <c r="AE169" i="3"/>
  <c r="AG169" i="3"/>
  <c r="V171" i="3"/>
  <c r="W172" i="3"/>
  <c r="AC170" i="3"/>
  <c r="AD170" i="3" s="1"/>
  <c r="AA172" i="3"/>
  <c r="AB173" i="3" s="1"/>
  <c r="W90" i="1"/>
  <c r="AC89" i="1"/>
  <c r="AG89" i="1" s="1"/>
  <c r="AA173" i="3"/>
  <c r="AD89" i="1" l="1"/>
  <c r="AG170" i="3"/>
  <c r="AE170" i="3"/>
  <c r="AF170" i="3"/>
  <c r="W173" i="3"/>
  <c r="V172" i="3"/>
  <c r="AC171" i="3"/>
  <c r="AD171" i="3" s="1"/>
  <c r="AE89" i="1"/>
  <c r="AF89" i="1"/>
  <c r="V90" i="1"/>
  <c r="AB91" i="1"/>
  <c r="AA91" i="1"/>
  <c r="AA174" i="3"/>
  <c r="W174" i="3" l="1"/>
  <c r="V173" i="3"/>
  <c r="AE171" i="3"/>
  <c r="AG171" i="3"/>
  <c r="AF171" i="3"/>
  <c r="AC172" i="3"/>
  <c r="AF172" i="3" s="1"/>
  <c r="AB174" i="3"/>
  <c r="W91" i="1"/>
  <c r="AB92" i="1" s="1"/>
  <c r="AC90" i="1"/>
  <c r="AG90" i="1" s="1"/>
  <c r="AD172" i="3" l="1"/>
  <c r="AD90" i="1"/>
  <c r="AB175" i="3"/>
  <c r="AA175" i="3"/>
  <c r="AC173" i="3"/>
  <c r="AD173" i="3" s="1"/>
  <c r="W175" i="3"/>
  <c r="V174" i="3"/>
  <c r="AE172" i="3"/>
  <c r="AG172" i="3"/>
  <c r="AE90" i="1"/>
  <c r="AF90" i="1"/>
  <c r="V91" i="1"/>
  <c r="AA92" i="1"/>
  <c r="AA176" i="3"/>
  <c r="AB176" i="3"/>
  <c r="AF173" i="3" l="1"/>
  <c r="AC174" i="3"/>
  <c r="AD174" i="3" s="1"/>
  <c r="V175" i="3"/>
  <c r="W176" i="3"/>
  <c r="AB177" i="3" s="1"/>
  <c r="AG173" i="3"/>
  <c r="AE173" i="3"/>
  <c r="W92" i="1"/>
  <c r="AB93" i="1" s="1"/>
  <c r="AC91" i="1"/>
  <c r="AG91" i="1" s="1"/>
  <c r="AD91" i="1" l="1"/>
  <c r="AA177" i="3"/>
  <c r="AC175" i="3"/>
  <c r="AD175" i="3" s="1"/>
  <c r="V176" i="3"/>
  <c r="W177" i="3"/>
  <c r="AA178" i="3" s="1"/>
  <c r="AE174" i="3"/>
  <c r="AG174" i="3"/>
  <c r="AF174" i="3"/>
  <c r="AE91" i="1"/>
  <c r="AF91" i="1"/>
  <c r="V92" i="1"/>
  <c r="AA93" i="1"/>
  <c r="AC176" i="3" l="1"/>
  <c r="AD176" i="3" s="1"/>
  <c r="W178" i="3"/>
  <c r="AA179" i="3" s="1"/>
  <c r="V177" i="3"/>
  <c r="AG175" i="3"/>
  <c r="AE175" i="3"/>
  <c r="AB178" i="3"/>
  <c r="AB179" i="3" s="1"/>
  <c r="AF175" i="3"/>
  <c r="W93" i="1"/>
  <c r="AA94" i="1" s="1"/>
  <c r="AC92" i="1"/>
  <c r="AG92" i="1" s="1"/>
  <c r="AB94" i="1" l="1"/>
  <c r="AD92" i="1"/>
  <c r="AC177" i="3"/>
  <c r="AD177" i="3" s="1"/>
  <c r="V178" i="3"/>
  <c r="W179" i="3"/>
  <c r="AE92" i="1"/>
  <c r="AG176" i="3"/>
  <c r="AE176" i="3"/>
  <c r="AF176" i="3"/>
  <c r="AF92" i="1"/>
  <c r="V93" i="1"/>
  <c r="AB180" i="3"/>
  <c r="V179" i="3" l="1"/>
  <c r="W180" i="3"/>
  <c r="AC178" i="3"/>
  <c r="AD178" i="3" s="1"/>
  <c r="AG177" i="3"/>
  <c r="AE177" i="3"/>
  <c r="AF177" i="3"/>
  <c r="AA180" i="3"/>
  <c r="AB181" i="3" s="1"/>
  <c r="W94" i="1"/>
  <c r="AC93" i="1"/>
  <c r="AG93" i="1" s="1"/>
  <c r="AD93" i="1" l="1"/>
  <c r="AA181" i="3"/>
  <c r="V180" i="3"/>
  <c r="W181" i="3"/>
  <c r="AE178" i="3"/>
  <c r="AG178" i="3"/>
  <c r="AF178" i="3"/>
  <c r="AC179" i="3"/>
  <c r="AF179" i="3" s="1"/>
  <c r="AE93" i="1"/>
  <c r="AF93" i="1"/>
  <c r="V94" i="1"/>
  <c r="AB95" i="1"/>
  <c r="AA95" i="1"/>
  <c r="AD179" i="3" l="1"/>
  <c r="AG179" i="3"/>
  <c r="AE179" i="3"/>
  <c r="AC180" i="3"/>
  <c r="AD180" i="3" s="1"/>
  <c r="V181" i="3"/>
  <c r="W182" i="3"/>
  <c r="AB182" i="3"/>
  <c r="AA182" i="3"/>
  <c r="W95" i="1"/>
  <c r="AC94" i="1"/>
  <c r="AG94" i="1" s="1"/>
  <c r="AD94" i="1" l="1"/>
  <c r="AA183" i="3"/>
  <c r="AB183" i="3"/>
  <c r="AC181" i="3"/>
  <c r="AD181" i="3" s="1"/>
  <c r="AG180" i="3"/>
  <c r="AE180" i="3"/>
  <c r="W183" i="3"/>
  <c r="V182" i="3"/>
  <c r="AF180" i="3"/>
  <c r="AE94" i="1"/>
  <c r="AF94" i="1"/>
  <c r="V95" i="1"/>
  <c r="AB96" i="1"/>
  <c r="AA96" i="1"/>
  <c r="W184" i="3" l="1"/>
  <c r="V183" i="3"/>
  <c r="AA184" i="3"/>
  <c r="AC182" i="3"/>
  <c r="AG182" i="3" s="1"/>
  <c r="AG181" i="3"/>
  <c r="AE181" i="3"/>
  <c r="AB184" i="3"/>
  <c r="AE182" i="3"/>
  <c r="AF181" i="3"/>
  <c r="W96" i="1"/>
  <c r="AC95" i="1"/>
  <c r="AG95" i="1" s="1"/>
  <c r="AB185" i="3" l="1"/>
  <c r="AA185" i="3"/>
  <c r="AD182" i="3"/>
  <c r="AD95" i="1"/>
  <c r="AF182" i="3"/>
  <c r="V184" i="3"/>
  <c r="W185" i="3"/>
  <c r="AA186" i="3" s="1"/>
  <c r="AC183" i="3"/>
  <c r="AD183" i="3" s="1"/>
  <c r="AE95" i="1"/>
  <c r="AF95" i="1"/>
  <c r="V96" i="1"/>
  <c r="AB97" i="1"/>
  <c r="AA97" i="1"/>
  <c r="AB186" i="3" l="1"/>
  <c r="AF183" i="3"/>
  <c r="AG183" i="3"/>
  <c r="AE183" i="3"/>
  <c r="W186" i="3"/>
  <c r="AB187" i="3" s="1"/>
  <c r="V185" i="3"/>
  <c r="AC184" i="3"/>
  <c r="AF184" i="3" s="1"/>
  <c r="W97" i="1"/>
  <c r="AC96" i="1"/>
  <c r="AG96" i="1" s="1"/>
  <c r="AD184" i="3" l="1"/>
  <c r="AD96" i="1"/>
  <c r="AA187" i="3"/>
  <c r="AG184" i="3"/>
  <c r="AE184" i="3"/>
  <c r="AC185" i="3"/>
  <c r="AF185" i="3" s="1"/>
  <c r="W187" i="3"/>
  <c r="V186" i="3"/>
  <c r="AE96" i="1"/>
  <c r="AF96" i="1"/>
  <c r="V97" i="1"/>
  <c r="AB98" i="1"/>
  <c r="AA98" i="1"/>
  <c r="AA188" i="3"/>
  <c r="AD185" i="3" l="1"/>
  <c r="AC186" i="3"/>
  <c r="AD186" i="3" s="1"/>
  <c r="V187" i="3"/>
  <c r="W188" i="3"/>
  <c r="AE185" i="3"/>
  <c r="AG185" i="3"/>
  <c r="AB188" i="3"/>
  <c r="AB189" i="3" s="1"/>
  <c r="W98" i="1"/>
  <c r="AA99" i="1" s="1"/>
  <c r="AC97" i="1"/>
  <c r="AG97" i="1" s="1"/>
  <c r="AB99" i="1" l="1"/>
  <c r="AD97" i="1"/>
  <c r="W189" i="3"/>
  <c r="V188" i="3"/>
  <c r="AC187" i="3"/>
  <c r="AF187" i="3" s="1"/>
  <c r="AE97" i="1"/>
  <c r="AG186" i="3"/>
  <c r="AE186" i="3"/>
  <c r="AF186" i="3"/>
  <c r="AA189" i="3"/>
  <c r="AF97" i="1"/>
  <c r="V98" i="1"/>
  <c r="AD187" i="3" l="1"/>
  <c r="AB190" i="3"/>
  <c r="AA190" i="3"/>
  <c r="AG187" i="3"/>
  <c r="AE187" i="3"/>
  <c r="AC188" i="3"/>
  <c r="AF188" i="3" s="1"/>
  <c r="V189" i="3"/>
  <c r="W190" i="3"/>
  <c r="W99" i="1"/>
  <c r="AC98" i="1"/>
  <c r="AG98" i="1" s="1"/>
  <c r="AD188" i="3" l="1"/>
  <c r="AD98" i="1"/>
  <c r="AA191" i="3"/>
  <c r="AC189" i="3"/>
  <c r="AD189" i="3" s="1"/>
  <c r="W191" i="3"/>
  <c r="V190" i="3"/>
  <c r="AG188" i="3"/>
  <c r="AE188" i="3"/>
  <c r="AB191" i="3"/>
  <c r="AE98" i="1"/>
  <c r="AF98" i="1"/>
  <c r="V99" i="1"/>
  <c r="AB100" i="1"/>
  <c r="AA100" i="1"/>
  <c r="AA192" i="3" l="1"/>
  <c r="AB192" i="3"/>
  <c r="AC190" i="3"/>
  <c r="AG190" i="3" s="1"/>
  <c r="AF190" i="3"/>
  <c r="V191" i="3"/>
  <c r="W192" i="3"/>
  <c r="AA193" i="3" s="1"/>
  <c r="AG189" i="3"/>
  <c r="AE189" i="3"/>
  <c r="AF189" i="3"/>
  <c r="W100" i="1"/>
  <c r="AC99" i="1"/>
  <c r="AG99" i="1" s="1"/>
  <c r="AD190" i="3" l="1"/>
  <c r="AD99" i="1"/>
  <c r="AB193" i="3"/>
  <c r="AE190" i="3"/>
  <c r="AC191" i="3"/>
  <c r="AF191" i="3" s="1"/>
  <c r="AE99" i="1"/>
  <c r="V192" i="3"/>
  <c r="W193" i="3"/>
  <c r="AF99" i="1"/>
  <c r="V100" i="1"/>
  <c r="AB101" i="1"/>
  <c r="AA101" i="1"/>
  <c r="AB194" i="3" l="1"/>
  <c r="AA194" i="3"/>
  <c r="AD191" i="3"/>
  <c r="V193" i="3"/>
  <c r="W194" i="3"/>
  <c r="AB195" i="3" s="1"/>
  <c r="AC192" i="3"/>
  <c r="AD192" i="3" s="1"/>
  <c r="AG191" i="3"/>
  <c r="AE191" i="3"/>
  <c r="W101" i="1"/>
  <c r="AC100" i="1"/>
  <c r="AG100" i="1" s="1"/>
  <c r="AD100" i="1" l="1"/>
  <c r="AA195" i="3"/>
  <c r="AG192" i="3"/>
  <c r="AE192" i="3"/>
  <c r="AF192" i="3"/>
  <c r="AE100" i="1"/>
  <c r="W195" i="3"/>
  <c r="AA196" i="3" s="1"/>
  <c r="V194" i="3"/>
  <c r="AC193" i="3"/>
  <c r="AD193" i="3" s="1"/>
  <c r="AF100" i="1"/>
  <c r="V101" i="1"/>
  <c r="AB102" i="1"/>
  <c r="AA102" i="1"/>
  <c r="AG193" i="3" l="1"/>
  <c r="AE193" i="3"/>
  <c r="W196" i="3"/>
  <c r="AA197" i="3" s="1"/>
  <c r="V195" i="3"/>
  <c r="AF193" i="3"/>
  <c r="AC194" i="3"/>
  <c r="AF194" i="3" s="1"/>
  <c r="AB196" i="3"/>
  <c r="W102" i="1"/>
  <c r="AC101" i="1"/>
  <c r="AG101" i="1" s="1"/>
  <c r="AD194" i="3" l="1"/>
  <c r="AD101" i="1"/>
  <c r="AB197" i="3"/>
  <c r="AC195" i="3"/>
  <c r="AD195" i="3" s="1"/>
  <c r="AG194" i="3"/>
  <c r="AE194" i="3"/>
  <c r="W197" i="3"/>
  <c r="AA198" i="3" s="1"/>
  <c r="V196" i="3"/>
  <c r="AE101" i="1"/>
  <c r="AF101" i="1"/>
  <c r="V102" i="1"/>
  <c r="AA103" i="1"/>
  <c r="AB103" i="1"/>
  <c r="W198" i="3" l="1"/>
  <c r="V197" i="3"/>
  <c r="AC196" i="3"/>
  <c r="AD196" i="3" s="1"/>
  <c r="AG195" i="3"/>
  <c r="AE195" i="3"/>
  <c r="AB198" i="3"/>
  <c r="AF195" i="3"/>
  <c r="W103" i="1"/>
  <c r="AC102" i="1"/>
  <c r="AG102" i="1" s="1"/>
  <c r="AD102" i="1" l="1"/>
  <c r="AB199" i="3"/>
  <c r="AA199" i="3"/>
  <c r="AE196" i="3"/>
  <c r="AG196" i="3"/>
  <c r="AF196" i="3"/>
  <c r="AE102" i="1"/>
  <c r="AC197" i="3"/>
  <c r="AF197" i="3" s="1"/>
  <c r="V198" i="3"/>
  <c r="W199" i="3"/>
  <c r="AF102" i="1"/>
  <c r="V103" i="1"/>
  <c r="AA104" i="1"/>
  <c r="AB104" i="1"/>
  <c r="AD197" i="3" l="1"/>
  <c r="W200" i="3"/>
  <c r="V199" i="3"/>
  <c r="AC198" i="3"/>
  <c r="AF198" i="3" s="1"/>
  <c r="AG197" i="3"/>
  <c r="AE197" i="3"/>
  <c r="AA200" i="3"/>
  <c r="AB200" i="3"/>
  <c r="W104" i="1"/>
  <c r="AA105" i="1" s="1"/>
  <c r="AC103" i="1"/>
  <c r="AG103" i="1" s="1"/>
  <c r="AD198" i="3" l="1"/>
  <c r="AD103" i="1"/>
  <c r="AA201" i="3"/>
  <c r="AB201" i="3"/>
  <c r="AG198" i="3"/>
  <c r="AE198" i="3"/>
  <c r="V200" i="3"/>
  <c r="W201" i="3"/>
  <c r="AC199" i="3"/>
  <c r="AF199" i="3" s="1"/>
  <c r="AE103" i="1"/>
  <c r="AF103" i="1"/>
  <c r="V104" i="1"/>
  <c r="AB105" i="1"/>
  <c r="AB202" i="3" l="1"/>
  <c r="AD199" i="3"/>
  <c r="AC200" i="3"/>
  <c r="AD200" i="3" s="1"/>
  <c r="AG199" i="3"/>
  <c r="AE199" i="3"/>
  <c r="V201" i="3"/>
  <c r="W202" i="3"/>
  <c r="AA202" i="3"/>
  <c r="AB203" i="3" s="1"/>
  <c r="W105" i="1"/>
  <c r="AC104" i="1"/>
  <c r="AG104" i="1" s="1"/>
  <c r="AD104" i="1" l="1"/>
  <c r="AA203" i="3"/>
  <c r="W203" i="3"/>
  <c r="V202" i="3"/>
  <c r="AE104" i="1"/>
  <c r="AC201" i="3"/>
  <c r="AF201" i="3" s="1"/>
  <c r="AG200" i="3"/>
  <c r="AE200" i="3"/>
  <c r="AF200" i="3"/>
  <c r="AF104" i="1"/>
  <c r="V105" i="1"/>
  <c r="AA106" i="1"/>
  <c r="AB106" i="1"/>
  <c r="AD201" i="3" l="1"/>
  <c r="AB204" i="3"/>
  <c r="AA204" i="3"/>
  <c r="AC202" i="3"/>
  <c r="AG202" i="3" s="1"/>
  <c r="V203" i="3"/>
  <c r="W204" i="3"/>
  <c r="AA205" i="3" s="1"/>
  <c r="AE201" i="3"/>
  <c r="AG201" i="3"/>
  <c r="W106" i="1"/>
  <c r="AC105" i="1"/>
  <c r="AG105" i="1" s="1"/>
  <c r="AD202" i="3" l="1"/>
  <c r="AD105" i="1"/>
  <c r="AE202" i="3"/>
  <c r="V204" i="3"/>
  <c r="W205" i="3"/>
  <c r="AA206" i="3" s="1"/>
  <c r="AC203" i="3"/>
  <c r="AF203" i="3" s="1"/>
  <c r="AB205" i="3"/>
  <c r="AF202" i="3"/>
  <c r="AE105" i="1"/>
  <c r="AF105" i="1"/>
  <c r="V106" i="1"/>
  <c r="AB107" i="1"/>
  <c r="AA107" i="1"/>
  <c r="AB206" i="3" l="1"/>
  <c r="AD203" i="3"/>
  <c r="AC204" i="3"/>
  <c r="AD204" i="3" s="1"/>
  <c r="AG203" i="3"/>
  <c r="AE203" i="3"/>
  <c r="V205" i="3"/>
  <c r="W206" i="3"/>
  <c r="AA207" i="3" s="1"/>
  <c r="W107" i="1"/>
  <c r="AA108" i="1" s="1"/>
  <c r="AC106" i="1"/>
  <c r="AG106" i="1" s="1"/>
  <c r="AD106" i="1" l="1"/>
  <c r="AB108" i="1"/>
  <c r="W207" i="3"/>
  <c r="AA208" i="3" s="1"/>
  <c r="V206" i="3"/>
  <c r="AC205" i="3"/>
  <c r="AD205" i="3" s="1"/>
  <c r="AG204" i="3"/>
  <c r="AE204" i="3"/>
  <c r="AF204" i="3"/>
  <c r="AE106" i="1"/>
  <c r="AB207" i="3"/>
  <c r="AF106" i="1"/>
  <c r="V107" i="1"/>
  <c r="AB208" i="3" l="1"/>
  <c r="AG205" i="3"/>
  <c r="AE205" i="3"/>
  <c r="AC206" i="3"/>
  <c r="AD206" i="3" s="1"/>
  <c r="AF205" i="3"/>
  <c r="V207" i="3"/>
  <c r="W208" i="3"/>
  <c r="AA209" i="3" s="1"/>
  <c r="W108" i="1"/>
  <c r="AC107" i="1"/>
  <c r="AG107" i="1" s="1"/>
  <c r="AD107" i="1" l="1"/>
  <c r="W209" i="3"/>
  <c r="V208" i="3"/>
  <c r="AG206" i="3"/>
  <c r="AE206" i="3"/>
  <c r="AF206" i="3"/>
  <c r="AC207" i="3"/>
  <c r="AD207" i="3" s="1"/>
  <c r="AE107" i="1"/>
  <c r="AB209" i="3"/>
  <c r="AF107" i="1"/>
  <c r="V108" i="1"/>
  <c r="AB109" i="1"/>
  <c r="AA109" i="1"/>
  <c r="AC208" i="3" l="1"/>
  <c r="AG208" i="3" s="1"/>
  <c r="W210" i="3"/>
  <c r="V209" i="3"/>
  <c r="AB210" i="3"/>
  <c r="AG207" i="3"/>
  <c r="AE207" i="3"/>
  <c r="AF207" i="3"/>
  <c r="AA210" i="3"/>
  <c r="W109" i="1"/>
  <c r="AC108" i="1"/>
  <c r="AG108" i="1" s="1"/>
  <c r="AD208" i="3" l="1"/>
  <c r="AD108" i="1"/>
  <c r="AA211" i="3"/>
  <c r="AE208" i="3"/>
  <c r="AB211" i="3"/>
  <c r="AC209" i="3"/>
  <c r="AG209" i="3" s="1"/>
  <c r="AF208" i="3"/>
  <c r="AE108" i="1"/>
  <c r="W211" i="3"/>
  <c r="V210" i="3"/>
  <c r="AF108" i="1"/>
  <c r="V109" i="1"/>
  <c r="AB110" i="1"/>
  <c r="AA110" i="1"/>
  <c r="AE209" i="3" l="1"/>
  <c r="AD209" i="3"/>
  <c r="W212" i="3"/>
  <c r="V211" i="3"/>
  <c r="AC210" i="3"/>
  <c r="AD210" i="3" s="1"/>
  <c r="AF209" i="3"/>
  <c r="AB212" i="3"/>
  <c r="AA212" i="3"/>
  <c r="W110" i="1"/>
  <c r="AB111" i="1" s="1"/>
  <c r="AC109" i="1"/>
  <c r="AG109" i="1" s="1"/>
  <c r="AF210" i="3" l="1"/>
  <c r="AA111" i="1"/>
  <c r="AD109" i="1"/>
  <c r="AA213" i="3"/>
  <c r="AB213" i="3"/>
  <c r="AG210" i="3"/>
  <c r="AE210" i="3"/>
  <c r="AC211" i="3"/>
  <c r="AF211" i="3" s="1"/>
  <c r="V212" i="3"/>
  <c r="W213" i="3"/>
  <c r="AE109" i="1"/>
  <c r="AF109" i="1"/>
  <c r="V110" i="1"/>
  <c r="AD211" i="3" l="1"/>
  <c r="AB214" i="3"/>
  <c r="AA214" i="3"/>
  <c r="AC212" i="3"/>
  <c r="AG212" i="3" s="1"/>
  <c r="AG211" i="3"/>
  <c r="AE211" i="3"/>
  <c r="AE212" i="3"/>
  <c r="V213" i="3"/>
  <c r="W214" i="3"/>
  <c r="W111" i="1"/>
  <c r="AC110" i="1"/>
  <c r="AG110" i="1" s="1"/>
  <c r="AD212" i="3" l="1"/>
  <c r="AD110" i="1"/>
  <c r="AA215" i="3"/>
  <c r="W215" i="3"/>
  <c r="V214" i="3"/>
  <c r="AC213" i="3"/>
  <c r="AD213" i="3" s="1"/>
  <c r="AE110" i="1"/>
  <c r="AB215" i="3"/>
  <c r="AF212" i="3"/>
  <c r="AF110" i="1"/>
  <c r="V111" i="1"/>
  <c r="AB112" i="1"/>
  <c r="AA112" i="1"/>
  <c r="AA216" i="3" l="1"/>
  <c r="AB216" i="3"/>
  <c r="AG213" i="3"/>
  <c r="AE213" i="3"/>
  <c r="AF213" i="3"/>
  <c r="AC214" i="3"/>
  <c r="AF214" i="3" s="1"/>
  <c r="V215" i="3"/>
  <c r="W216" i="3"/>
  <c r="AA217" i="3" s="1"/>
  <c r="W112" i="1"/>
  <c r="AB113" i="1" s="1"/>
  <c r="AC111" i="1"/>
  <c r="AG111" i="1" s="1"/>
  <c r="AB217" i="3" l="1"/>
  <c r="AD214" i="3"/>
  <c r="AD111" i="1"/>
  <c r="V216" i="3"/>
  <c r="W217" i="3"/>
  <c r="AC215" i="3"/>
  <c r="AD215" i="3" s="1"/>
  <c r="AG214" i="3"/>
  <c r="AE214" i="3"/>
  <c r="AE111" i="1"/>
  <c r="AF111" i="1"/>
  <c r="V112" i="1"/>
  <c r="AA113" i="1"/>
  <c r="AA218" i="3"/>
  <c r="AB218" i="3"/>
  <c r="AG215" i="3" l="1"/>
  <c r="AE215" i="3"/>
  <c r="AF215" i="3"/>
  <c r="W218" i="3"/>
  <c r="AA219" i="3" s="1"/>
  <c r="V217" i="3"/>
  <c r="AC216" i="3"/>
  <c r="AD216" i="3" s="1"/>
  <c r="W113" i="1"/>
  <c r="AB114" i="1" s="1"/>
  <c r="AC112" i="1"/>
  <c r="AG112" i="1" s="1"/>
  <c r="AD112" i="1" l="1"/>
  <c r="AG216" i="3"/>
  <c r="AE216" i="3"/>
  <c r="AF216" i="3"/>
  <c r="AC217" i="3"/>
  <c r="AF217" i="3" s="1"/>
  <c r="W219" i="3"/>
  <c r="V218" i="3"/>
  <c r="AE112" i="1"/>
  <c r="AB219" i="3"/>
  <c r="AB220" i="3" s="1"/>
  <c r="AF112" i="1"/>
  <c r="V113" i="1"/>
  <c r="AA114" i="1"/>
  <c r="AD217" i="3" l="1"/>
  <c r="V219" i="3"/>
  <c r="W220" i="3"/>
  <c r="AC218" i="3"/>
  <c r="AG218" i="3" s="1"/>
  <c r="AE217" i="3"/>
  <c r="AG217" i="3"/>
  <c r="AE218" i="3"/>
  <c r="AA220" i="3"/>
  <c r="AB221" i="3" s="1"/>
  <c r="W114" i="1"/>
  <c r="AB115" i="1" s="1"/>
  <c r="AC113" i="1"/>
  <c r="AG113" i="1" s="1"/>
  <c r="AD218" i="3" l="1"/>
  <c r="AD113" i="1"/>
  <c r="AF218" i="3"/>
  <c r="AE113" i="1"/>
  <c r="V220" i="3"/>
  <c r="W221" i="3"/>
  <c r="AC219" i="3"/>
  <c r="AD219" i="3" s="1"/>
  <c r="AA221" i="3"/>
  <c r="AF113" i="1"/>
  <c r="V114" i="1"/>
  <c r="AA115" i="1"/>
  <c r="AB222" i="3" l="1"/>
  <c r="AA222" i="3"/>
  <c r="AG219" i="3"/>
  <c r="AE219" i="3"/>
  <c r="AF219" i="3"/>
  <c r="V221" i="3"/>
  <c r="W222" i="3"/>
  <c r="AC220" i="3"/>
  <c r="AD220" i="3" s="1"/>
  <c r="W115" i="1"/>
  <c r="AA116" i="1" s="1"/>
  <c r="AC114" i="1"/>
  <c r="AG114" i="1" s="1"/>
  <c r="AB223" i="3"/>
  <c r="AB116" i="1" l="1"/>
  <c r="AD114" i="1"/>
  <c r="W223" i="3"/>
  <c r="V222" i="3"/>
  <c r="AC221" i="3"/>
  <c r="AD221" i="3" s="1"/>
  <c r="AG220" i="3"/>
  <c r="AE220" i="3"/>
  <c r="AF220" i="3"/>
  <c r="AA223" i="3"/>
  <c r="AE114" i="1"/>
  <c r="AF114" i="1"/>
  <c r="V115" i="1"/>
  <c r="AB224" i="3" l="1"/>
  <c r="AA224" i="3"/>
  <c r="AG221" i="3"/>
  <c r="AE221" i="3"/>
  <c r="AF221" i="3"/>
  <c r="AC222" i="3"/>
  <c r="AF222" i="3" s="1"/>
  <c r="V223" i="3"/>
  <c r="W224" i="3"/>
  <c r="AA225" i="3" s="1"/>
  <c r="W116" i="1"/>
  <c r="AC115" i="1"/>
  <c r="AG115" i="1" s="1"/>
  <c r="AD222" i="3" l="1"/>
  <c r="AD115" i="1"/>
  <c r="AB225" i="3"/>
  <c r="W225" i="3"/>
  <c r="V224" i="3"/>
  <c r="AC223" i="3"/>
  <c r="AD223" i="3" s="1"/>
  <c r="AA226" i="3"/>
  <c r="AG222" i="3"/>
  <c r="AE222" i="3"/>
  <c r="AE115" i="1"/>
  <c r="V116" i="1"/>
  <c r="AB117" i="1"/>
  <c r="AA117" i="1"/>
  <c r="AF115" i="1"/>
  <c r="AB226" i="3" l="1"/>
  <c r="AF223" i="3"/>
  <c r="W226" i="3"/>
  <c r="AA227" i="3" s="1"/>
  <c r="V225" i="3"/>
  <c r="AG223" i="3"/>
  <c r="AE223" i="3"/>
  <c r="AC224" i="3"/>
  <c r="AD224" i="3" s="1"/>
  <c r="W117" i="1"/>
  <c r="AC116" i="1"/>
  <c r="AG116" i="1" s="1"/>
  <c r="AD116" i="1" l="1"/>
  <c r="AF224" i="3"/>
  <c r="AG224" i="3"/>
  <c r="AE224" i="3"/>
  <c r="AC225" i="3"/>
  <c r="AD225" i="3" s="1"/>
  <c r="W227" i="3"/>
  <c r="V226" i="3"/>
  <c r="AE116" i="1"/>
  <c r="AB227" i="3"/>
  <c r="AB228" i="3" s="1"/>
  <c r="AF116" i="1"/>
  <c r="V117" i="1"/>
  <c r="AA118" i="1"/>
  <c r="AB118" i="1"/>
  <c r="AA228" i="3"/>
  <c r="AF225" i="3" l="1"/>
  <c r="AC226" i="3"/>
  <c r="AF226" i="3" s="1"/>
  <c r="W228" i="3"/>
  <c r="AB229" i="3" s="1"/>
  <c r="V227" i="3"/>
  <c r="AG225" i="3"/>
  <c r="AE225" i="3"/>
  <c r="W118" i="1"/>
  <c r="AA119" i="1" s="1"/>
  <c r="AC117" i="1"/>
  <c r="AG117" i="1" s="1"/>
  <c r="AD226" i="3" l="1"/>
  <c r="AD117" i="1"/>
  <c r="AA229" i="3"/>
  <c r="AC227" i="3"/>
  <c r="AD227" i="3" s="1"/>
  <c r="AE117" i="1"/>
  <c r="W229" i="3"/>
  <c r="AA230" i="3" s="1"/>
  <c r="V228" i="3"/>
  <c r="AG226" i="3"/>
  <c r="AE226" i="3"/>
  <c r="AF117" i="1"/>
  <c r="V118" i="1"/>
  <c r="AB119" i="1"/>
  <c r="AB230" i="3"/>
  <c r="AC228" i="3" l="1"/>
  <c r="AD228" i="3" s="1"/>
  <c r="V229" i="3"/>
  <c r="W230" i="3"/>
  <c r="AE227" i="3"/>
  <c r="AG227" i="3"/>
  <c r="AF227" i="3"/>
  <c r="W119" i="1"/>
  <c r="AB120" i="1" s="1"/>
  <c r="AC118" i="1"/>
  <c r="AG118" i="1" s="1"/>
  <c r="AA231" i="3"/>
  <c r="AD118" i="1" l="1"/>
  <c r="W231" i="3"/>
  <c r="V230" i="3"/>
  <c r="AC229" i="3"/>
  <c r="AD229" i="3" s="1"/>
  <c r="AB231" i="3"/>
  <c r="AE118" i="1"/>
  <c r="AG228" i="3"/>
  <c r="AE228" i="3"/>
  <c r="AF228" i="3"/>
  <c r="AF118" i="1"/>
  <c r="V119" i="1"/>
  <c r="AA120" i="1"/>
  <c r="AB232" i="3" l="1"/>
  <c r="AG229" i="3"/>
  <c r="AE229" i="3"/>
  <c r="V231" i="3"/>
  <c r="W232" i="3"/>
  <c r="AF229" i="3"/>
  <c r="AC230" i="3"/>
  <c r="AD230" i="3" s="1"/>
  <c r="AA232" i="3"/>
  <c r="AB233" i="3" s="1"/>
  <c r="W120" i="1"/>
  <c r="AA121" i="1" s="1"/>
  <c r="AC119" i="1"/>
  <c r="AG119" i="1" s="1"/>
  <c r="AB121" i="1" l="1"/>
  <c r="AD119" i="1"/>
  <c r="AA233" i="3"/>
  <c r="AC231" i="3"/>
  <c r="AG231" i="3" s="1"/>
  <c r="AG230" i="3"/>
  <c r="AE230" i="3"/>
  <c r="AF230" i="3"/>
  <c r="W233" i="3"/>
  <c r="V232" i="3"/>
  <c r="AE119" i="1"/>
  <c r="AF119" i="1"/>
  <c r="V120" i="1"/>
  <c r="AD231" i="3" l="1"/>
  <c r="AE231" i="3"/>
  <c r="W234" i="3"/>
  <c r="V233" i="3"/>
  <c r="AC232" i="3"/>
  <c r="AF232" i="3" s="1"/>
  <c r="AF231" i="3"/>
  <c r="AB234" i="3"/>
  <c r="AA234" i="3"/>
  <c r="W121" i="1"/>
  <c r="AC120" i="1"/>
  <c r="AG120" i="1" s="1"/>
  <c r="AD232" i="3" l="1"/>
  <c r="AD120" i="1"/>
  <c r="AB235" i="3"/>
  <c r="AA235" i="3"/>
  <c r="AE120" i="1"/>
  <c r="V234" i="3"/>
  <c r="W235" i="3"/>
  <c r="AG232" i="3"/>
  <c r="AE232" i="3"/>
  <c r="AC233" i="3"/>
  <c r="AF233" i="3" s="1"/>
  <c r="AF120" i="1"/>
  <c r="V121" i="1"/>
  <c r="AB122" i="1"/>
  <c r="AA122" i="1"/>
  <c r="AD233" i="3" l="1"/>
  <c r="AC234" i="3"/>
  <c r="AD234" i="3" s="1"/>
  <c r="W236" i="3"/>
  <c r="V235" i="3"/>
  <c r="AG233" i="3"/>
  <c r="AE233" i="3"/>
  <c r="AB236" i="3"/>
  <c r="AA236" i="3"/>
  <c r="W122" i="1"/>
  <c r="AC121" i="1"/>
  <c r="AG121" i="1" s="1"/>
  <c r="AB237" i="3" l="1"/>
  <c r="AD121" i="1"/>
  <c r="AA237" i="3"/>
  <c r="AE121" i="1"/>
  <c r="AC235" i="3"/>
  <c r="AD235" i="3" s="1"/>
  <c r="W237" i="3"/>
  <c r="AA238" i="3" s="1"/>
  <c r="V236" i="3"/>
  <c r="AG234" i="3"/>
  <c r="AE234" i="3"/>
  <c r="AF234" i="3"/>
  <c r="AF121" i="1"/>
  <c r="V122" i="1"/>
  <c r="AB123" i="1"/>
  <c r="AA123" i="1"/>
  <c r="AC236" i="3" l="1"/>
  <c r="AG236" i="3" s="1"/>
  <c r="AG235" i="3"/>
  <c r="AE235" i="3"/>
  <c r="AF235" i="3"/>
  <c r="W238" i="3"/>
  <c r="V237" i="3"/>
  <c r="AB238" i="3"/>
  <c r="W123" i="1"/>
  <c r="AC122" i="1"/>
  <c r="AG122" i="1" s="1"/>
  <c r="AE236" i="3" l="1"/>
  <c r="AD236" i="3"/>
  <c r="AD122" i="1"/>
  <c r="AB239" i="3"/>
  <c r="W239" i="3"/>
  <c r="V238" i="3"/>
  <c r="AC237" i="3"/>
  <c r="AD237" i="3" s="1"/>
  <c r="AF236" i="3"/>
  <c r="AA239" i="3"/>
  <c r="AA240" i="3" s="1"/>
  <c r="AE122" i="1"/>
  <c r="AF122" i="1"/>
  <c r="V123" i="1"/>
  <c r="AB124" i="1"/>
  <c r="AA124" i="1"/>
  <c r="AB240" i="3" l="1"/>
  <c r="AG237" i="3"/>
  <c r="AE237" i="3"/>
  <c r="AF237" i="3"/>
  <c r="AC238" i="3"/>
  <c r="AD238" i="3" s="1"/>
  <c r="W240" i="3"/>
  <c r="V239" i="3"/>
  <c r="W124" i="1"/>
  <c r="AC123" i="1"/>
  <c r="AG123" i="1" s="1"/>
  <c r="AA241" i="3"/>
  <c r="AD123" i="1" l="1"/>
  <c r="AC239" i="3"/>
  <c r="AD239" i="3" s="1"/>
  <c r="V240" i="3"/>
  <c r="W241" i="3"/>
  <c r="AG238" i="3"/>
  <c r="AE238" i="3"/>
  <c r="AF238" i="3"/>
  <c r="AE123" i="1"/>
  <c r="AB241" i="3"/>
  <c r="AF123" i="1"/>
  <c r="V124" i="1"/>
  <c r="AB125" i="1"/>
  <c r="AA125" i="1"/>
  <c r="AB242" i="3" l="1"/>
  <c r="V241" i="3"/>
  <c r="W242" i="3"/>
  <c r="AC240" i="3"/>
  <c r="AG240" i="3" s="1"/>
  <c r="AG239" i="3"/>
  <c r="AE239" i="3"/>
  <c r="AA242" i="3"/>
  <c r="AB243" i="3" s="1"/>
  <c r="AF239" i="3"/>
  <c r="W125" i="1"/>
  <c r="AC124" i="1"/>
  <c r="AG124" i="1" s="1"/>
  <c r="AD240" i="3" l="1"/>
  <c r="AD124" i="1"/>
  <c r="AA243" i="3"/>
  <c r="AE240" i="3"/>
  <c r="W243" i="3"/>
  <c r="V242" i="3"/>
  <c r="AF240" i="3"/>
  <c r="AC241" i="3"/>
  <c r="AD241" i="3" s="1"/>
  <c r="AE124" i="1"/>
  <c r="AF124" i="1"/>
  <c r="V125" i="1"/>
  <c r="AB126" i="1"/>
  <c r="AA126" i="1"/>
  <c r="AB244" i="3" l="1"/>
  <c r="AG241" i="3"/>
  <c r="AE241" i="3"/>
  <c r="AC242" i="3"/>
  <c r="AD242" i="3" s="1"/>
  <c r="AF241" i="3"/>
  <c r="V243" i="3"/>
  <c r="W244" i="3"/>
  <c r="AA244" i="3"/>
  <c r="W126" i="1"/>
  <c r="AC125" i="1"/>
  <c r="AG125" i="1" s="1"/>
  <c r="AD125" i="1" l="1"/>
  <c r="AA245" i="3"/>
  <c r="AB245" i="3"/>
  <c r="V244" i="3"/>
  <c r="W245" i="3"/>
  <c r="AC243" i="3"/>
  <c r="AD243" i="3" s="1"/>
  <c r="AG242" i="3"/>
  <c r="AE242" i="3"/>
  <c r="AF242" i="3"/>
  <c r="AE125" i="1"/>
  <c r="AF125" i="1"/>
  <c r="V126" i="1"/>
  <c r="AA127" i="1"/>
  <c r="AB127" i="1"/>
  <c r="AC244" i="3" l="1"/>
  <c r="AD244" i="3" s="1"/>
  <c r="AG243" i="3"/>
  <c r="AE243" i="3"/>
  <c r="AF243" i="3"/>
  <c r="V245" i="3"/>
  <c r="W246" i="3"/>
  <c r="AB246" i="3"/>
  <c r="AA246" i="3"/>
  <c r="W127" i="1"/>
  <c r="AC126" i="1"/>
  <c r="AG126" i="1" s="1"/>
  <c r="AD126" i="1" l="1"/>
  <c r="AA247" i="3"/>
  <c r="AB247" i="3"/>
  <c r="V246" i="3"/>
  <c r="W247" i="3"/>
  <c r="AC245" i="3"/>
  <c r="AF245" i="3" s="1"/>
  <c r="AE126" i="1"/>
  <c r="AG244" i="3"/>
  <c r="AE244" i="3"/>
  <c r="AF244" i="3"/>
  <c r="AF126" i="1"/>
  <c r="V127" i="1"/>
  <c r="AA128" i="1"/>
  <c r="AB128" i="1"/>
  <c r="AD245" i="3" l="1"/>
  <c r="AB248" i="3"/>
  <c r="AG245" i="3"/>
  <c r="AE245" i="3"/>
  <c r="V247" i="3"/>
  <c r="W248" i="3"/>
  <c r="AC246" i="3"/>
  <c r="AG246" i="3" s="1"/>
  <c r="AA248" i="3"/>
  <c r="W128" i="1"/>
  <c r="AC127" i="1"/>
  <c r="AG127" i="1" s="1"/>
  <c r="AD246" i="3" l="1"/>
  <c r="AD127" i="1"/>
  <c r="AB249" i="3"/>
  <c r="AA249" i="3"/>
  <c r="AE246" i="3"/>
  <c r="AC247" i="3"/>
  <c r="AD247" i="3" s="1"/>
  <c r="AF246" i="3"/>
  <c r="W249" i="3"/>
  <c r="V248" i="3"/>
  <c r="AE127" i="1"/>
  <c r="V128" i="1"/>
  <c r="AA129" i="1"/>
  <c r="AF127" i="1"/>
  <c r="AB129" i="1"/>
  <c r="AB250" i="3" l="1"/>
  <c r="AC248" i="3"/>
  <c r="AD248" i="3" s="1"/>
  <c r="W250" i="3"/>
  <c r="V249" i="3"/>
  <c r="AA250" i="3"/>
  <c r="AA251" i="3" s="1"/>
  <c r="AG247" i="3"/>
  <c r="AE247" i="3"/>
  <c r="AF247" i="3"/>
  <c r="W129" i="1"/>
  <c r="AC128" i="1"/>
  <c r="AG128" i="1" s="1"/>
  <c r="AB251" i="3" l="1"/>
  <c r="AD128" i="1"/>
  <c r="AC249" i="3"/>
  <c r="AF249" i="3" s="1"/>
  <c r="V250" i="3"/>
  <c r="W251" i="3"/>
  <c r="AG248" i="3"/>
  <c r="AE248" i="3"/>
  <c r="AF248" i="3"/>
  <c r="AE128" i="1"/>
  <c r="AF128" i="1"/>
  <c r="V129" i="1"/>
  <c r="AA130" i="1"/>
  <c r="AB130" i="1"/>
  <c r="AA252" i="3"/>
  <c r="AD249" i="3" l="1"/>
  <c r="V251" i="3"/>
  <c r="W252" i="3"/>
  <c r="AC250" i="3"/>
  <c r="AG250" i="3" s="1"/>
  <c r="AB252" i="3"/>
  <c r="AB253" i="3" s="1"/>
  <c r="AG249" i="3"/>
  <c r="AE249" i="3"/>
  <c r="W130" i="1"/>
  <c r="AB131" i="1" s="1"/>
  <c r="AC129" i="1"/>
  <c r="AG129" i="1" s="1"/>
  <c r="AE250" i="3" l="1"/>
  <c r="AF250" i="3"/>
  <c r="AD250" i="3"/>
  <c r="AD129" i="1"/>
  <c r="AA131" i="1"/>
  <c r="V252" i="3"/>
  <c r="W253" i="3"/>
  <c r="AC251" i="3"/>
  <c r="AF251" i="3" s="1"/>
  <c r="AA253" i="3"/>
  <c r="AA254" i="3" s="1"/>
  <c r="AE129" i="1"/>
  <c r="AF129" i="1"/>
  <c r="V130" i="1"/>
  <c r="AD251" i="3" l="1"/>
  <c r="AB254" i="3"/>
  <c r="AG251" i="3"/>
  <c r="AE251" i="3"/>
  <c r="V253" i="3"/>
  <c r="W254" i="3"/>
  <c r="AC252" i="3"/>
  <c r="AF252" i="3" s="1"/>
  <c r="W131" i="1"/>
  <c r="AC130" i="1"/>
  <c r="AG130" i="1" s="1"/>
  <c r="AD252" i="3" l="1"/>
  <c r="AD130" i="1"/>
  <c r="AG252" i="3"/>
  <c r="AE252" i="3"/>
  <c r="V254" i="3"/>
  <c r="W255" i="3"/>
  <c r="AA255" i="3"/>
  <c r="AC253" i="3"/>
  <c r="AD253" i="3" s="1"/>
  <c r="AB255" i="3"/>
  <c r="AE130" i="1"/>
  <c r="AF130" i="1"/>
  <c r="V131" i="1"/>
  <c r="AA132" i="1"/>
  <c r="AB132" i="1"/>
  <c r="AA256" i="3" l="1"/>
  <c r="AB256" i="3"/>
  <c r="V255" i="3"/>
  <c r="W256" i="3"/>
  <c r="AG253" i="3"/>
  <c r="AE253" i="3"/>
  <c r="AF253" i="3"/>
  <c r="AC254" i="3"/>
  <c r="AG254" i="3" s="1"/>
  <c r="W132" i="1"/>
  <c r="AA133" i="1" s="1"/>
  <c r="AC131" i="1"/>
  <c r="AG131" i="1" s="1"/>
  <c r="AD254" i="3" l="1"/>
  <c r="AD131" i="1"/>
  <c r="AE254" i="3"/>
  <c r="AC255" i="3"/>
  <c r="AG255" i="3" s="1"/>
  <c r="AF254" i="3"/>
  <c r="AE131" i="1"/>
  <c r="V256" i="3"/>
  <c r="W257" i="3"/>
  <c r="AA257" i="3"/>
  <c r="AE255" i="3"/>
  <c r="AB257" i="3"/>
  <c r="AF131" i="1"/>
  <c r="V132" i="1"/>
  <c r="AB133" i="1"/>
  <c r="AD255" i="3" l="1"/>
  <c r="AA258" i="3"/>
  <c r="AB258" i="3"/>
  <c r="V257" i="3"/>
  <c r="W258" i="3"/>
  <c r="AC256" i="3"/>
  <c r="AD256" i="3" s="1"/>
  <c r="AF255" i="3"/>
  <c r="W133" i="1"/>
  <c r="AC132" i="1"/>
  <c r="AG132" i="1" s="1"/>
  <c r="AD132" i="1" l="1"/>
  <c r="AB259" i="3"/>
  <c r="AG256" i="3"/>
  <c r="AE256" i="3"/>
  <c r="AC257" i="3"/>
  <c r="AD257" i="3" s="1"/>
  <c r="AF256" i="3"/>
  <c r="V258" i="3"/>
  <c r="W259" i="3"/>
  <c r="AE132" i="1"/>
  <c r="AA259" i="3"/>
  <c r="AF132" i="1"/>
  <c r="V133" i="1"/>
  <c r="AA134" i="1"/>
  <c r="AB134" i="1"/>
  <c r="AA260" i="3" l="1"/>
  <c r="AB260" i="3"/>
  <c r="V259" i="3"/>
  <c r="W260" i="3"/>
  <c r="AC258" i="3"/>
  <c r="AG258" i="3" s="1"/>
  <c r="AG257" i="3"/>
  <c r="AE257" i="3"/>
  <c r="AF257" i="3"/>
  <c r="AE258" i="3"/>
  <c r="W134" i="1"/>
  <c r="AC133" i="1"/>
  <c r="AG133" i="1" s="1"/>
  <c r="AD258" i="3" l="1"/>
  <c r="AD133" i="1"/>
  <c r="AB261" i="3"/>
  <c r="W261" i="3"/>
  <c r="V260" i="3"/>
  <c r="AC259" i="3"/>
  <c r="AF259" i="3" s="1"/>
  <c r="AF258" i="3"/>
  <c r="AE133" i="1"/>
  <c r="AA261" i="3"/>
  <c r="AA262" i="3" s="1"/>
  <c r="AF133" i="1"/>
  <c r="V134" i="1"/>
  <c r="AA135" i="1"/>
  <c r="AB135" i="1"/>
  <c r="AD259" i="3" l="1"/>
  <c r="AB262" i="3"/>
  <c r="AG259" i="3"/>
  <c r="AE259" i="3"/>
  <c r="AC260" i="3"/>
  <c r="AF260" i="3" s="1"/>
  <c r="W262" i="3"/>
  <c r="V261" i="3"/>
  <c r="W135" i="1"/>
  <c r="AC134" i="1"/>
  <c r="AG134" i="1" s="1"/>
  <c r="AD260" i="3" l="1"/>
  <c r="AD134" i="1"/>
  <c r="AB263" i="3"/>
  <c r="AC261" i="3"/>
  <c r="AD261" i="3" s="1"/>
  <c r="AG260" i="3"/>
  <c r="AE260" i="3"/>
  <c r="V262" i="3"/>
  <c r="W263" i="3"/>
  <c r="AE134" i="1"/>
  <c r="AA263" i="3"/>
  <c r="AA264" i="3" s="1"/>
  <c r="AF134" i="1"/>
  <c r="V135" i="1"/>
  <c r="AA136" i="1"/>
  <c r="AB136" i="1"/>
  <c r="AC262" i="3" l="1"/>
  <c r="AF262" i="3" s="1"/>
  <c r="W264" i="3"/>
  <c r="V263" i="3"/>
  <c r="AB264" i="3"/>
  <c r="AG261" i="3"/>
  <c r="AE261" i="3"/>
  <c r="AF261" i="3"/>
  <c r="W136" i="1"/>
  <c r="AC135" i="1"/>
  <c r="AG135" i="1" s="1"/>
  <c r="AA265" i="3"/>
  <c r="AB265" i="3"/>
  <c r="AD262" i="3" l="1"/>
  <c r="AD135" i="1"/>
  <c r="AC263" i="3"/>
  <c r="AF263" i="3" s="1"/>
  <c r="V264" i="3"/>
  <c r="W265" i="3"/>
  <c r="AE135" i="1"/>
  <c r="AG262" i="3"/>
  <c r="AE262" i="3"/>
  <c r="AF135" i="1"/>
  <c r="V136" i="1"/>
  <c r="AA137" i="1"/>
  <c r="AB137" i="1"/>
  <c r="AA266" i="3"/>
  <c r="AB266" i="3"/>
  <c r="AD263" i="3" l="1"/>
  <c r="W266" i="3"/>
  <c r="V265" i="3"/>
  <c r="AC264" i="3"/>
  <c r="AF264" i="3" s="1"/>
  <c r="AG263" i="3"/>
  <c r="AE263" i="3"/>
  <c r="W137" i="1"/>
  <c r="AA138" i="1" s="1"/>
  <c r="AC136" i="1"/>
  <c r="AG136" i="1" s="1"/>
  <c r="AB267" i="3"/>
  <c r="AD264" i="3" l="1"/>
  <c r="AD136" i="1"/>
  <c r="V266" i="3"/>
  <c r="W267" i="3"/>
  <c r="AG264" i="3"/>
  <c r="AE264" i="3"/>
  <c r="AC265" i="3"/>
  <c r="AF265" i="3" s="1"/>
  <c r="AE136" i="1"/>
  <c r="AA267" i="3"/>
  <c r="AF136" i="1"/>
  <c r="V137" i="1"/>
  <c r="AB138" i="1"/>
  <c r="AB268" i="3" l="1"/>
  <c r="AA268" i="3"/>
  <c r="AD265" i="3"/>
  <c r="W268" i="3"/>
  <c r="V267" i="3"/>
  <c r="AG265" i="3"/>
  <c r="AE265" i="3"/>
  <c r="AC266" i="3"/>
  <c r="AF266" i="3" s="1"/>
  <c r="W138" i="1"/>
  <c r="AC137" i="1"/>
  <c r="AG137" i="1" s="1"/>
  <c r="AA269" i="3"/>
  <c r="AB269" i="3"/>
  <c r="AD266" i="3" l="1"/>
  <c r="AD137" i="1"/>
  <c r="AG266" i="3"/>
  <c r="AE266" i="3"/>
  <c r="AE137" i="1"/>
  <c r="AC267" i="3"/>
  <c r="AD267" i="3" s="1"/>
  <c r="W269" i="3"/>
  <c r="AA270" i="3" s="1"/>
  <c r="V268" i="3"/>
  <c r="AF137" i="1"/>
  <c r="V138" i="1"/>
  <c r="AA139" i="1"/>
  <c r="AB139" i="1"/>
  <c r="AC268" i="3" l="1"/>
  <c r="AD268" i="3" s="1"/>
  <c r="AF267" i="3"/>
  <c r="V269" i="3"/>
  <c r="W270" i="3"/>
  <c r="AG267" i="3"/>
  <c r="AE267" i="3"/>
  <c r="AB270" i="3"/>
  <c r="AB271" i="3" s="1"/>
  <c r="W139" i="1"/>
  <c r="AA140" i="1" s="1"/>
  <c r="AC138" i="1"/>
  <c r="AG138" i="1" s="1"/>
  <c r="AD138" i="1" l="1"/>
  <c r="V270" i="3"/>
  <c r="W271" i="3"/>
  <c r="AC269" i="3"/>
  <c r="AD269" i="3" s="1"/>
  <c r="AE268" i="3"/>
  <c r="AG268" i="3"/>
  <c r="AF268" i="3"/>
  <c r="AE138" i="1"/>
  <c r="AA271" i="3"/>
  <c r="AA272" i="3" s="1"/>
  <c r="AF138" i="1"/>
  <c r="V139" i="1"/>
  <c r="AB140" i="1"/>
  <c r="AG269" i="3" l="1"/>
  <c r="AE269" i="3"/>
  <c r="AF269" i="3"/>
  <c r="AB272" i="3"/>
  <c r="W272" i="3"/>
  <c r="V271" i="3"/>
  <c r="AC270" i="3"/>
  <c r="AF270" i="3" s="1"/>
  <c r="W140" i="1"/>
  <c r="AC139" i="1"/>
  <c r="AG139" i="1" s="1"/>
  <c r="AB273" i="3"/>
  <c r="AD270" i="3" l="1"/>
  <c r="AD139" i="1"/>
  <c r="V272" i="3"/>
  <c r="W273" i="3"/>
  <c r="AE139" i="1"/>
  <c r="AG270" i="3"/>
  <c r="AE270" i="3"/>
  <c r="AC271" i="3"/>
  <c r="AF271" i="3" s="1"/>
  <c r="AA273" i="3"/>
  <c r="AB274" i="3" s="1"/>
  <c r="AF139" i="1"/>
  <c r="V140" i="1"/>
  <c r="AA141" i="1"/>
  <c r="AB141" i="1"/>
  <c r="AD271" i="3" l="1"/>
  <c r="AA274" i="3"/>
  <c r="AG271" i="3"/>
  <c r="AE271" i="3"/>
  <c r="V273" i="3"/>
  <c r="W274" i="3"/>
  <c r="AC272" i="3"/>
  <c r="AF272" i="3" s="1"/>
  <c r="W141" i="1"/>
  <c r="AA142" i="1" s="1"/>
  <c r="AC140" i="1"/>
  <c r="AG140" i="1" s="1"/>
  <c r="AD272" i="3" l="1"/>
  <c r="AD140" i="1"/>
  <c r="AB275" i="3"/>
  <c r="AA275" i="3"/>
  <c r="AG272" i="3"/>
  <c r="AE272" i="3"/>
  <c r="W275" i="3"/>
  <c r="V274" i="3"/>
  <c r="AC273" i="3"/>
  <c r="AF273" i="3" s="1"/>
  <c r="AE140" i="1"/>
  <c r="AF140" i="1"/>
  <c r="V141" i="1"/>
  <c r="AB142" i="1"/>
  <c r="AA276" i="3"/>
  <c r="AD273" i="3" l="1"/>
  <c r="AB276" i="3"/>
  <c r="W276" i="3"/>
  <c r="V275" i="3"/>
  <c r="AC274" i="3"/>
  <c r="AF274" i="3" s="1"/>
  <c r="AE273" i="3"/>
  <c r="AG273" i="3"/>
  <c r="W142" i="1"/>
  <c r="AC141" i="1"/>
  <c r="AG141" i="1" s="1"/>
  <c r="AB277" i="3"/>
  <c r="AA277" i="3"/>
  <c r="AD274" i="3" l="1"/>
  <c r="AD141" i="1"/>
  <c r="AC275" i="3"/>
  <c r="AD275" i="3" s="1"/>
  <c r="AG274" i="3"/>
  <c r="AE274" i="3"/>
  <c r="AE141" i="1"/>
  <c r="W277" i="3"/>
  <c r="AA278" i="3" s="1"/>
  <c r="V276" i="3"/>
  <c r="AF141" i="1"/>
  <c r="V142" i="1"/>
  <c r="AA143" i="1"/>
  <c r="AB143" i="1"/>
  <c r="AC276" i="3" l="1"/>
  <c r="AD276" i="3" s="1"/>
  <c r="W278" i="3"/>
  <c r="V277" i="3"/>
  <c r="AG275" i="3"/>
  <c r="AE275" i="3"/>
  <c r="AF275" i="3"/>
  <c r="AB278" i="3"/>
  <c r="AB279" i="3" s="1"/>
  <c r="W143" i="1"/>
  <c r="AC142" i="1"/>
  <c r="AG142" i="1" s="1"/>
  <c r="AD142" i="1" l="1"/>
  <c r="AC277" i="3"/>
  <c r="AF277" i="3" s="1"/>
  <c r="W279" i="3"/>
  <c r="V278" i="3"/>
  <c r="AE276" i="3"/>
  <c r="AG276" i="3"/>
  <c r="AF276" i="3"/>
  <c r="AE142" i="1"/>
  <c r="AA279" i="3"/>
  <c r="AA280" i="3" s="1"/>
  <c r="AF142" i="1"/>
  <c r="V143" i="1"/>
  <c r="AA144" i="1"/>
  <c r="AB144" i="1"/>
  <c r="AD277" i="3" l="1"/>
  <c r="AC278" i="3"/>
  <c r="AF278" i="3" s="1"/>
  <c r="W280" i="3"/>
  <c r="V279" i="3"/>
  <c r="AG277" i="3"/>
  <c r="AE277" i="3"/>
  <c r="AB280" i="3"/>
  <c r="W144" i="1"/>
  <c r="AC143" i="1"/>
  <c r="AG143" i="1" s="1"/>
  <c r="AA281" i="3"/>
  <c r="AB281" i="3"/>
  <c r="AD278" i="3" l="1"/>
  <c r="AD143" i="1"/>
  <c r="AC279" i="3"/>
  <c r="AF279" i="3" s="1"/>
  <c r="V280" i="3"/>
  <c r="W281" i="3"/>
  <c r="AA282" i="3" s="1"/>
  <c r="AG278" i="3"/>
  <c r="AE278" i="3"/>
  <c r="AE143" i="1"/>
  <c r="AF143" i="1"/>
  <c r="V144" i="1"/>
  <c r="AA145" i="1"/>
  <c r="AB145" i="1"/>
  <c r="AD279" i="3" l="1"/>
  <c r="W282" i="3"/>
  <c r="AA283" i="3" s="1"/>
  <c r="V281" i="3"/>
  <c r="AC280" i="3"/>
  <c r="AD280" i="3" s="1"/>
  <c r="AG279" i="3"/>
  <c r="AE279" i="3"/>
  <c r="AB282" i="3"/>
  <c r="W145" i="1"/>
  <c r="AA146" i="1" s="1"/>
  <c r="AC144" i="1"/>
  <c r="AG144" i="1" s="1"/>
  <c r="AD144" i="1" l="1"/>
  <c r="AB283" i="3"/>
  <c r="AE280" i="3"/>
  <c r="AG280" i="3"/>
  <c r="W283" i="3"/>
  <c r="AA284" i="3" s="1"/>
  <c r="V282" i="3"/>
  <c r="AF280" i="3"/>
  <c r="AC281" i="3"/>
  <c r="AD281" i="3" s="1"/>
  <c r="AE144" i="1"/>
  <c r="AF144" i="1"/>
  <c r="V145" i="1"/>
  <c r="AB146" i="1"/>
  <c r="AG281" i="3" l="1"/>
  <c r="AE281" i="3"/>
  <c r="AF281" i="3"/>
  <c r="AC282" i="3"/>
  <c r="AD282" i="3" s="1"/>
  <c r="W284" i="3"/>
  <c r="V283" i="3"/>
  <c r="AA285" i="3"/>
  <c r="AB284" i="3"/>
  <c r="AB285" i="3" s="1"/>
  <c r="W146" i="1"/>
  <c r="AC145" i="1"/>
  <c r="AG145" i="1" s="1"/>
  <c r="AD145" i="1" l="1"/>
  <c r="AF282" i="3"/>
  <c r="AE145" i="1"/>
  <c r="W285" i="3"/>
  <c r="V284" i="3"/>
  <c r="AC283" i="3"/>
  <c r="AD283" i="3" s="1"/>
  <c r="AG282" i="3"/>
  <c r="AE282" i="3"/>
  <c r="AF145" i="1"/>
  <c r="V146" i="1"/>
  <c r="AA147" i="1"/>
  <c r="AB147" i="1"/>
  <c r="AA286" i="3"/>
  <c r="AB286" i="3"/>
  <c r="AG283" i="3" l="1"/>
  <c r="AE283" i="3"/>
  <c r="AF283" i="3"/>
  <c r="AC284" i="3"/>
  <c r="AD284" i="3" s="1"/>
  <c r="W286" i="3"/>
  <c r="AA287" i="3" s="1"/>
  <c r="V285" i="3"/>
  <c r="W147" i="1"/>
  <c r="AC146" i="1"/>
  <c r="AG146" i="1" s="1"/>
  <c r="AB287" i="3"/>
  <c r="AD146" i="1" l="1"/>
  <c r="AE146" i="1"/>
  <c r="AC285" i="3"/>
  <c r="AD285" i="3" s="1"/>
  <c r="V286" i="3"/>
  <c r="W287" i="3"/>
  <c r="AG284" i="3"/>
  <c r="AE284" i="3"/>
  <c r="AF284" i="3"/>
  <c r="AF146" i="1"/>
  <c r="V147" i="1"/>
  <c r="AA148" i="1"/>
  <c r="AB148" i="1"/>
  <c r="V287" i="3" l="1"/>
  <c r="W288" i="3"/>
  <c r="AC286" i="3"/>
  <c r="AD286" i="3" s="1"/>
  <c r="AG285" i="3"/>
  <c r="AE285" i="3"/>
  <c r="AF285" i="3"/>
  <c r="AB288" i="3"/>
  <c r="AA288" i="3"/>
  <c r="AA289" i="3" s="1"/>
  <c r="W148" i="1"/>
  <c r="AB149" i="1" s="1"/>
  <c r="AC147" i="1"/>
  <c r="AG147" i="1" s="1"/>
  <c r="AD147" i="1" l="1"/>
  <c r="AA149" i="1"/>
  <c r="AB289" i="3"/>
  <c r="AG286" i="3"/>
  <c r="AE286" i="3"/>
  <c r="AF286" i="3"/>
  <c r="W289" i="3"/>
  <c r="AA290" i="3" s="1"/>
  <c r="V288" i="3"/>
  <c r="AC287" i="3"/>
  <c r="AG287" i="3" s="1"/>
  <c r="AE147" i="1"/>
  <c r="AF147" i="1"/>
  <c r="V148" i="1"/>
  <c r="AD287" i="3" l="1"/>
  <c r="AE287" i="3"/>
  <c r="AF287" i="3"/>
  <c r="AC288" i="3"/>
  <c r="AD288" i="3" s="1"/>
  <c r="W290" i="3"/>
  <c r="AA291" i="3" s="1"/>
  <c r="V289" i="3"/>
  <c r="AB290" i="3"/>
  <c r="W149" i="1"/>
  <c r="AC148" i="1"/>
  <c r="AG148" i="1" s="1"/>
  <c r="AD148" i="1" l="1"/>
  <c r="AB291" i="3"/>
  <c r="AC289" i="3"/>
  <c r="AD289" i="3" s="1"/>
  <c r="V290" i="3"/>
  <c r="W291" i="3"/>
  <c r="AG288" i="3"/>
  <c r="AE288" i="3"/>
  <c r="AF288" i="3"/>
  <c r="AE148" i="1"/>
  <c r="AF148" i="1"/>
  <c r="V149" i="1"/>
  <c r="AA150" i="1"/>
  <c r="AB150" i="1"/>
  <c r="AG289" i="3" l="1"/>
  <c r="AE289" i="3"/>
  <c r="W292" i="3"/>
  <c r="V291" i="3"/>
  <c r="AC290" i="3"/>
  <c r="AD290" i="3" s="1"/>
  <c r="AB292" i="3"/>
  <c r="AA292" i="3"/>
  <c r="AF289" i="3"/>
  <c r="W150" i="1"/>
  <c r="AC149" i="1"/>
  <c r="AG149" i="1" s="1"/>
  <c r="AD149" i="1" l="1"/>
  <c r="AB293" i="3"/>
  <c r="AA293" i="3"/>
  <c r="AE149" i="1"/>
  <c r="AE290" i="3"/>
  <c r="AG290" i="3"/>
  <c r="AF290" i="3"/>
  <c r="AC291" i="3"/>
  <c r="AD291" i="3" s="1"/>
  <c r="V292" i="3"/>
  <c r="W293" i="3"/>
  <c r="AA294" i="3" s="1"/>
  <c r="AF149" i="1"/>
  <c r="V150" i="1"/>
  <c r="AA151" i="1"/>
  <c r="AB151" i="1"/>
  <c r="AC292" i="3" l="1"/>
  <c r="AF292" i="3" s="1"/>
  <c r="AE291" i="3"/>
  <c r="AG291" i="3"/>
  <c r="W294" i="3"/>
  <c r="V293" i="3"/>
  <c r="AF291" i="3"/>
  <c r="AB294" i="3"/>
  <c r="AB295" i="3" s="1"/>
  <c r="W151" i="1"/>
  <c r="AC150" i="1"/>
  <c r="AG150" i="1" s="1"/>
  <c r="AA295" i="3"/>
  <c r="AD292" i="3" l="1"/>
  <c r="AD150" i="1"/>
  <c r="AC293" i="3"/>
  <c r="AD293" i="3" s="1"/>
  <c r="W295" i="3"/>
  <c r="AA296" i="3" s="1"/>
  <c r="V294" i="3"/>
  <c r="AG292" i="3"/>
  <c r="AE292" i="3"/>
  <c r="AE150" i="1"/>
  <c r="AF150" i="1"/>
  <c r="V151" i="1"/>
  <c r="AA152" i="1"/>
  <c r="AB152" i="1"/>
  <c r="V295" i="3" l="1"/>
  <c r="W296" i="3"/>
  <c r="AA297" i="3" s="1"/>
  <c r="AC294" i="3"/>
  <c r="AD294" i="3" s="1"/>
  <c r="AE293" i="3"/>
  <c r="AG293" i="3"/>
  <c r="AF293" i="3"/>
  <c r="AB296" i="3"/>
  <c r="W152" i="1"/>
  <c r="AC151" i="1"/>
  <c r="AG151" i="1" s="1"/>
  <c r="AD151" i="1" l="1"/>
  <c r="AB297" i="3"/>
  <c r="AG294" i="3"/>
  <c r="AE294" i="3"/>
  <c r="AF294" i="3"/>
  <c r="W297" i="3"/>
  <c r="V296" i="3"/>
  <c r="AC295" i="3"/>
  <c r="AD295" i="3" s="1"/>
  <c r="AE151" i="1"/>
  <c r="AF151" i="1"/>
  <c r="V152" i="1"/>
  <c r="AA153" i="1"/>
  <c r="AB153" i="1"/>
  <c r="AG295" i="3" l="1"/>
  <c r="AE295" i="3"/>
  <c r="AF295" i="3"/>
  <c r="AC296" i="3"/>
  <c r="AD296" i="3" s="1"/>
  <c r="V297" i="3"/>
  <c r="W298" i="3"/>
  <c r="AB298" i="3"/>
  <c r="AA298" i="3"/>
  <c r="W153" i="1"/>
  <c r="AC152" i="1"/>
  <c r="AG152" i="1" s="1"/>
  <c r="AA299" i="3" l="1"/>
  <c r="AD152" i="1"/>
  <c r="AB299" i="3"/>
  <c r="AF296" i="3"/>
  <c r="V298" i="3"/>
  <c r="W299" i="3"/>
  <c r="AC297" i="3"/>
  <c r="AF297" i="3" s="1"/>
  <c r="AE296" i="3"/>
  <c r="AG296" i="3"/>
  <c r="AE152" i="1"/>
  <c r="AF152" i="1"/>
  <c r="V153" i="1"/>
  <c r="AA154" i="1"/>
  <c r="AB154" i="1"/>
  <c r="AA300" i="3"/>
  <c r="AB300" i="3"/>
  <c r="AD297" i="3" l="1"/>
  <c r="AG297" i="3"/>
  <c r="AE297" i="3"/>
  <c r="AC298" i="3"/>
  <c r="AF298" i="3" s="1"/>
  <c r="V299" i="3"/>
  <c r="W300" i="3"/>
  <c r="W154" i="1"/>
  <c r="AA155" i="1" s="1"/>
  <c r="AC153" i="1"/>
  <c r="AG153" i="1" s="1"/>
  <c r="AB301" i="3"/>
  <c r="AA301" i="3"/>
  <c r="AD298" i="3" l="1"/>
  <c r="AD153" i="1"/>
  <c r="AB155" i="1"/>
  <c r="AC299" i="3"/>
  <c r="AD299" i="3" s="1"/>
  <c r="AG298" i="3"/>
  <c r="AE298" i="3"/>
  <c r="W301" i="3"/>
  <c r="V300" i="3"/>
  <c r="AE153" i="1"/>
  <c r="AF153" i="1"/>
  <c r="V154" i="1"/>
  <c r="AA302" i="3"/>
  <c r="AB302" i="3"/>
  <c r="AC300" i="3" l="1"/>
  <c r="AD300" i="3" s="1"/>
  <c r="V301" i="3"/>
  <c r="W302" i="3"/>
  <c r="AG299" i="3"/>
  <c r="AE299" i="3"/>
  <c r="AA303" i="3"/>
  <c r="AF299" i="3"/>
  <c r="W155" i="1"/>
  <c r="AC154" i="1"/>
  <c r="AG154" i="1" s="1"/>
  <c r="AB303" i="3"/>
  <c r="AD154" i="1" l="1"/>
  <c r="V302" i="3"/>
  <c r="W303" i="3"/>
  <c r="AB304" i="3" s="1"/>
  <c r="AC301" i="3"/>
  <c r="AD301" i="3" s="1"/>
  <c r="AE154" i="1"/>
  <c r="AG300" i="3"/>
  <c r="AE300" i="3"/>
  <c r="AF300" i="3"/>
  <c r="AF154" i="1"/>
  <c r="V155" i="1"/>
  <c r="AA156" i="1"/>
  <c r="AB156" i="1"/>
  <c r="AG301" i="3" l="1"/>
  <c r="AE301" i="3"/>
  <c r="AF301" i="3"/>
  <c r="AC302" i="3"/>
  <c r="AF302" i="3" s="1"/>
  <c r="V303" i="3"/>
  <c r="W304" i="3"/>
  <c r="AA304" i="3"/>
  <c r="AA305" i="3" s="1"/>
  <c r="W156" i="1"/>
  <c r="AC155" i="1"/>
  <c r="AG155" i="1" s="1"/>
  <c r="AD302" i="3" l="1"/>
  <c r="AD155" i="1"/>
  <c r="AB305" i="3"/>
  <c r="AG302" i="3"/>
  <c r="AE302" i="3"/>
  <c r="W305" i="3"/>
  <c r="V304" i="3"/>
  <c r="AC303" i="3"/>
  <c r="AD303" i="3" s="1"/>
  <c r="AE155" i="1"/>
  <c r="AF155" i="1"/>
  <c r="V156" i="1"/>
  <c r="AA157" i="1"/>
  <c r="AB157" i="1"/>
  <c r="AA306" i="3"/>
  <c r="AF303" i="3" l="1"/>
  <c r="W306" i="3"/>
  <c r="V305" i="3"/>
  <c r="AE303" i="3"/>
  <c r="AG303" i="3"/>
  <c r="AC304" i="3"/>
  <c r="AD304" i="3" s="1"/>
  <c r="AB306" i="3"/>
  <c r="W157" i="1"/>
  <c r="AC156" i="1"/>
  <c r="AG156" i="1" s="1"/>
  <c r="AD156" i="1" l="1"/>
  <c r="AB307" i="3"/>
  <c r="AG304" i="3"/>
  <c r="AE304" i="3"/>
  <c r="AF304" i="3"/>
  <c r="AC305" i="3"/>
  <c r="AD305" i="3" s="1"/>
  <c r="AE156" i="1"/>
  <c r="V306" i="3"/>
  <c r="W307" i="3"/>
  <c r="AA307" i="3"/>
  <c r="AF156" i="1"/>
  <c r="V157" i="1"/>
  <c r="AA158" i="1"/>
  <c r="AB158" i="1"/>
  <c r="AA308" i="3" l="1"/>
  <c r="AC306" i="3"/>
  <c r="AG306" i="3" s="1"/>
  <c r="W308" i="3"/>
  <c r="V307" i="3"/>
  <c r="AG305" i="3"/>
  <c r="AE305" i="3"/>
  <c r="AF305" i="3"/>
  <c r="AB308" i="3"/>
  <c r="W158" i="1"/>
  <c r="AC157" i="1"/>
  <c r="AG157" i="1" s="1"/>
  <c r="AD306" i="3" l="1"/>
  <c r="AD157" i="1"/>
  <c r="AB309" i="3"/>
  <c r="AE306" i="3"/>
  <c r="AC307" i="3"/>
  <c r="AD307" i="3" s="1"/>
  <c r="W309" i="3"/>
  <c r="V308" i="3"/>
  <c r="AF306" i="3"/>
  <c r="AE157" i="1"/>
  <c r="AA309" i="3"/>
  <c r="AA310" i="3" s="1"/>
  <c r="AF157" i="1"/>
  <c r="V158" i="1"/>
  <c r="AA159" i="1"/>
  <c r="AB159" i="1"/>
  <c r="AB310" i="3" l="1"/>
  <c r="V309" i="3"/>
  <c r="W310" i="3"/>
  <c r="AC308" i="3"/>
  <c r="AD308" i="3" s="1"/>
  <c r="AG307" i="3"/>
  <c r="AE307" i="3"/>
  <c r="AF307" i="3"/>
  <c r="W159" i="1"/>
  <c r="AC158" i="1"/>
  <c r="AG158" i="1" s="1"/>
  <c r="AB311" i="3"/>
  <c r="AD158" i="1" l="1"/>
  <c r="AC309" i="3"/>
  <c r="AD309" i="3" s="1"/>
  <c r="AG308" i="3"/>
  <c r="AE308" i="3"/>
  <c r="AF308" i="3"/>
  <c r="V310" i="3"/>
  <c r="W311" i="3"/>
  <c r="AE158" i="1"/>
  <c r="AA311" i="3"/>
  <c r="AA312" i="3" s="1"/>
  <c r="AF158" i="1"/>
  <c r="V159" i="1"/>
  <c r="AA160" i="1"/>
  <c r="AB160" i="1"/>
  <c r="AF309" i="3" l="1"/>
  <c r="AC310" i="3"/>
  <c r="AD310" i="3" s="1"/>
  <c r="V311" i="3"/>
  <c r="W312" i="3"/>
  <c r="AB312" i="3"/>
  <c r="AG309" i="3"/>
  <c r="AE309" i="3"/>
  <c r="W160" i="1"/>
  <c r="AC159" i="1"/>
  <c r="AG159" i="1" s="1"/>
  <c r="AB313" i="3"/>
  <c r="AD159" i="1" l="1"/>
  <c r="V312" i="3"/>
  <c r="W313" i="3"/>
  <c r="AC311" i="3"/>
  <c r="AD311" i="3" s="1"/>
  <c r="AE159" i="1"/>
  <c r="AG310" i="3"/>
  <c r="AE310" i="3"/>
  <c r="AF310" i="3"/>
  <c r="AA313" i="3"/>
  <c r="AF159" i="1"/>
  <c r="V160" i="1"/>
  <c r="AA161" i="1"/>
  <c r="AB161" i="1"/>
  <c r="AA314" i="3" l="1"/>
  <c r="AG311" i="3"/>
  <c r="AE311" i="3"/>
  <c r="AC312" i="3"/>
  <c r="AD312" i="3" s="1"/>
  <c r="AF311" i="3"/>
  <c r="W314" i="3"/>
  <c r="V313" i="3"/>
  <c r="AB314" i="3"/>
  <c r="W161" i="1"/>
  <c r="AA162" i="1" s="1"/>
  <c r="AC160" i="1"/>
  <c r="AG160" i="1" s="1"/>
  <c r="AA315" i="3"/>
  <c r="AD160" i="1" l="1"/>
  <c r="AB315" i="3"/>
  <c r="V314" i="3"/>
  <c r="W315" i="3"/>
  <c r="AC313" i="3"/>
  <c r="AD313" i="3" s="1"/>
  <c r="AG312" i="3"/>
  <c r="AE312" i="3"/>
  <c r="AF312" i="3"/>
  <c r="AE160" i="1"/>
  <c r="AF160" i="1"/>
  <c r="V161" i="1"/>
  <c r="AB162" i="1"/>
  <c r="AA316" i="3"/>
  <c r="AB316" i="3"/>
  <c r="AG313" i="3" l="1"/>
  <c r="AE313" i="3"/>
  <c r="AF313" i="3"/>
  <c r="W316" i="3"/>
  <c r="V315" i="3"/>
  <c r="AC314" i="3"/>
  <c r="AD314" i="3" s="1"/>
  <c r="W162" i="1"/>
  <c r="AC161" i="1"/>
  <c r="AG161" i="1" s="1"/>
  <c r="AA317" i="3"/>
  <c r="AB317" i="3"/>
  <c r="AD161" i="1" l="1"/>
  <c r="AG314" i="3"/>
  <c r="AE314" i="3"/>
  <c r="W317" i="3"/>
  <c r="V316" i="3"/>
  <c r="AC315" i="3"/>
  <c r="AD315" i="3" s="1"/>
  <c r="AF314" i="3"/>
  <c r="AE161" i="1"/>
  <c r="AF161" i="1"/>
  <c r="V162" i="1"/>
  <c r="AA163" i="1"/>
  <c r="AB163" i="1"/>
  <c r="AG315" i="3" l="1"/>
  <c r="AE315" i="3"/>
  <c r="W318" i="3"/>
  <c r="V317" i="3"/>
  <c r="AF315" i="3"/>
  <c r="AC316" i="3"/>
  <c r="AD316" i="3" s="1"/>
  <c r="AB318" i="3"/>
  <c r="AA318" i="3"/>
  <c r="AA319" i="3" s="1"/>
  <c r="W163" i="1"/>
  <c r="AB164" i="1" s="1"/>
  <c r="AC162" i="1"/>
  <c r="AG162" i="1" s="1"/>
  <c r="AD162" i="1" l="1"/>
  <c r="AA164" i="1"/>
  <c r="AB319" i="3"/>
  <c r="AG316" i="3"/>
  <c r="AE316" i="3"/>
  <c r="AF316" i="3"/>
  <c r="AC317" i="3"/>
  <c r="AG317" i="3" s="1"/>
  <c r="V318" i="3"/>
  <c r="W319" i="3"/>
  <c r="AE162" i="1"/>
  <c r="AF162" i="1"/>
  <c r="V163" i="1"/>
  <c r="AA320" i="3"/>
  <c r="AD317" i="3" l="1"/>
  <c r="AE317" i="3"/>
  <c r="AB320" i="3"/>
  <c r="AF317" i="3"/>
  <c r="W320" i="3"/>
  <c r="V319" i="3"/>
  <c r="AC318" i="3"/>
  <c r="AD318" i="3" s="1"/>
  <c r="W164" i="1"/>
  <c r="AC163" i="1"/>
  <c r="AG163" i="1" s="1"/>
  <c r="AD163" i="1" l="1"/>
  <c r="AB321" i="3"/>
  <c r="AF318" i="3"/>
  <c r="V320" i="3"/>
  <c r="W321" i="3"/>
  <c r="AG318" i="3"/>
  <c r="AE318" i="3"/>
  <c r="AC319" i="3"/>
  <c r="AD319" i="3" s="1"/>
  <c r="AA321" i="3"/>
  <c r="AB322" i="3" s="1"/>
  <c r="AE163" i="1"/>
  <c r="AF163" i="1"/>
  <c r="V164" i="1"/>
  <c r="AB165" i="1"/>
  <c r="AA165" i="1"/>
  <c r="AA322" i="3"/>
  <c r="AF319" i="3" l="1"/>
  <c r="AG319" i="3"/>
  <c r="AE319" i="3"/>
  <c r="V321" i="3"/>
  <c r="W322" i="3"/>
  <c r="AC320" i="3"/>
  <c r="AD320" i="3" s="1"/>
  <c r="W165" i="1"/>
  <c r="AC164" i="1"/>
  <c r="AG164" i="1" s="1"/>
  <c r="AB323" i="3"/>
  <c r="AD164" i="1" l="1"/>
  <c r="AF320" i="3"/>
  <c r="W323" i="3"/>
  <c r="V322" i="3"/>
  <c r="AC321" i="3"/>
  <c r="AD321" i="3" s="1"/>
  <c r="AG320" i="3"/>
  <c r="AE320" i="3"/>
  <c r="AE164" i="1"/>
  <c r="AA323" i="3"/>
  <c r="AF164" i="1"/>
  <c r="V165" i="1"/>
  <c r="AB166" i="1"/>
  <c r="AA166" i="1"/>
  <c r="AA324" i="3" l="1"/>
  <c r="AB324" i="3"/>
  <c r="AG321" i="3"/>
  <c r="AE321" i="3"/>
  <c r="AF321" i="3"/>
  <c r="AC322" i="3"/>
  <c r="AF322" i="3" s="1"/>
  <c r="V323" i="3"/>
  <c r="W324" i="3"/>
  <c r="AA325" i="3" s="1"/>
  <c r="W166" i="1"/>
  <c r="AC165" i="1"/>
  <c r="AG165" i="1" s="1"/>
  <c r="AD322" i="3" l="1"/>
  <c r="AD165" i="1"/>
  <c r="V324" i="3"/>
  <c r="W325" i="3"/>
  <c r="AC323" i="3"/>
  <c r="AD323" i="3" s="1"/>
  <c r="AF323" i="3"/>
  <c r="AE165" i="1"/>
  <c r="AA326" i="3"/>
  <c r="AG322" i="3"/>
  <c r="AE322" i="3"/>
  <c r="AB325" i="3"/>
  <c r="AB326" i="3" s="1"/>
  <c r="AF165" i="1"/>
  <c r="V166" i="1"/>
  <c r="AA167" i="1"/>
  <c r="AB167" i="1"/>
  <c r="AC324" i="3" l="1"/>
  <c r="AG324" i="3" s="1"/>
  <c r="AG323" i="3"/>
  <c r="AE323" i="3"/>
  <c r="W326" i="3"/>
  <c r="AA327" i="3" s="1"/>
  <c r="V325" i="3"/>
  <c r="W167" i="1"/>
  <c r="AC166" i="1"/>
  <c r="AG166" i="1" s="1"/>
  <c r="AE324" i="3" l="1"/>
  <c r="AD324" i="3"/>
  <c r="AD166" i="1"/>
  <c r="V326" i="3"/>
  <c r="W327" i="3"/>
  <c r="AA328" i="3" s="1"/>
  <c r="AC325" i="3"/>
  <c r="AD325" i="3" s="1"/>
  <c r="AF324" i="3"/>
  <c r="AE166" i="1"/>
  <c r="AB327" i="3"/>
  <c r="AB328" i="3" s="1"/>
  <c r="AF166" i="1"/>
  <c r="V167" i="1"/>
  <c r="AA168" i="1"/>
  <c r="AB168" i="1"/>
  <c r="AF325" i="3" l="1"/>
  <c r="AC326" i="3"/>
  <c r="AD326" i="3" s="1"/>
  <c r="AE325" i="3"/>
  <c r="AG325" i="3"/>
  <c r="W328" i="3"/>
  <c r="V327" i="3"/>
  <c r="W168" i="1"/>
  <c r="AC167" i="1"/>
  <c r="AG167" i="1" s="1"/>
  <c r="AB329" i="3"/>
  <c r="AA329" i="3"/>
  <c r="AD167" i="1" l="1"/>
  <c r="V328" i="3"/>
  <c r="W329" i="3"/>
  <c r="AG326" i="3"/>
  <c r="AE326" i="3"/>
  <c r="AA330" i="3"/>
  <c r="AC327" i="3"/>
  <c r="AD327" i="3" s="1"/>
  <c r="AE167" i="1"/>
  <c r="AF326" i="3"/>
  <c r="AF167" i="1"/>
  <c r="V168" i="1"/>
  <c r="AA169" i="1"/>
  <c r="AB169" i="1"/>
  <c r="AG327" i="3" l="1"/>
  <c r="AE327" i="3"/>
  <c r="AC328" i="3"/>
  <c r="AG328" i="3" s="1"/>
  <c r="AF327" i="3"/>
  <c r="W330" i="3"/>
  <c r="V329" i="3"/>
  <c r="AB330" i="3"/>
  <c r="AE328" i="3"/>
  <c r="W169" i="1"/>
  <c r="AC168" i="1"/>
  <c r="AG168" i="1" s="1"/>
  <c r="AD328" i="3" l="1"/>
  <c r="AD168" i="1"/>
  <c r="AB331" i="3"/>
  <c r="AC329" i="3"/>
  <c r="AD329" i="3" s="1"/>
  <c r="V330" i="3"/>
  <c r="W331" i="3"/>
  <c r="AE168" i="1"/>
  <c r="AF328" i="3"/>
  <c r="AA331" i="3"/>
  <c r="AF168" i="1"/>
  <c r="V169" i="1"/>
  <c r="AA170" i="1"/>
  <c r="AB170" i="1"/>
  <c r="AB332" i="3" l="1"/>
  <c r="AA332" i="3"/>
  <c r="AC330" i="3"/>
  <c r="AD330" i="3" s="1"/>
  <c r="W332" i="3"/>
  <c r="V331" i="3"/>
  <c r="AG329" i="3"/>
  <c r="AE329" i="3"/>
  <c r="AF329" i="3"/>
  <c r="W170" i="1"/>
  <c r="AC169" i="1"/>
  <c r="AG169" i="1" s="1"/>
  <c r="AA333" i="3"/>
  <c r="AD169" i="1" l="1"/>
  <c r="AB333" i="3"/>
  <c r="V332" i="3"/>
  <c r="W333" i="3"/>
  <c r="AE169" i="1"/>
  <c r="AA334" i="3"/>
  <c r="AC331" i="3"/>
  <c r="AF331" i="3" s="1"/>
  <c r="AG330" i="3"/>
  <c r="AE330" i="3"/>
  <c r="AF330" i="3"/>
  <c r="AF169" i="1"/>
  <c r="V170" i="1"/>
  <c r="AA171" i="1"/>
  <c r="AB171" i="1"/>
  <c r="AD331" i="3" l="1"/>
  <c r="AC332" i="3"/>
  <c r="AD332" i="3" s="1"/>
  <c r="AG331" i="3"/>
  <c r="AE331" i="3"/>
  <c r="V333" i="3"/>
  <c r="W334" i="3"/>
  <c r="AB334" i="3"/>
  <c r="W171" i="1"/>
  <c r="AC170" i="1"/>
  <c r="AG170" i="1" s="1"/>
  <c r="AA335" i="3"/>
  <c r="AD170" i="1" l="1"/>
  <c r="AB335" i="3"/>
  <c r="V334" i="3"/>
  <c r="W335" i="3"/>
  <c r="AC333" i="3"/>
  <c r="AD333" i="3" s="1"/>
  <c r="AG332" i="3"/>
  <c r="AE332" i="3"/>
  <c r="AF332" i="3"/>
  <c r="AE170" i="1"/>
  <c r="AF170" i="1"/>
  <c r="V171" i="1"/>
  <c r="AB172" i="1"/>
  <c r="AA172" i="1"/>
  <c r="AA336" i="3"/>
  <c r="AG333" i="3" l="1"/>
  <c r="AE333" i="3"/>
  <c r="AC334" i="3"/>
  <c r="AF334" i="3" s="1"/>
  <c r="AF333" i="3"/>
  <c r="V335" i="3"/>
  <c r="W336" i="3"/>
  <c r="AB336" i="3"/>
  <c r="W172" i="1"/>
  <c r="AC171" i="1"/>
  <c r="AG171" i="1" s="1"/>
  <c r="AA337" i="3"/>
  <c r="AD334" i="3" l="1"/>
  <c r="AD171" i="1"/>
  <c r="AB337" i="3"/>
  <c r="AC335" i="3"/>
  <c r="AD335" i="3" s="1"/>
  <c r="V336" i="3"/>
  <c r="W337" i="3"/>
  <c r="AE171" i="1"/>
  <c r="AG334" i="3"/>
  <c r="AE334" i="3"/>
  <c r="AF171" i="1"/>
  <c r="V172" i="1"/>
  <c r="AB173" i="1"/>
  <c r="AA173" i="1"/>
  <c r="W338" i="3" l="1"/>
  <c r="V337" i="3"/>
  <c r="AC336" i="3"/>
  <c r="AF336" i="3" s="1"/>
  <c r="AG335" i="3"/>
  <c r="AE335" i="3"/>
  <c r="AF335" i="3"/>
  <c r="AB338" i="3"/>
  <c r="AA338" i="3"/>
  <c r="W173" i="1"/>
  <c r="AC172" i="1"/>
  <c r="AG172" i="1" s="1"/>
  <c r="AD336" i="3" l="1"/>
  <c r="AD172" i="1"/>
  <c r="AA339" i="3"/>
  <c r="AB339" i="3"/>
  <c r="AE172" i="1"/>
  <c r="AG336" i="3"/>
  <c r="AE336" i="3"/>
  <c r="AC337" i="3"/>
  <c r="AF337" i="3" s="1"/>
  <c r="W339" i="3"/>
  <c r="V338" i="3"/>
  <c r="AF172" i="1"/>
  <c r="V173" i="1"/>
  <c r="AB174" i="1"/>
  <c r="AA174" i="1"/>
  <c r="AD337" i="3" l="1"/>
  <c r="AB340" i="3"/>
  <c r="AC338" i="3"/>
  <c r="AG338" i="3" s="1"/>
  <c r="V339" i="3"/>
  <c r="W340" i="3"/>
  <c r="AG337" i="3"/>
  <c r="AE337" i="3"/>
  <c r="AE338" i="3"/>
  <c r="AA340" i="3"/>
  <c r="W174" i="1"/>
  <c r="AC173" i="1"/>
  <c r="AG173" i="1" s="1"/>
  <c r="AD338" i="3" l="1"/>
  <c r="AD173" i="1"/>
  <c r="AB341" i="3"/>
  <c r="AA341" i="3"/>
  <c r="AC339" i="3"/>
  <c r="AD339" i="3" s="1"/>
  <c r="W341" i="3"/>
  <c r="V340" i="3"/>
  <c r="AF338" i="3"/>
  <c r="AE173" i="1"/>
  <c r="AF173" i="1"/>
  <c r="V174" i="1"/>
  <c r="AB175" i="1"/>
  <c r="AA175" i="1"/>
  <c r="AB342" i="3" l="1"/>
  <c r="AA342" i="3"/>
  <c r="W342" i="3"/>
  <c r="V341" i="3"/>
  <c r="AC340" i="3"/>
  <c r="AD340" i="3" s="1"/>
  <c r="AG339" i="3"/>
  <c r="AE339" i="3"/>
  <c r="AF339" i="3"/>
  <c r="W175" i="1"/>
  <c r="AC174" i="1"/>
  <c r="AG174" i="1" s="1"/>
  <c r="AA343" i="3"/>
  <c r="AB343" i="3" l="1"/>
  <c r="AD174" i="1"/>
  <c r="V342" i="3"/>
  <c r="W343" i="3"/>
  <c r="AG340" i="3"/>
  <c r="AE340" i="3"/>
  <c r="AF340" i="3"/>
  <c r="AC341" i="3"/>
  <c r="AF341" i="3" s="1"/>
  <c r="AE174" i="1"/>
  <c r="AF174" i="1"/>
  <c r="V175" i="1"/>
  <c r="AA176" i="1"/>
  <c r="AB176" i="1"/>
  <c r="AD341" i="3" l="1"/>
  <c r="AG341" i="3"/>
  <c r="AE341" i="3"/>
  <c r="W344" i="3"/>
  <c r="V343" i="3"/>
  <c r="AB344" i="3"/>
  <c r="AC342" i="3"/>
  <c r="AD342" i="3" s="1"/>
  <c r="AA344" i="3"/>
  <c r="W176" i="1"/>
  <c r="AB177" i="1" s="1"/>
  <c r="AC175" i="1"/>
  <c r="AG175" i="1" s="1"/>
  <c r="AD175" i="1" l="1"/>
  <c r="AA345" i="3"/>
  <c r="AB345" i="3"/>
  <c r="AC343" i="3"/>
  <c r="AD343" i="3" s="1"/>
  <c r="AG342" i="3"/>
  <c r="AE342" i="3"/>
  <c r="AF342" i="3"/>
  <c r="V344" i="3"/>
  <c r="W345" i="3"/>
  <c r="AE175" i="1"/>
  <c r="AF175" i="1"/>
  <c r="V176" i="1"/>
  <c r="AA177" i="1"/>
  <c r="AB346" i="3" l="1"/>
  <c r="AA346" i="3"/>
  <c r="AC344" i="3"/>
  <c r="AD344" i="3" s="1"/>
  <c r="W346" i="3"/>
  <c r="V345" i="3"/>
  <c r="AG343" i="3"/>
  <c r="AE343" i="3"/>
  <c r="AF343" i="3"/>
  <c r="W177" i="1"/>
  <c r="AB178" i="1" s="1"/>
  <c r="AC176" i="1"/>
  <c r="AG176" i="1" s="1"/>
  <c r="AB347" i="3" l="1"/>
  <c r="AD176" i="1"/>
  <c r="AA347" i="3"/>
  <c r="AC345" i="3"/>
  <c r="AD345" i="3" s="1"/>
  <c r="AE176" i="1"/>
  <c r="W347" i="3"/>
  <c r="V346" i="3"/>
  <c r="AG344" i="3"/>
  <c r="AE344" i="3"/>
  <c r="AF344" i="3"/>
  <c r="AF176" i="1"/>
  <c r="V177" i="1"/>
  <c r="AA178" i="1"/>
  <c r="AA348" i="3"/>
  <c r="AC346" i="3" l="1"/>
  <c r="AD346" i="3" s="1"/>
  <c r="W348" i="3"/>
  <c r="AA349" i="3" s="1"/>
  <c r="V347" i="3"/>
  <c r="AG345" i="3"/>
  <c r="AE345" i="3"/>
  <c r="AF345" i="3"/>
  <c r="AB348" i="3"/>
  <c r="W178" i="1"/>
  <c r="AB179" i="1" s="1"/>
  <c r="AC177" i="1"/>
  <c r="AG177" i="1" s="1"/>
  <c r="AD177" i="1" l="1"/>
  <c r="AB349" i="3"/>
  <c r="W349" i="3"/>
  <c r="V348" i="3"/>
  <c r="AC347" i="3"/>
  <c r="AF347" i="3" s="1"/>
  <c r="AE177" i="1"/>
  <c r="AG346" i="3"/>
  <c r="AE346" i="3"/>
  <c r="AF346" i="3"/>
  <c r="AF177" i="1"/>
  <c r="V178" i="1"/>
  <c r="AA179" i="1"/>
  <c r="AD347" i="3" l="1"/>
  <c r="V349" i="3"/>
  <c r="W350" i="3"/>
  <c r="AG347" i="3"/>
  <c r="AE347" i="3"/>
  <c r="AC348" i="3"/>
  <c r="AF348" i="3" s="1"/>
  <c r="AB350" i="3"/>
  <c r="AA350" i="3"/>
  <c r="W179" i="1"/>
  <c r="AB180" i="1" s="1"/>
  <c r="AC178" i="1"/>
  <c r="AG178" i="1" s="1"/>
  <c r="AD348" i="3" l="1"/>
  <c r="AD178" i="1"/>
  <c r="AA351" i="3"/>
  <c r="AC349" i="3"/>
  <c r="AD349" i="3" s="1"/>
  <c r="AB351" i="3"/>
  <c r="AG348" i="3"/>
  <c r="AE348" i="3"/>
  <c r="V350" i="3"/>
  <c r="W351" i="3"/>
  <c r="AE178" i="1"/>
  <c r="AF178" i="1"/>
  <c r="V179" i="1"/>
  <c r="AA180" i="1"/>
  <c r="AB352" i="3" l="1"/>
  <c r="V351" i="3"/>
  <c r="W352" i="3"/>
  <c r="AC350" i="3"/>
  <c r="AF350" i="3" s="1"/>
  <c r="AA352" i="3"/>
  <c r="AG349" i="3"/>
  <c r="AE349" i="3"/>
  <c r="AF349" i="3"/>
  <c r="W180" i="1"/>
  <c r="AB181" i="1" s="1"/>
  <c r="AC179" i="1"/>
  <c r="AG179" i="1" s="1"/>
  <c r="AB353" i="3" l="1"/>
  <c r="AD350" i="3"/>
  <c r="AD179" i="1"/>
  <c r="AA353" i="3"/>
  <c r="AE350" i="3"/>
  <c r="AG350" i="3"/>
  <c r="AE179" i="1"/>
  <c r="V352" i="3"/>
  <c r="W353" i="3"/>
  <c r="AC351" i="3"/>
  <c r="AD351" i="3" s="1"/>
  <c r="AF179" i="1"/>
  <c r="V180" i="1"/>
  <c r="AA181" i="1"/>
  <c r="AB354" i="3" l="1"/>
  <c r="AA354" i="3"/>
  <c r="AG351" i="3"/>
  <c r="AE351" i="3"/>
  <c r="AC352" i="3"/>
  <c r="AD352" i="3" s="1"/>
  <c r="AF351" i="3"/>
  <c r="V353" i="3"/>
  <c r="W354" i="3"/>
  <c r="AB355" i="3" s="1"/>
  <c r="W181" i="1"/>
  <c r="AA182" i="1" s="1"/>
  <c r="AC180" i="1"/>
  <c r="AG180" i="1" s="1"/>
  <c r="AD180" i="1" l="1"/>
  <c r="AB182" i="1"/>
  <c r="V354" i="3"/>
  <c r="W355" i="3"/>
  <c r="AC353" i="3"/>
  <c r="AD353" i="3" s="1"/>
  <c r="AE352" i="3"/>
  <c r="AG352" i="3"/>
  <c r="AF352" i="3"/>
  <c r="AA355" i="3"/>
  <c r="AA356" i="3" s="1"/>
  <c r="AE180" i="1"/>
  <c r="AF180" i="1"/>
  <c r="V181" i="1"/>
  <c r="AB356" i="3"/>
  <c r="AE353" i="3" l="1"/>
  <c r="AG353" i="3"/>
  <c r="AF353" i="3"/>
  <c r="W356" i="3"/>
  <c r="V355" i="3"/>
  <c r="AC354" i="3"/>
  <c r="AD354" i="3" s="1"/>
  <c r="W182" i="1"/>
  <c r="AC181" i="1"/>
  <c r="AG181" i="1" s="1"/>
  <c r="AB357" i="3"/>
  <c r="AA357" i="3"/>
  <c r="AD181" i="1" l="1"/>
  <c r="AC355" i="3"/>
  <c r="AD355" i="3" s="1"/>
  <c r="AG354" i="3"/>
  <c r="AE354" i="3"/>
  <c r="AF354" i="3"/>
  <c r="W357" i="3"/>
  <c r="V356" i="3"/>
  <c r="AE181" i="1"/>
  <c r="AF181" i="1"/>
  <c r="V182" i="1"/>
  <c r="AB183" i="1"/>
  <c r="AA183" i="1"/>
  <c r="W358" i="3" l="1"/>
  <c r="V357" i="3"/>
  <c r="AA358" i="3"/>
  <c r="AA359" i="3" s="1"/>
  <c r="AC356" i="3"/>
  <c r="AG356" i="3" s="1"/>
  <c r="AG355" i="3"/>
  <c r="AE355" i="3"/>
  <c r="AB358" i="3"/>
  <c r="AB359" i="3" s="1"/>
  <c r="AF355" i="3"/>
  <c r="W183" i="1"/>
  <c r="AC182" i="1"/>
  <c r="AG182" i="1" s="1"/>
  <c r="AD356" i="3" l="1"/>
  <c r="AD182" i="1"/>
  <c r="AE356" i="3"/>
  <c r="V358" i="3"/>
  <c r="W359" i="3"/>
  <c r="AB360" i="3" s="1"/>
  <c r="AF356" i="3"/>
  <c r="AE182" i="1"/>
  <c r="AC357" i="3"/>
  <c r="AD357" i="3" s="1"/>
  <c r="AF182" i="1"/>
  <c r="V183" i="1"/>
  <c r="AA184" i="1"/>
  <c r="AB184" i="1"/>
  <c r="AG357" i="3" l="1"/>
  <c r="AE357" i="3"/>
  <c r="AF357" i="3"/>
  <c r="W360" i="3"/>
  <c r="V359" i="3"/>
  <c r="AC358" i="3"/>
  <c r="AD358" i="3" s="1"/>
  <c r="AA360" i="3"/>
  <c r="AA361" i="3" s="1"/>
  <c r="W184" i="1"/>
  <c r="AB185" i="1" s="1"/>
  <c r="AC183" i="1"/>
  <c r="AG183" i="1" s="1"/>
  <c r="AD183" i="1" l="1"/>
  <c r="AA185" i="1"/>
  <c r="AB361" i="3"/>
  <c r="AF358" i="3"/>
  <c r="V360" i="3"/>
  <c r="W361" i="3"/>
  <c r="AA362" i="3" s="1"/>
  <c r="AC359" i="3"/>
  <c r="AG359" i="3" s="1"/>
  <c r="AE183" i="1"/>
  <c r="AG358" i="3"/>
  <c r="AE358" i="3"/>
  <c r="AF183" i="1"/>
  <c r="V184" i="1"/>
  <c r="AD359" i="3" l="1"/>
  <c r="AB362" i="3"/>
  <c r="AE359" i="3"/>
  <c r="AF359" i="3"/>
  <c r="V361" i="3"/>
  <c r="W362" i="3"/>
  <c r="AB363" i="3" s="1"/>
  <c r="AC360" i="3"/>
  <c r="AD360" i="3" s="1"/>
  <c r="W185" i="1"/>
  <c r="AC184" i="1"/>
  <c r="AG184" i="1" s="1"/>
  <c r="AD184" i="1" l="1"/>
  <c r="AA363" i="3"/>
  <c r="AG360" i="3"/>
  <c r="AE360" i="3"/>
  <c r="AF360" i="3"/>
  <c r="V362" i="3"/>
  <c r="W363" i="3"/>
  <c r="AC361" i="3"/>
  <c r="AD361" i="3" s="1"/>
  <c r="AE184" i="1"/>
  <c r="AF184" i="1"/>
  <c r="V185" i="1"/>
  <c r="AA186" i="1"/>
  <c r="AB186" i="1"/>
  <c r="AF361" i="3" l="1"/>
  <c r="V363" i="3"/>
  <c r="W364" i="3"/>
  <c r="AC362" i="3"/>
  <c r="AG362" i="3" s="1"/>
  <c r="AE361" i="3"/>
  <c r="AG361" i="3"/>
  <c r="AB364" i="3"/>
  <c r="AE362" i="3"/>
  <c r="AA364" i="3"/>
  <c r="AA365" i="3" s="1"/>
  <c r="W186" i="1"/>
  <c r="AA187" i="1" s="1"/>
  <c r="AC185" i="1"/>
  <c r="AG185" i="1" s="1"/>
  <c r="AD362" i="3" l="1"/>
  <c r="AD185" i="1"/>
  <c r="AB365" i="3"/>
  <c r="W365" i="3"/>
  <c r="V364" i="3"/>
  <c r="AC363" i="3"/>
  <c r="AF363" i="3" s="1"/>
  <c r="AF362" i="3"/>
  <c r="AE185" i="1"/>
  <c r="AF185" i="1"/>
  <c r="V186" i="1"/>
  <c r="AB187" i="1"/>
  <c r="AA366" i="3"/>
  <c r="AB366" i="3"/>
  <c r="AD363" i="3" l="1"/>
  <c r="AC364" i="3"/>
  <c r="AD364" i="3" s="1"/>
  <c r="AG363" i="3"/>
  <c r="AE363" i="3"/>
  <c r="W366" i="3"/>
  <c r="AB367" i="3" s="1"/>
  <c r="V365" i="3"/>
  <c r="W187" i="1"/>
  <c r="AC186" i="1"/>
  <c r="AG186" i="1" s="1"/>
  <c r="AA367" i="3"/>
  <c r="AD186" i="1" l="1"/>
  <c r="V366" i="3"/>
  <c r="W367" i="3"/>
  <c r="AG364" i="3"/>
  <c r="AE364" i="3"/>
  <c r="AC365" i="3"/>
  <c r="AF365" i="3" s="1"/>
  <c r="AE186" i="1"/>
  <c r="AF364" i="3"/>
  <c r="AF186" i="1"/>
  <c r="V187" i="1"/>
  <c r="AA188" i="1"/>
  <c r="AB188" i="1"/>
  <c r="AD365" i="3" l="1"/>
  <c r="AE365" i="3"/>
  <c r="AG365" i="3"/>
  <c r="V367" i="3"/>
  <c r="W368" i="3"/>
  <c r="AC366" i="3"/>
  <c r="AD366" i="3" s="1"/>
  <c r="AB368" i="3"/>
  <c r="AA368" i="3"/>
  <c r="AA369" i="3" s="1"/>
  <c r="W188" i="1"/>
  <c r="AC187" i="1"/>
  <c r="AG187" i="1" s="1"/>
  <c r="AD187" i="1" l="1"/>
  <c r="AB369" i="3"/>
  <c r="AF366" i="3"/>
  <c r="AE366" i="3"/>
  <c r="AG366" i="3"/>
  <c r="W369" i="3"/>
  <c r="V368" i="3"/>
  <c r="AC367" i="3"/>
  <c r="AD367" i="3" s="1"/>
  <c r="AE187" i="1"/>
  <c r="AF187" i="1"/>
  <c r="V188" i="1"/>
  <c r="AA189" i="1"/>
  <c r="AB189" i="1"/>
  <c r="AA370" i="3"/>
  <c r="AB370" i="3"/>
  <c r="AG367" i="3" l="1"/>
  <c r="AE367" i="3"/>
  <c r="AC368" i="3"/>
  <c r="AD368" i="3" s="1"/>
  <c r="AF367" i="3"/>
  <c r="V369" i="3"/>
  <c r="W370" i="3"/>
  <c r="AB371" i="3" s="1"/>
  <c r="W189" i="1"/>
  <c r="AC188" i="1"/>
  <c r="AG188" i="1" s="1"/>
  <c r="AD188" i="1" l="1"/>
  <c r="AA371" i="3"/>
  <c r="AC369" i="3"/>
  <c r="AD369" i="3" s="1"/>
  <c r="AG368" i="3"/>
  <c r="AE368" i="3"/>
  <c r="AF368" i="3"/>
  <c r="AE188" i="1"/>
  <c r="W371" i="3"/>
  <c r="V370" i="3"/>
  <c r="AF188" i="1"/>
  <c r="V189" i="1"/>
  <c r="AA190" i="1"/>
  <c r="AB190" i="1"/>
  <c r="W372" i="3" l="1"/>
  <c r="V371" i="3"/>
  <c r="AE369" i="3"/>
  <c r="AG369" i="3"/>
  <c r="AC370" i="3"/>
  <c r="AG370" i="3" s="1"/>
  <c r="AF369" i="3"/>
  <c r="AB372" i="3"/>
  <c r="AA372" i="3"/>
  <c r="W190" i="1"/>
  <c r="AC189" i="1"/>
  <c r="AG189" i="1" s="1"/>
  <c r="AD370" i="3" l="1"/>
  <c r="AD189" i="1"/>
  <c r="AE370" i="3"/>
  <c r="AA373" i="3"/>
  <c r="AB373" i="3"/>
  <c r="AC371" i="3"/>
  <c r="AD371" i="3" s="1"/>
  <c r="AF370" i="3"/>
  <c r="W373" i="3"/>
  <c r="V372" i="3"/>
  <c r="AA191" i="1"/>
  <c r="AE189" i="1"/>
  <c r="AF189" i="1"/>
  <c r="V190" i="1"/>
  <c r="AB191" i="1"/>
  <c r="AA374" i="3"/>
  <c r="AB374" i="3"/>
  <c r="AF371" i="3" l="1"/>
  <c r="AC372" i="3"/>
  <c r="AD372" i="3" s="1"/>
  <c r="AF372" i="3"/>
  <c r="W374" i="3"/>
  <c r="V373" i="3"/>
  <c r="AG371" i="3"/>
  <c r="AE371" i="3"/>
  <c r="W191" i="1"/>
  <c r="AC190" i="1"/>
  <c r="AG190" i="1" s="1"/>
  <c r="AB375" i="3"/>
  <c r="AA375" i="3"/>
  <c r="AD190" i="1" l="1"/>
  <c r="AC373" i="3"/>
  <c r="AF373" i="3" s="1"/>
  <c r="V374" i="3"/>
  <c r="W375" i="3"/>
  <c r="AA376" i="3" s="1"/>
  <c r="AG372" i="3"/>
  <c r="AE372" i="3"/>
  <c r="AE190" i="1"/>
  <c r="AF190" i="1"/>
  <c r="V191" i="1"/>
  <c r="AA192" i="1"/>
  <c r="AB192" i="1"/>
  <c r="AD373" i="3" l="1"/>
  <c r="AB376" i="3"/>
  <c r="V375" i="3"/>
  <c r="W376" i="3"/>
  <c r="AC374" i="3"/>
  <c r="AD374" i="3" s="1"/>
  <c r="AG373" i="3"/>
  <c r="AE373" i="3"/>
  <c r="W192" i="1"/>
  <c r="AC191" i="1"/>
  <c r="AG191" i="1" s="1"/>
  <c r="AA377" i="3"/>
  <c r="AB377" i="3" l="1"/>
  <c r="AD191" i="1"/>
  <c r="AE191" i="1"/>
  <c r="V376" i="3"/>
  <c r="W377" i="3"/>
  <c r="AA378" i="3" s="1"/>
  <c r="AC375" i="3"/>
  <c r="AD375" i="3" s="1"/>
  <c r="AG374" i="3"/>
  <c r="AE374" i="3"/>
  <c r="AF374" i="3"/>
  <c r="AF191" i="1"/>
  <c r="V192" i="1"/>
  <c r="AA193" i="1"/>
  <c r="AB193" i="1"/>
  <c r="AG375" i="3" l="1"/>
  <c r="AE375" i="3"/>
  <c r="AF375" i="3"/>
  <c r="W378" i="3"/>
  <c r="V377" i="3"/>
  <c r="AC376" i="3"/>
  <c r="AD376" i="3" s="1"/>
  <c r="AB378" i="3"/>
  <c r="W193" i="1"/>
  <c r="AC192" i="1"/>
  <c r="AG192" i="1" s="1"/>
  <c r="AA379" i="3"/>
  <c r="AD192" i="1" l="1"/>
  <c r="AB379" i="3"/>
  <c r="AC377" i="3"/>
  <c r="AD377" i="3" s="1"/>
  <c r="AE376" i="3"/>
  <c r="AG376" i="3"/>
  <c r="AF376" i="3"/>
  <c r="V378" i="3"/>
  <c r="W379" i="3"/>
  <c r="AA380" i="3" s="1"/>
  <c r="AE192" i="1"/>
  <c r="AF192" i="1"/>
  <c r="V193" i="1"/>
  <c r="AA194" i="1"/>
  <c r="AB194" i="1"/>
  <c r="AC378" i="3" l="1"/>
  <c r="AG378" i="3" s="1"/>
  <c r="AG377" i="3"/>
  <c r="AE377" i="3"/>
  <c r="V379" i="3"/>
  <c r="W380" i="3"/>
  <c r="AB380" i="3"/>
  <c r="AF377" i="3"/>
  <c r="W194" i="1"/>
  <c r="AA195" i="1" s="1"/>
  <c r="AC193" i="1"/>
  <c r="AG193" i="1" s="1"/>
  <c r="AB381" i="3" l="1"/>
  <c r="AD378" i="3"/>
  <c r="AD193" i="1"/>
  <c r="AE378" i="3"/>
  <c r="AE193" i="1"/>
  <c r="W381" i="3"/>
  <c r="V380" i="3"/>
  <c r="AC379" i="3"/>
  <c r="AD379" i="3" s="1"/>
  <c r="AF378" i="3"/>
  <c r="AA381" i="3"/>
  <c r="AF193" i="1"/>
  <c r="V194" i="1"/>
  <c r="AB195" i="1"/>
  <c r="AA382" i="3"/>
  <c r="AB382" i="3" l="1"/>
  <c r="AG379" i="3"/>
  <c r="AE379" i="3"/>
  <c r="AF379" i="3"/>
  <c r="AC380" i="3"/>
  <c r="AD380" i="3" s="1"/>
  <c r="W382" i="3"/>
  <c r="AA383" i="3" s="1"/>
  <c r="V381" i="3"/>
  <c r="W195" i="1"/>
  <c r="AC194" i="1"/>
  <c r="AG194" i="1" s="1"/>
  <c r="AD194" i="1" l="1"/>
  <c r="AG380" i="3"/>
  <c r="AE380" i="3"/>
  <c r="AF380" i="3"/>
  <c r="AE194" i="1"/>
  <c r="AC381" i="3"/>
  <c r="AF381" i="3" s="1"/>
  <c r="W383" i="3"/>
  <c r="V382" i="3"/>
  <c r="AB383" i="3"/>
  <c r="AF194" i="1"/>
  <c r="V195" i="1"/>
  <c r="AA196" i="1"/>
  <c r="AB196" i="1"/>
  <c r="AD381" i="3" l="1"/>
  <c r="AB384" i="3"/>
  <c r="AC382" i="3"/>
  <c r="AG382" i="3" s="1"/>
  <c r="W384" i="3"/>
  <c r="V383" i="3"/>
  <c r="AG381" i="3"/>
  <c r="AE381" i="3"/>
  <c r="AA384" i="3"/>
  <c r="AB385" i="3" s="1"/>
  <c r="W196" i="1"/>
  <c r="AC195" i="1"/>
  <c r="AG195" i="1" s="1"/>
  <c r="AD382" i="3" l="1"/>
  <c r="AD195" i="1"/>
  <c r="AA385" i="3"/>
  <c r="AE382" i="3"/>
  <c r="AC383" i="3"/>
  <c r="AD383" i="3" s="1"/>
  <c r="W385" i="3"/>
  <c r="V384" i="3"/>
  <c r="AE195" i="1"/>
  <c r="AF382" i="3"/>
  <c r="AF195" i="1"/>
  <c r="V196" i="1"/>
  <c r="AB197" i="1"/>
  <c r="AA197" i="1"/>
  <c r="AA386" i="3"/>
  <c r="AB386" i="3"/>
  <c r="AC384" i="3" l="1"/>
  <c r="AD384" i="3" s="1"/>
  <c r="W386" i="3"/>
  <c r="V385" i="3"/>
  <c r="AG383" i="3"/>
  <c r="AE383" i="3"/>
  <c r="AF383" i="3"/>
  <c r="W197" i="1"/>
  <c r="AC196" i="1"/>
  <c r="AG196" i="1" s="1"/>
  <c r="AB387" i="3"/>
  <c r="AA387" i="3"/>
  <c r="AD196" i="1" l="1"/>
  <c r="AE196" i="1"/>
  <c r="AC385" i="3"/>
  <c r="AF385" i="3" s="1"/>
  <c r="W387" i="3"/>
  <c r="V386" i="3"/>
  <c r="AG384" i="3"/>
  <c r="AE384" i="3"/>
  <c r="AF384" i="3"/>
  <c r="AF196" i="1"/>
  <c r="V197" i="1"/>
  <c r="AB198" i="1"/>
  <c r="AA198" i="1"/>
  <c r="AA388" i="3"/>
  <c r="AD385" i="3" l="1"/>
  <c r="AC386" i="3"/>
  <c r="AG386" i="3" s="1"/>
  <c r="W388" i="3"/>
  <c r="V387" i="3"/>
  <c r="AE385" i="3"/>
  <c r="AG385" i="3"/>
  <c r="AB388" i="3"/>
  <c r="AB389" i="3" s="1"/>
  <c r="AE386" i="3"/>
  <c r="W198" i="1"/>
  <c r="AB199" i="1" s="1"/>
  <c r="AC197" i="1"/>
  <c r="AG197" i="1" s="1"/>
  <c r="AD386" i="3" l="1"/>
  <c r="AD197" i="1"/>
  <c r="W389" i="3"/>
  <c r="V388" i="3"/>
  <c r="AC387" i="3"/>
  <c r="AD387" i="3" s="1"/>
  <c r="AF386" i="3"/>
  <c r="AA389" i="3"/>
  <c r="AE197" i="1"/>
  <c r="AF197" i="1"/>
  <c r="V198" i="1"/>
  <c r="AA199" i="1"/>
  <c r="AB390" i="3" l="1"/>
  <c r="AA390" i="3"/>
  <c r="AG387" i="3"/>
  <c r="AE387" i="3"/>
  <c r="V389" i="3"/>
  <c r="W390" i="3"/>
  <c r="AF387" i="3"/>
  <c r="AC388" i="3"/>
  <c r="AF388" i="3" s="1"/>
  <c r="W199" i="1"/>
  <c r="AB200" i="1" s="1"/>
  <c r="AC198" i="1"/>
  <c r="AG198" i="1" s="1"/>
  <c r="AB391" i="3"/>
  <c r="AA391" i="3"/>
  <c r="AD388" i="3" l="1"/>
  <c r="AD198" i="1"/>
  <c r="AG388" i="3"/>
  <c r="AE388" i="3"/>
  <c r="W391" i="3"/>
  <c r="V390" i="3"/>
  <c r="AC389" i="3"/>
  <c r="AF389" i="3" s="1"/>
  <c r="AA392" i="3"/>
  <c r="AE198" i="1"/>
  <c r="AF198" i="1"/>
  <c r="V199" i="1"/>
  <c r="AA200" i="1"/>
  <c r="AB392" i="3"/>
  <c r="AD389" i="3" l="1"/>
  <c r="AG389" i="3"/>
  <c r="AE389" i="3"/>
  <c r="AC390" i="3"/>
  <c r="AF390" i="3" s="1"/>
  <c r="V391" i="3"/>
  <c r="W392" i="3"/>
  <c r="W200" i="1"/>
  <c r="AB201" i="1" s="1"/>
  <c r="AC199" i="1"/>
  <c r="AG199" i="1" s="1"/>
  <c r="AA393" i="3"/>
  <c r="AD390" i="3" l="1"/>
  <c r="AD199" i="1"/>
  <c r="AG390" i="3"/>
  <c r="AE390" i="3"/>
  <c r="AC391" i="3"/>
  <c r="AD391" i="3" s="1"/>
  <c r="V392" i="3"/>
  <c r="W393" i="3"/>
  <c r="AE199" i="1"/>
  <c r="AB393" i="3"/>
  <c r="AF199" i="1"/>
  <c r="V200" i="1"/>
  <c r="AA201" i="1"/>
  <c r="AB394" i="3" l="1"/>
  <c r="V393" i="3"/>
  <c r="W394" i="3"/>
  <c r="AE391" i="3"/>
  <c r="AG391" i="3"/>
  <c r="AC392" i="3"/>
  <c r="AF392" i="3" s="1"/>
  <c r="AF391" i="3"/>
  <c r="AA394" i="3"/>
  <c r="AB395" i="3" s="1"/>
  <c r="W201" i="1"/>
  <c r="AB202" i="1" s="1"/>
  <c r="AC200" i="1"/>
  <c r="AG200" i="1" s="1"/>
  <c r="AD392" i="3" l="1"/>
  <c r="AD200" i="1"/>
  <c r="AA202" i="1"/>
  <c r="AE200" i="1"/>
  <c r="AG392" i="3"/>
  <c r="AE392" i="3"/>
  <c r="V394" i="3"/>
  <c r="W395" i="3"/>
  <c r="AC393" i="3"/>
  <c r="AG393" i="3" s="1"/>
  <c r="AA395" i="3"/>
  <c r="AB396" i="3" s="1"/>
  <c r="AF200" i="1"/>
  <c r="V201" i="1"/>
  <c r="AE393" i="3" l="1"/>
  <c r="AD393" i="3"/>
  <c r="AA396" i="3"/>
  <c r="AF393" i="3"/>
  <c r="AC394" i="3"/>
  <c r="AD394" i="3" s="1"/>
  <c r="V395" i="3"/>
  <c r="W396" i="3"/>
  <c r="AB397" i="3" s="1"/>
  <c r="W202" i="1"/>
  <c r="AC201" i="1"/>
  <c r="AG201" i="1" s="1"/>
  <c r="AD201" i="1" l="1"/>
  <c r="AA397" i="3"/>
  <c r="AE201" i="1"/>
  <c r="V396" i="3"/>
  <c r="W397" i="3"/>
  <c r="AC395" i="3"/>
  <c r="AF395" i="3" s="1"/>
  <c r="AE394" i="3"/>
  <c r="AG394" i="3"/>
  <c r="AF394" i="3"/>
  <c r="AF201" i="1"/>
  <c r="V202" i="1"/>
  <c r="AB203" i="1"/>
  <c r="AA203" i="1"/>
  <c r="AD395" i="3" l="1"/>
  <c r="AE395" i="3"/>
  <c r="AG395" i="3"/>
  <c r="V397" i="3"/>
  <c r="W398" i="3"/>
  <c r="AC396" i="3"/>
  <c r="AG396" i="3" s="1"/>
  <c r="AB398" i="3"/>
  <c r="AA398" i="3"/>
  <c r="W203" i="1"/>
  <c r="AC202" i="1"/>
  <c r="AG202" i="1" s="1"/>
  <c r="AA399" i="3"/>
  <c r="AB399" i="3" l="1"/>
  <c r="AE396" i="3"/>
  <c r="AD396" i="3"/>
  <c r="AD202" i="1"/>
  <c r="AF396" i="3"/>
  <c r="AC397" i="3"/>
  <c r="AD397" i="3" s="1"/>
  <c r="W399" i="3"/>
  <c r="AB400" i="3" s="1"/>
  <c r="V398" i="3"/>
  <c r="AE202" i="1"/>
  <c r="AF202" i="1"/>
  <c r="V203" i="1"/>
  <c r="AB204" i="1"/>
  <c r="AA204" i="1"/>
  <c r="AC398" i="3" l="1"/>
  <c r="AD398" i="3" s="1"/>
  <c r="AG397" i="3"/>
  <c r="AE397" i="3"/>
  <c r="W400" i="3"/>
  <c r="V399" i="3"/>
  <c r="AF397" i="3"/>
  <c r="AA400" i="3"/>
  <c r="W204" i="1"/>
  <c r="AA205" i="1" s="1"/>
  <c r="AC203" i="1"/>
  <c r="AG203" i="1" s="1"/>
  <c r="AA401" i="3" l="1"/>
  <c r="AD203" i="1"/>
  <c r="AB205" i="1"/>
  <c r="AB401" i="3"/>
  <c r="W401" i="3"/>
  <c r="V400" i="3"/>
  <c r="AC399" i="3"/>
  <c r="AG399" i="3" s="1"/>
  <c r="AE398" i="3"/>
  <c r="AG398" i="3"/>
  <c r="AF398" i="3"/>
  <c r="AE203" i="1"/>
  <c r="AF203" i="1"/>
  <c r="V204" i="1"/>
  <c r="AA402" i="3"/>
  <c r="AB402" i="3"/>
  <c r="AD399" i="3" l="1"/>
  <c r="AE399" i="3"/>
  <c r="AF399" i="3"/>
  <c r="V401" i="3"/>
  <c r="W402" i="3"/>
  <c r="AC400" i="3"/>
  <c r="AF400" i="3" s="1"/>
  <c r="W205" i="1"/>
  <c r="AC204" i="1"/>
  <c r="AG204" i="1" s="1"/>
  <c r="AB403" i="3"/>
  <c r="AA403" i="3"/>
  <c r="AD400" i="3" l="1"/>
  <c r="AD204" i="1"/>
  <c r="AG400" i="3"/>
  <c r="AE400" i="3"/>
  <c r="AE204" i="1"/>
  <c r="V402" i="3"/>
  <c r="W403" i="3"/>
  <c r="AC401" i="3"/>
  <c r="AD401" i="3" s="1"/>
  <c r="AF204" i="1"/>
  <c r="V205" i="1"/>
  <c r="AB206" i="1"/>
  <c r="AA206" i="1"/>
  <c r="AG401" i="3" l="1"/>
  <c r="AE401" i="3"/>
  <c r="V403" i="3"/>
  <c r="W404" i="3"/>
  <c r="AC402" i="3"/>
  <c r="AD402" i="3" s="1"/>
  <c r="AF401" i="3"/>
  <c r="AB404" i="3"/>
  <c r="AA404" i="3"/>
  <c r="W206" i="1"/>
  <c r="AA207" i="1" s="1"/>
  <c r="AC205" i="1"/>
  <c r="AG205" i="1" s="1"/>
  <c r="AA405" i="3" l="1"/>
  <c r="AD205" i="1"/>
  <c r="AB207" i="1"/>
  <c r="AB405" i="3"/>
  <c r="AG402" i="3"/>
  <c r="AE402" i="3"/>
  <c r="AF402" i="3"/>
  <c r="AE205" i="1"/>
  <c r="V404" i="3"/>
  <c r="W405" i="3"/>
  <c r="AB406" i="3" s="1"/>
  <c r="AC403" i="3"/>
  <c r="AG403" i="3" s="1"/>
  <c r="AF205" i="1"/>
  <c r="V206" i="1"/>
  <c r="AD403" i="3" l="1"/>
  <c r="AE403" i="3"/>
  <c r="W406" i="3"/>
  <c r="V405" i="3"/>
  <c r="AC404" i="3"/>
  <c r="AD404" i="3" s="1"/>
  <c r="AF403" i="3"/>
  <c r="AA406" i="3"/>
  <c r="W207" i="1"/>
  <c r="AC206" i="1"/>
  <c r="AG206" i="1" s="1"/>
  <c r="AD206" i="1" l="1"/>
  <c r="AB407" i="3"/>
  <c r="AA407" i="3"/>
  <c r="W407" i="3"/>
  <c r="V406" i="3"/>
  <c r="AG404" i="3"/>
  <c r="AE404" i="3"/>
  <c r="AF404" i="3"/>
  <c r="AC405" i="3"/>
  <c r="AD405" i="3" s="1"/>
  <c r="AE206" i="1"/>
  <c r="AF206" i="1"/>
  <c r="V207" i="1"/>
  <c r="AB208" i="1"/>
  <c r="AA208" i="1"/>
  <c r="AA408" i="3"/>
  <c r="W408" i="3" l="1"/>
  <c r="V407" i="3"/>
  <c r="AG405" i="3"/>
  <c r="AE405" i="3"/>
  <c r="AF405" i="3"/>
  <c r="AC406" i="3"/>
  <c r="AG406" i="3" s="1"/>
  <c r="AB408" i="3"/>
  <c r="W208" i="1"/>
  <c r="AA209" i="1" s="1"/>
  <c r="AC207" i="1"/>
  <c r="AG207" i="1" s="1"/>
  <c r="AD406" i="3" l="1"/>
  <c r="AD207" i="1"/>
  <c r="AB409" i="3"/>
  <c r="AE406" i="3"/>
  <c r="AB209" i="1"/>
  <c r="AC407" i="3"/>
  <c r="AG407" i="3" s="1"/>
  <c r="W409" i="3"/>
  <c r="V408" i="3"/>
  <c r="AA409" i="3"/>
  <c r="AA410" i="3" s="1"/>
  <c r="AF406" i="3"/>
  <c r="AE407" i="3"/>
  <c r="AE207" i="1"/>
  <c r="AF207" i="1"/>
  <c r="V208" i="1"/>
  <c r="AB410" i="3" l="1"/>
  <c r="AD407" i="3"/>
  <c r="W410" i="3"/>
  <c r="V409" i="3"/>
  <c r="AC408" i="3"/>
  <c r="AD408" i="3" s="1"/>
  <c r="AF407" i="3"/>
  <c r="W209" i="1"/>
  <c r="AC208" i="1"/>
  <c r="AG208" i="1" s="1"/>
  <c r="AB411" i="3"/>
  <c r="AA411" i="3"/>
  <c r="AD208" i="1" l="1"/>
  <c r="AG408" i="3"/>
  <c r="AE408" i="3"/>
  <c r="AE208" i="1"/>
  <c r="AF408" i="3"/>
  <c r="AC409" i="3"/>
  <c r="AF409" i="3" s="1"/>
  <c r="W411" i="3"/>
  <c r="V410" i="3"/>
  <c r="AF208" i="1"/>
  <c r="V209" i="1"/>
  <c r="AB210" i="1"/>
  <c r="AA210" i="1"/>
  <c r="AA412" i="3"/>
  <c r="AD409" i="3" l="1"/>
  <c r="AG409" i="3"/>
  <c r="AE409" i="3"/>
  <c r="AC410" i="3"/>
  <c r="AD410" i="3" s="1"/>
  <c r="W412" i="3"/>
  <c r="V411" i="3"/>
  <c r="AB412" i="3"/>
  <c r="W210" i="1"/>
  <c r="AC209" i="1"/>
  <c r="AG209" i="1" s="1"/>
  <c r="AA413" i="3"/>
  <c r="AD209" i="1" l="1"/>
  <c r="AB413" i="3"/>
  <c r="AC411" i="3"/>
  <c r="AD411" i="3" s="1"/>
  <c r="W413" i="3"/>
  <c r="V412" i="3"/>
  <c r="AG410" i="3"/>
  <c r="AE410" i="3"/>
  <c r="AF410" i="3"/>
  <c r="AE209" i="1"/>
  <c r="AF209" i="1"/>
  <c r="V210" i="1"/>
  <c r="AB211" i="1"/>
  <c r="AA211" i="1"/>
  <c r="AC412" i="3" l="1"/>
  <c r="AG412" i="3" s="1"/>
  <c r="V413" i="3"/>
  <c r="W414" i="3"/>
  <c r="AG411" i="3"/>
  <c r="AE411" i="3"/>
  <c r="AF411" i="3"/>
  <c r="AB414" i="3"/>
  <c r="AA414" i="3"/>
  <c r="AA415" i="3" s="1"/>
  <c r="AE412" i="3"/>
  <c r="W211" i="1"/>
  <c r="AC210" i="1"/>
  <c r="AG210" i="1" s="1"/>
  <c r="AD412" i="3" l="1"/>
  <c r="AD210" i="1"/>
  <c r="AB415" i="3"/>
  <c r="V414" i="3"/>
  <c r="W415" i="3"/>
  <c r="AC413" i="3"/>
  <c r="AD413" i="3" s="1"/>
  <c r="AF412" i="3"/>
  <c r="AE210" i="1"/>
  <c r="AF210" i="1"/>
  <c r="V211" i="1"/>
  <c r="AB212" i="1"/>
  <c r="AA212" i="1"/>
  <c r="AF413" i="3" l="1"/>
  <c r="AB416" i="3"/>
  <c r="W416" i="3"/>
  <c r="V415" i="3"/>
  <c r="AC414" i="3"/>
  <c r="AD414" i="3" s="1"/>
  <c r="AG413" i="3"/>
  <c r="AE413" i="3"/>
  <c r="AA416" i="3"/>
  <c r="AB417" i="3" s="1"/>
  <c r="W212" i="1"/>
  <c r="AC211" i="1"/>
  <c r="AG211" i="1" s="1"/>
  <c r="AA417" i="3"/>
  <c r="AD211" i="1" l="1"/>
  <c r="AE211" i="1"/>
  <c r="AC415" i="3"/>
  <c r="AD415" i="3" s="1"/>
  <c r="AG414" i="3"/>
  <c r="AE414" i="3"/>
  <c r="AF414" i="3"/>
  <c r="V416" i="3"/>
  <c r="W417" i="3"/>
  <c r="AF211" i="1"/>
  <c r="V212" i="1"/>
  <c r="AB213" i="1"/>
  <c r="AA213" i="1"/>
  <c r="W418" i="3" l="1"/>
  <c r="V417" i="3"/>
  <c r="AC416" i="3"/>
  <c r="AG416" i="3" s="1"/>
  <c r="AG415" i="3"/>
  <c r="AE415" i="3"/>
  <c r="AF415" i="3"/>
  <c r="AB418" i="3"/>
  <c r="AE416" i="3"/>
  <c r="AA418" i="3"/>
  <c r="W213" i="1"/>
  <c r="AC212" i="1"/>
  <c r="AG212" i="1" s="1"/>
  <c r="AD416" i="3" l="1"/>
  <c r="AD212" i="1"/>
  <c r="AA419" i="3"/>
  <c r="AB419" i="3"/>
  <c r="AF416" i="3"/>
  <c r="W419" i="3"/>
  <c r="V418" i="3"/>
  <c r="AC417" i="3"/>
  <c r="AF417" i="3" s="1"/>
  <c r="AE212" i="1"/>
  <c r="AF212" i="1"/>
  <c r="V213" i="1"/>
  <c r="AB214" i="1"/>
  <c r="AA214" i="1"/>
  <c r="AD417" i="3" l="1"/>
  <c r="AB420" i="3"/>
  <c r="AG417" i="3"/>
  <c r="AE417" i="3"/>
  <c r="AC418" i="3"/>
  <c r="AD418" i="3" s="1"/>
  <c r="V419" i="3"/>
  <c r="W420" i="3"/>
  <c r="AA420" i="3"/>
  <c r="W214" i="1"/>
  <c r="AB215" i="1" s="1"/>
  <c r="AC213" i="1"/>
  <c r="AG213" i="1" s="1"/>
  <c r="AD213" i="1" l="1"/>
  <c r="AA421" i="3"/>
  <c r="AB421" i="3"/>
  <c r="AF418" i="3"/>
  <c r="AE418" i="3"/>
  <c r="AG418" i="3"/>
  <c r="V420" i="3"/>
  <c r="W421" i="3"/>
  <c r="AC419" i="3"/>
  <c r="AD419" i="3" s="1"/>
  <c r="AE213" i="1"/>
  <c r="AF213" i="1"/>
  <c r="V214" i="1"/>
  <c r="AA215" i="1"/>
  <c r="AB422" i="3"/>
  <c r="AG419" i="3" l="1"/>
  <c r="AE419" i="3"/>
  <c r="AF419" i="3"/>
  <c r="W422" i="3"/>
  <c r="V421" i="3"/>
  <c r="AC420" i="3"/>
  <c r="AD420" i="3" s="1"/>
  <c r="AA422" i="3"/>
  <c r="W215" i="1"/>
  <c r="AB216" i="1" s="1"/>
  <c r="AC214" i="1"/>
  <c r="AG214" i="1" s="1"/>
  <c r="AA423" i="3" l="1"/>
  <c r="AD214" i="1"/>
  <c r="AB423" i="3"/>
  <c r="V422" i="3"/>
  <c r="W423" i="3"/>
  <c r="AE420" i="3"/>
  <c r="AG420" i="3"/>
  <c r="AC421" i="3"/>
  <c r="AF421" i="3" s="1"/>
  <c r="AF420" i="3"/>
  <c r="AE214" i="1"/>
  <c r="AF214" i="1"/>
  <c r="V215" i="1"/>
  <c r="AA216" i="1"/>
  <c r="AA424" i="3"/>
  <c r="AD421" i="3" l="1"/>
  <c r="AG421" i="3"/>
  <c r="AE421" i="3"/>
  <c r="W424" i="3"/>
  <c r="V423" i="3"/>
  <c r="AC422" i="3"/>
  <c r="AD422" i="3" s="1"/>
  <c r="AB424" i="3"/>
  <c r="W216" i="1"/>
  <c r="AA217" i="1" s="1"/>
  <c r="AC215" i="1"/>
  <c r="AG215" i="1" s="1"/>
  <c r="AB425" i="3"/>
  <c r="AB217" i="1" l="1"/>
  <c r="AD215" i="1"/>
  <c r="AG422" i="3"/>
  <c r="AE422" i="3"/>
  <c r="AF422" i="3"/>
  <c r="AC423" i="3"/>
  <c r="AD423" i="3" s="1"/>
  <c r="V424" i="3"/>
  <c r="W425" i="3"/>
  <c r="AE215" i="1"/>
  <c r="AA425" i="3"/>
  <c r="AA426" i="3" s="1"/>
  <c r="AF215" i="1"/>
  <c r="V216" i="1"/>
  <c r="AB426" i="3" l="1"/>
  <c r="W426" i="3"/>
  <c r="V425" i="3"/>
  <c r="AC424" i="3"/>
  <c r="AD424" i="3" s="1"/>
  <c r="AE423" i="3"/>
  <c r="AG423" i="3"/>
  <c r="AF423" i="3"/>
  <c r="W217" i="1"/>
  <c r="AC216" i="1"/>
  <c r="AG216" i="1" s="1"/>
  <c r="AB427" i="3" l="1"/>
  <c r="AD216" i="1"/>
  <c r="AA427" i="3"/>
  <c r="AC425" i="3"/>
  <c r="AF425" i="3" s="1"/>
  <c r="V426" i="3"/>
  <c r="W427" i="3"/>
  <c r="AE216" i="1"/>
  <c r="AG424" i="3"/>
  <c r="AE424" i="3"/>
  <c r="AF424" i="3"/>
  <c r="AF216" i="1"/>
  <c r="V217" i="1"/>
  <c r="AB218" i="1"/>
  <c r="AA218" i="1"/>
  <c r="AD425" i="3" l="1"/>
  <c r="W428" i="3"/>
  <c r="V427" i="3"/>
  <c r="AA428" i="3"/>
  <c r="AC426" i="3"/>
  <c r="AD426" i="3" s="1"/>
  <c r="AG425" i="3"/>
  <c r="AE425" i="3"/>
  <c r="AB428" i="3"/>
  <c r="AB429" i="3" s="1"/>
  <c r="W218" i="1"/>
  <c r="AB219" i="1" s="1"/>
  <c r="AC217" i="1"/>
  <c r="AG217" i="1" s="1"/>
  <c r="AA429" i="3"/>
  <c r="AF426" i="3" l="1"/>
  <c r="AD217" i="1"/>
  <c r="AE217" i="1"/>
  <c r="W429" i="3"/>
  <c r="V428" i="3"/>
  <c r="AG426" i="3"/>
  <c r="AE426" i="3"/>
  <c r="AC427" i="3"/>
  <c r="AF427" i="3" s="1"/>
  <c r="AF217" i="1"/>
  <c r="V218" i="1"/>
  <c r="AA219" i="1"/>
  <c r="AA430" i="3"/>
  <c r="AB430" i="3"/>
  <c r="AD427" i="3" l="1"/>
  <c r="AG427" i="3"/>
  <c r="AE427" i="3"/>
  <c r="AC428" i="3"/>
  <c r="AD428" i="3" s="1"/>
  <c r="W430" i="3"/>
  <c r="V429" i="3"/>
  <c r="W219" i="1"/>
  <c r="AB220" i="1" s="1"/>
  <c r="AC218" i="1"/>
  <c r="AG218" i="1" s="1"/>
  <c r="AB431" i="3"/>
  <c r="AA431" i="3"/>
  <c r="AD218" i="1" l="1"/>
  <c r="AC429" i="3"/>
  <c r="AD429" i="3" s="1"/>
  <c r="W431" i="3"/>
  <c r="V430" i="3"/>
  <c r="AG428" i="3"/>
  <c r="AE428" i="3"/>
  <c r="AA432" i="3"/>
  <c r="AF428" i="3"/>
  <c r="AE218" i="1"/>
  <c r="AF218" i="1"/>
  <c r="V219" i="1"/>
  <c r="AA220" i="1"/>
  <c r="AC430" i="3" l="1"/>
  <c r="AF430" i="3" s="1"/>
  <c r="W432" i="3"/>
  <c r="V431" i="3"/>
  <c r="AG429" i="3"/>
  <c r="AE429" i="3"/>
  <c r="AF429" i="3"/>
  <c r="AB432" i="3"/>
  <c r="AB433" i="3" s="1"/>
  <c r="W220" i="1"/>
  <c r="AB221" i="1" s="1"/>
  <c r="AC219" i="1"/>
  <c r="AG219" i="1" s="1"/>
  <c r="AD430" i="3" l="1"/>
  <c r="AD219" i="1"/>
  <c r="AC431" i="3"/>
  <c r="AD431" i="3" s="1"/>
  <c r="V432" i="3"/>
  <c r="W433" i="3"/>
  <c r="AG430" i="3"/>
  <c r="AE430" i="3"/>
  <c r="AA433" i="3"/>
  <c r="AB434" i="3" s="1"/>
  <c r="AE219" i="1"/>
  <c r="AF219" i="1"/>
  <c r="V220" i="1"/>
  <c r="AA221" i="1"/>
  <c r="AA434" i="3" l="1"/>
  <c r="W434" i="3"/>
  <c r="AB435" i="3" s="1"/>
  <c r="V433" i="3"/>
  <c r="AC432" i="3"/>
  <c r="AD432" i="3" s="1"/>
  <c r="AG431" i="3"/>
  <c r="AE431" i="3"/>
  <c r="AF431" i="3"/>
  <c r="W221" i="1"/>
  <c r="AB222" i="1" s="1"/>
  <c r="AC220" i="1"/>
  <c r="AG220" i="1" s="1"/>
  <c r="AD220" i="1" l="1"/>
  <c r="AA435" i="3"/>
  <c r="AE432" i="3"/>
  <c r="AG432" i="3"/>
  <c r="AC433" i="3"/>
  <c r="AD433" i="3" s="1"/>
  <c r="V434" i="3"/>
  <c r="W435" i="3"/>
  <c r="AA436" i="3" s="1"/>
  <c r="AF432" i="3"/>
  <c r="AE220" i="1"/>
  <c r="AF220" i="1"/>
  <c r="V221" i="1"/>
  <c r="AA222" i="1"/>
  <c r="W436" i="3" l="1"/>
  <c r="V435" i="3"/>
  <c r="AC434" i="3"/>
  <c r="AF434" i="3" s="1"/>
  <c r="AG433" i="3"/>
  <c r="AE433" i="3"/>
  <c r="AF433" i="3"/>
  <c r="AB436" i="3"/>
  <c r="W222" i="1"/>
  <c r="AA223" i="1" s="1"/>
  <c r="AC221" i="1"/>
  <c r="AG221" i="1" s="1"/>
  <c r="AB437" i="3" l="1"/>
  <c r="AD434" i="3"/>
  <c r="AB223" i="1"/>
  <c r="AD221" i="1"/>
  <c r="W437" i="3"/>
  <c r="V436" i="3"/>
  <c r="AC435" i="3"/>
  <c r="AD435" i="3" s="1"/>
  <c r="AG434" i="3"/>
  <c r="AE434" i="3"/>
  <c r="AE221" i="1"/>
  <c r="AA437" i="3"/>
  <c r="AF221" i="1"/>
  <c r="V222" i="1"/>
  <c r="AA438" i="3" l="1"/>
  <c r="AB438" i="3"/>
  <c r="AG435" i="3"/>
  <c r="AE435" i="3"/>
  <c r="AF435" i="3"/>
  <c r="W438" i="3"/>
  <c r="V437" i="3"/>
  <c r="AC436" i="3"/>
  <c r="AF436" i="3" s="1"/>
  <c r="W223" i="1"/>
  <c r="AC222" i="1"/>
  <c r="AG222" i="1" s="1"/>
  <c r="AA439" i="3" l="1"/>
  <c r="AB439" i="3"/>
  <c r="AD436" i="3"/>
  <c r="AD222" i="1"/>
  <c r="AG436" i="3"/>
  <c r="AE436" i="3"/>
  <c r="AE222" i="1"/>
  <c r="AC437" i="3"/>
  <c r="AF437" i="3" s="1"/>
  <c r="W439" i="3"/>
  <c r="V438" i="3"/>
  <c r="AF222" i="1"/>
  <c r="V223" i="1"/>
  <c r="AB224" i="1"/>
  <c r="AA224" i="1"/>
  <c r="AD437" i="3" l="1"/>
  <c r="AC438" i="3"/>
  <c r="AD438" i="3" s="1"/>
  <c r="W440" i="3"/>
  <c r="V439" i="3"/>
  <c r="AG437" i="3"/>
  <c r="AE437" i="3"/>
  <c r="AB440" i="3"/>
  <c r="AA440" i="3"/>
  <c r="W224" i="1"/>
  <c r="AC223" i="1"/>
  <c r="AG223" i="1" s="1"/>
  <c r="AF438" i="3" l="1"/>
  <c r="AD223" i="1"/>
  <c r="AA441" i="3"/>
  <c r="AC439" i="3"/>
  <c r="AD439" i="3" s="1"/>
  <c r="V440" i="3"/>
  <c r="W441" i="3"/>
  <c r="AB441" i="3"/>
  <c r="AG438" i="3"/>
  <c r="AE438" i="3"/>
  <c r="AE223" i="1"/>
  <c r="AF223" i="1"/>
  <c r="V224" i="1"/>
  <c r="AB225" i="1"/>
  <c r="AA225" i="1"/>
  <c r="AF439" i="3" l="1"/>
  <c r="AB442" i="3"/>
  <c r="AG439" i="3"/>
  <c r="AE439" i="3"/>
  <c r="AC440" i="3"/>
  <c r="AG440" i="3" s="1"/>
  <c r="W442" i="3"/>
  <c r="V441" i="3"/>
  <c r="AA442" i="3"/>
  <c r="W225" i="1"/>
  <c r="AC224" i="1"/>
  <c r="AG224" i="1" s="1"/>
  <c r="AE440" i="3" l="1"/>
  <c r="AD440" i="3"/>
  <c r="AD224" i="1"/>
  <c r="AF440" i="3"/>
  <c r="AB443" i="3"/>
  <c r="AA443" i="3"/>
  <c r="AC441" i="3"/>
  <c r="AF441" i="3" s="1"/>
  <c r="W443" i="3"/>
  <c r="AA444" i="3" s="1"/>
  <c r="V442" i="3"/>
  <c r="AE224" i="1"/>
  <c r="AF224" i="1"/>
  <c r="V225" i="1"/>
  <c r="AB226" i="1"/>
  <c r="AA226" i="1"/>
  <c r="AD441" i="3" l="1"/>
  <c r="AB444" i="3"/>
  <c r="W444" i="3"/>
  <c r="V443" i="3"/>
  <c r="AC442" i="3"/>
  <c r="AF442" i="3" s="1"/>
  <c r="AG441" i="3"/>
  <c r="AE441" i="3"/>
  <c r="W226" i="1"/>
  <c r="AC225" i="1"/>
  <c r="AG225" i="1" s="1"/>
  <c r="AB445" i="3"/>
  <c r="AA445" i="3"/>
  <c r="AD442" i="3" l="1"/>
  <c r="AD225" i="1"/>
  <c r="W445" i="3"/>
  <c r="AA446" i="3" s="1"/>
  <c r="V444" i="3"/>
  <c r="AG442" i="3"/>
  <c r="AE442" i="3"/>
  <c r="AE225" i="1"/>
  <c r="AC443" i="3"/>
  <c r="AD443" i="3" s="1"/>
  <c r="V226" i="1"/>
  <c r="AB227" i="1"/>
  <c r="AF225" i="1"/>
  <c r="AA227" i="1"/>
  <c r="AG443" i="3" l="1"/>
  <c r="AE443" i="3"/>
  <c r="V445" i="3"/>
  <c r="W446" i="3"/>
  <c r="AA447" i="3" s="1"/>
  <c r="AF443" i="3"/>
  <c r="AC444" i="3"/>
  <c r="AD444" i="3" s="1"/>
  <c r="AB446" i="3"/>
  <c r="W227" i="1"/>
  <c r="AC226" i="1"/>
  <c r="AG226" i="1" s="1"/>
  <c r="AB447" i="3" l="1"/>
  <c r="AD226" i="1"/>
  <c r="AE226" i="1"/>
  <c r="AC445" i="3"/>
  <c r="AD445" i="3" s="1"/>
  <c r="AG444" i="3"/>
  <c r="AE444" i="3"/>
  <c r="AF444" i="3"/>
  <c r="W447" i="3"/>
  <c r="AA448" i="3" s="1"/>
  <c r="V446" i="3"/>
  <c r="AF226" i="1"/>
  <c r="V227" i="1"/>
  <c r="AB228" i="1"/>
  <c r="AA228" i="1"/>
  <c r="W448" i="3" l="1"/>
  <c r="V447" i="3"/>
  <c r="AC446" i="3"/>
  <c r="AD446" i="3" s="1"/>
  <c r="AG445" i="3"/>
  <c r="AE445" i="3"/>
  <c r="AF445" i="3"/>
  <c r="AB448" i="3"/>
  <c r="AB449" i="3" s="1"/>
  <c r="W228" i="1"/>
  <c r="AC227" i="1"/>
  <c r="AG227" i="1" s="1"/>
  <c r="AA449" i="3"/>
  <c r="AD227" i="1" l="1"/>
  <c r="AG446" i="3"/>
  <c r="AE446" i="3"/>
  <c r="AF446" i="3"/>
  <c r="AE227" i="1"/>
  <c r="V448" i="3"/>
  <c r="W449" i="3"/>
  <c r="AA450" i="3" s="1"/>
  <c r="AC447" i="3"/>
  <c r="AF447" i="3" s="1"/>
  <c r="AF227" i="1"/>
  <c r="V228" i="1"/>
  <c r="AA229" i="1"/>
  <c r="AB229" i="1"/>
  <c r="AD447" i="3" l="1"/>
  <c r="AG447" i="3"/>
  <c r="AE447" i="3"/>
  <c r="AC448" i="3"/>
  <c r="AG448" i="3" s="1"/>
  <c r="V449" i="3"/>
  <c r="W450" i="3"/>
  <c r="AB450" i="3"/>
  <c r="AE448" i="3"/>
  <c r="W229" i="1"/>
  <c r="AC228" i="1"/>
  <c r="AG228" i="1" s="1"/>
  <c r="AA451" i="3"/>
  <c r="AD448" i="3" l="1"/>
  <c r="AD228" i="1"/>
  <c r="AB451" i="3"/>
  <c r="AF448" i="3"/>
  <c r="V450" i="3"/>
  <c r="W451" i="3"/>
  <c r="AC449" i="3"/>
  <c r="AF449" i="3" s="1"/>
  <c r="AE228" i="1"/>
  <c r="AF228" i="1"/>
  <c r="V229" i="1"/>
  <c r="AB230" i="1"/>
  <c r="AA230" i="1"/>
  <c r="AB452" i="3"/>
  <c r="AD449" i="3" l="1"/>
  <c r="AG449" i="3"/>
  <c r="AE449" i="3"/>
  <c r="W452" i="3"/>
  <c r="V451" i="3"/>
  <c r="AC450" i="3"/>
  <c r="AD450" i="3" s="1"/>
  <c r="AA452" i="3"/>
  <c r="AB453" i="3" s="1"/>
  <c r="W230" i="1"/>
  <c r="AC229" i="1"/>
  <c r="AG229" i="1" s="1"/>
  <c r="AA453" i="3"/>
  <c r="AD229" i="1" l="1"/>
  <c r="AG450" i="3"/>
  <c r="AE450" i="3"/>
  <c r="AC451" i="3"/>
  <c r="AD451" i="3" s="1"/>
  <c r="AF450" i="3"/>
  <c r="W453" i="3"/>
  <c r="V452" i="3"/>
  <c r="AE229" i="1"/>
  <c r="AF229" i="1"/>
  <c r="V230" i="1"/>
  <c r="AB231" i="1"/>
  <c r="AA231" i="1"/>
  <c r="AC452" i="3" l="1"/>
  <c r="AD452" i="3" s="1"/>
  <c r="W454" i="3"/>
  <c r="V453" i="3"/>
  <c r="AA454" i="3"/>
  <c r="AA455" i="3" s="1"/>
  <c r="AG451" i="3"/>
  <c r="AE451" i="3"/>
  <c r="AF451" i="3"/>
  <c r="AB454" i="3"/>
  <c r="W231" i="1"/>
  <c r="AC230" i="1"/>
  <c r="AG230" i="1" s="1"/>
  <c r="AD230" i="1" l="1"/>
  <c r="AB455" i="3"/>
  <c r="AC453" i="3"/>
  <c r="AD453" i="3" s="1"/>
  <c r="W455" i="3"/>
  <c r="AA456" i="3" s="1"/>
  <c r="V454" i="3"/>
  <c r="AG452" i="3"/>
  <c r="AE452" i="3"/>
  <c r="AF452" i="3"/>
  <c r="AE230" i="1"/>
  <c r="AF230" i="1"/>
  <c r="V231" i="1"/>
  <c r="AB232" i="1"/>
  <c r="AA232" i="1"/>
  <c r="W456" i="3" l="1"/>
  <c r="V455" i="3"/>
  <c r="AC454" i="3"/>
  <c r="AG454" i="3" s="1"/>
  <c r="AG453" i="3"/>
  <c r="AE453" i="3"/>
  <c r="AB456" i="3"/>
  <c r="AE454" i="3"/>
  <c r="AF453" i="3"/>
  <c r="W232" i="1"/>
  <c r="AC231" i="1"/>
  <c r="AG231" i="1" s="1"/>
  <c r="AB457" i="3"/>
  <c r="AD454" i="3" l="1"/>
  <c r="AD231" i="1"/>
  <c r="AF454" i="3"/>
  <c r="W457" i="3"/>
  <c r="V456" i="3"/>
  <c r="AC455" i="3"/>
  <c r="AD455" i="3" s="1"/>
  <c r="AA457" i="3"/>
  <c r="AA458" i="3" s="1"/>
  <c r="AE231" i="1"/>
  <c r="AF231" i="1"/>
  <c r="V232" i="1"/>
  <c r="AB233" i="1"/>
  <c r="AA233" i="1"/>
  <c r="AB458" i="3"/>
  <c r="AG455" i="3" l="1"/>
  <c r="AE455" i="3"/>
  <c r="AF455" i="3"/>
  <c r="AC456" i="3"/>
  <c r="AD456" i="3" s="1"/>
  <c r="W458" i="3"/>
  <c r="V457" i="3"/>
  <c r="W233" i="1"/>
  <c r="AC232" i="1"/>
  <c r="AG232" i="1" s="1"/>
  <c r="AA459" i="3"/>
  <c r="AD232" i="1" l="1"/>
  <c r="AC457" i="3"/>
  <c r="AF457" i="3" s="1"/>
  <c r="W459" i="3"/>
  <c r="V458" i="3"/>
  <c r="AG456" i="3"/>
  <c r="AE456" i="3"/>
  <c r="AF456" i="3"/>
  <c r="AB459" i="3"/>
  <c r="AB460" i="3" s="1"/>
  <c r="AE232" i="1"/>
  <c r="AF232" i="1"/>
  <c r="V233" i="1"/>
  <c r="AA234" i="1"/>
  <c r="AB234" i="1"/>
  <c r="AA460" i="3"/>
  <c r="AD457" i="3" l="1"/>
  <c r="AC458" i="3"/>
  <c r="AG458" i="3" s="1"/>
  <c r="V459" i="3"/>
  <c r="W460" i="3"/>
  <c r="AE457" i="3"/>
  <c r="AG457" i="3"/>
  <c r="AE458" i="3"/>
  <c r="W234" i="1"/>
  <c r="AC233" i="1"/>
  <c r="AG233" i="1" s="1"/>
  <c r="AB461" i="3"/>
  <c r="AA461" i="3"/>
  <c r="AF458" i="3" l="1"/>
  <c r="AD458" i="3"/>
  <c r="AD233" i="1"/>
  <c r="AC459" i="3"/>
  <c r="AD459" i="3" s="1"/>
  <c r="V460" i="3"/>
  <c r="W461" i="3"/>
  <c r="AE233" i="1"/>
  <c r="AF233" i="1"/>
  <c r="V234" i="1"/>
  <c r="AB235" i="1"/>
  <c r="AA235" i="1"/>
  <c r="AA462" i="3"/>
  <c r="AB462" i="3"/>
  <c r="V461" i="3" l="1"/>
  <c r="W462" i="3"/>
  <c r="AC460" i="3"/>
  <c r="AD460" i="3" s="1"/>
  <c r="AG459" i="3"/>
  <c r="AE459" i="3"/>
  <c r="AF459" i="3"/>
  <c r="W235" i="1"/>
  <c r="AC234" i="1"/>
  <c r="AG234" i="1" s="1"/>
  <c r="AB463" i="3"/>
  <c r="AA463" i="3"/>
  <c r="AD234" i="1" l="1"/>
  <c r="AE234" i="1"/>
  <c r="AG460" i="3"/>
  <c r="AE460" i="3"/>
  <c r="AF460" i="3"/>
  <c r="V462" i="3"/>
  <c r="W463" i="3"/>
  <c r="AC461" i="3"/>
  <c r="AD461" i="3" s="1"/>
  <c r="AF234" i="1"/>
  <c r="V235" i="1"/>
  <c r="AB236" i="1"/>
  <c r="AA236" i="1"/>
  <c r="AA464" i="3"/>
  <c r="AC462" i="3" l="1"/>
  <c r="AD462" i="3" s="1"/>
  <c r="AG461" i="3"/>
  <c r="AE461" i="3"/>
  <c r="AF461" i="3"/>
  <c r="V463" i="3"/>
  <c r="W464" i="3"/>
  <c r="AA465" i="3" s="1"/>
  <c r="AB464" i="3"/>
  <c r="W236" i="1"/>
  <c r="AC235" i="1"/>
  <c r="AG235" i="1" s="1"/>
  <c r="AD235" i="1" l="1"/>
  <c r="AB465" i="3"/>
  <c r="AC463" i="3"/>
  <c r="AD463" i="3" s="1"/>
  <c r="V464" i="3"/>
  <c r="W465" i="3"/>
  <c r="AE235" i="1"/>
  <c r="AG462" i="3"/>
  <c r="AE462" i="3"/>
  <c r="AF462" i="3"/>
  <c r="AF235" i="1"/>
  <c r="V236" i="1"/>
  <c r="AB237" i="1"/>
  <c r="AA237" i="1"/>
  <c r="AA466" i="3"/>
  <c r="V465" i="3" l="1"/>
  <c r="W466" i="3"/>
  <c r="AC464" i="3"/>
  <c r="AG464" i="3" s="1"/>
  <c r="AG463" i="3"/>
  <c r="AE463" i="3"/>
  <c r="AF463" i="3"/>
  <c r="AB466" i="3"/>
  <c r="AB467" i="3" s="1"/>
  <c r="AE464" i="3"/>
  <c r="W237" i="1"/>
  <c r="AA238" i="1" s="1"/>
  <c r="AC236" i="1"/>
  <c r="AG236" i="1" s="1"/>
  <c r="AD464" i="3" l="1"/>
  <c r="AD236" i="1"/>
  <c r="W467" i="3"/>
  <c r="V466" i="3"/>
  <c r="AC465" i="3"/>
  <c r="AG465" i="3" s="1"/>
  <c r="AF464" i="3"/>
  <c r="AA467" i="3"/>
  <c r="AE236" i="1"/>
  <c r="AF236" i="1"/>
  <c r="V237" i="1"/>
  <c r="AB238" i="1"/>
  <c r="AA468" i="3"/>
  <c r="AB468" i="3"/>
  <c r="AE465" i="3" l="1"/>
  <c r="AD465" i="3"/>
  <c r="AF465" i="3"/>
  <c r="AC466" i="3"/>
  <c r="AF466" i="3" s="1"/>
  <c r="V467" i="3"/>
  <c r="W468" i="3"/>
  <c r="AB469" i="3" s="1"/>
  <c r="W238" i="1"/>
  <c r="AC237" i="1"/>
  <c r="AG237" i="1" s="1"/>
  <c r="AA469" i="3" l="1"/>
  <c r="AD466" i="3"/>
  <c r="AD237" i="1"/>
  <c r="W469" i="3"/>
  <c r="V468" i="3"/>
  <c r="AC467" i="3"/>
  <c r="AD467" i="3" s="1"/>
  <c r="AG466" i="3"/>
  <c r="AE466" i="3"/>
  <c r="AE237" i="1"/>
  <c r="AF237" i="1"/>
  <c r="V238" i="1"/>
  <c r="AA239" i="1"/>
  <c r="AB239" i="1"/>
  <c r="V469" i="3" l="1"/>
  <c r="W470" i="3"/>
  <c r="AE467" i="3"/>
  <c r="AG467" i="3"/>
  <c r="AF467" i="3"/>
  <c r="AC468" i="3"/>
  <c r="AF468" i="3" s="1"/>
  <c r="AB470" i="3"/>
  <c r="AA470" i="3"/>
  <c r="AA471" i="3" s="1"/>
  <c r="W239" i="1"/>
  <c r="AC238" i="1"/>
  <c r="AG238" i="1" s="1"/>
  <c r="AD468" i="3" l="1"/>
  <c r="AD238" i="1"/>
  <c r="AB471" i="3"/>
  <c r="AG468" i="3"/>
  <c r="AE468" i="3"/>
  <c r="AE238" i="1"/>
  <c r="V470" i="3"/>
  <c r="W471" i="3"/>
  <c r="AC469" i="3"/>
  <c r="AD469" i="3" s="1"/>
  <c r="AF238" i="1"/>
  <c r="V239" i="1"/>
  <c r="AA240" i="1"/>
  <c r="AB240" i="1"/>
  <c r="AF469" i="3" l="1"/>
  <c r="AC470" i="3"/>
  <c r="AD470" i="3" s="1"/>
  <c r="V471" i="3"/>
  <c r="W472" i="3"/>
  <c r="AG469" i="3"/>
  <c r="AE469" i="3"/>
  <c r="AB472" i="3"/>
  <c r="AA472" i="3"/>
  <c r="W240" i="1"/>
  <c r="AC239" i="1"/>
  <c r="AG239" i="1" s="1"/>
  <c r="AD239" i="1" l="1"/>
  <c r="AA473" i="3"/>
  <c r="AB473" i="3"/>
  <c r="AC471" i="3"/>
  <c r="AD471" i="3" s="1"/>
  <c r="AE239" i="1"/>
  <c r="W473" i="3"/>
  <c r="V472" i="3"/>
  <c r="AG470" i="3"/>
  <c r="AE470" i="3"/>
  <c r="AF470" i="3"/>
  <c r="AF239" i="1"/>
  <c r="V240" i="1"/>
  <c r="AA241" i="1"/>
  <c r="AB241" i="1"/>
  <c r="AC472" i="3" l="1"/>
  <c r="AG472" i="3" s="1"/>
  <c r="W474" i="3"/>
  <c r="V473" i="3"/>
  <c r="AG471" i="3"/>
  <c r="AE471" i="3"/>
  <c r="AF471" i="3"/>
  <c r="AB474" i="3"/>
  <c r="AE472" i="3"/>
  <c r="AA474" i="3"/>
  <c r="AA475" i="3" s="1"/>
  <c r="W241" i="1"/>
  <c r="AC240" i="1"/>
  <c r="AG240" i="1" s="1"/>
  <c r="AD472" i="3" l="1"/>
  <c r="AD240" i="1"/>
  <c r="AC473" i="3"/>
  <c r="AG473" i="3" s="1"/>
  <c r="V474" i="3"/>
  <c r="W475" i="3"/>
  <c r="AE240" i="1"/>
  <c r="AA242" i="1"/>
  <c r="AB475" i="3"/>
  <c r="AE473" i="3"/>
  <c r="AF472" i="3"/>
  <c r="AF240" i="1"/>
  <c r="V241" i="1"/>
  <c r="AB242" i="1"/>
  <c r="AB476" i="3"/>
  <c r="AD473" i="3" l="1"/>
  <c r="W476" i="3"/>
  <c r="V475" i="3"/>
  <c r="AC474" i="3"/>
  <c r="AD474" i="3" s="1"/>
  <c r="AF473" i="3"/>
  <c r="AA476" i="3"/>
  <c r="AA477" i="3" s="1"/>
  <c r="W242" i="1"/>
  <c r="AB243" i="1" s="1"/>
  <c r="AC241" i="1"/>
  <c r="AG241" i="1" s="1"/>
  <c r="AD241" i="1" l="1"/>
  <c r="AB477" i="3"/>
  <c r="AG474" i="3"/>
  <c r="AE474" i="3"/>
  <c r="V476" i="3"/>
  <c r="W477" i="3"/>
  <c r="AF474" i="3"/>
  <c r="AC475" i="3"/>
  <c r="AF475" i="3" s="1"/>
  <c r="AE241" i="1"/>
  <c r="AF241" i="1"/>
  <c r="V242" i="1"/>
  <c r="AA243" i="1"/>
  <c r="AD475" i="3" l="1"/>
  <c r="AB478" i="3"/>
  <c r="AG475" i="3"/>
  <c r="AE475" i="3"/>
  <c r="W478" i="3"/>
  <c r="V477" i="3"/>
  <c r="AC476" i="3"/>
  <c r="AD476" i="3" s="1"/>
  <c r="AA478" i="3"/>
  <c r="AA479" i="3" s="1"/>
  <c r="W243" i="1"/>
  <c r="AA244" i="1" s="1"/>
  <c r="AC242" i="1"/>
  <c r="AG242" i="1" s="1"/>
  <c r="AD242" i="1" l="1"/>
  <c r="AB244" i="1"/>
  <c r="AB479" i="3"/>
  <c r="AE476" i="3"/>
  <c r="AG476" i="3"/>
  <c r="AF476" i="3"/>
  <c r="AC477" i="3"/>
  <c r="AD477" i="3" s="1"/>
  <c r="W479" i="3"/>
  <c r="V478" i="3"/>
  <c r="AE242" i="1"/>
  <c r="AF242" i="1"/>
  <c r="V243" i="1"/>
  <c r="AB480" i="3"/>
  <c r="AA480" i="3"/>
  <c r="AC478" i="3" l="1"/>
  <c r="AD478" i="3" s="1"/>
  <c r="V479" i="3"/>
  <c r="W480" i="3"/>
  <c r="AA481" i="3" s="1"/>
  <c r="AG477" i="3"/>
  <c r="AE477" i="3"/>
  <c r="AF477" i="3"/>
  <c r="W244" i="1"/>
  <c r="AC243" i="1"/>
  <c r="AG243" i="1" s="1"/>
  <c r="AD243" i="1" l="1"/>
  <c r="AB481" i="3"/>
  <c r="W481" i="3"/>
  <c r="V480" i="3"/>
  <c r="AC479" i="3"/>
  <c r="AD479" i="3" s="1"/>
  <c r="AG478" i="3"/>
  <c r="AE478" i="3"/>
  <c r="AF478" i="3"/>
  <c r="AE243" i="1"/>
  <c r="AF243" i="1"/>
  <c r="V244" i="1"/>
  <c r="AB245" i="1"/>
  <c r="AA245" i="1"/>
  <c r="AG479" i="3" l="1"/>
  <c r="AE479" i="3"/>
  <c r="AF479" i="3"/>
  <c r="AC480" i="3"/>
  <c r="AD480" i="3" s="1"/>
  <c r="W482" i="3"/>
  <c r="V481" i="3"/>
  <c r="AA482" i="3"/>
  <c r="AB482" i="3"/>
  <c r="W245" i="1"/>
  <c r="AC244" i="1"/>
  <c r="AG244" i="1" s="1"/>
  <c r="AD244" i="1" l="1"/>
  <c r="AB483" i="3"/>
  <c r="AA483" i="3"/>
  <c r="AC481" i="3"/>
  <c r="AD481" i="3" s="1"/>
  <c r="V482" i="3"/>
  <c r="W483" i="3"/>
  <c r="AE480" i="3"/>
  <c r="AG480" i="3"/>
  <c r="AF480" i="3"/>
  <c r="AE244" i="1"/>
  <c r="AF244" i="1"/>
  <c r="V245" i="1"/>
  <c r="AB246" i="1"/>
  <c r="AA246" i="1"/>
  <c r="W484" i="3" l="1"/>
  <c r="V483" i="3"/>
  <c r="AC482" i="3"/>
  <c r="AF482" i="3" s="1"/>
  <c r="AG481" i="3"/>
  <c r="AE481" i="3"/>
  <c r="AA484" i="3"/>
  <c r="AA485" i="3" s="1"/>
  <c r="AF481" i="3"/>
  <c r="AB484" i="3"/>
  <c r="W246" i="1"/>
  <c r="AB247" i="1" s="1"/>
  <c r="AC245" i="1"/>
  <c r="AG245" i="1" s="1"/>
  <c r="AB485" i="3" l="1"/>
  <c r="AD482" i="3"/>
  <c r="AD245" i="1"/>
  <c r="AA247" i="1"/>
  <c r="AC483" i="3"/>
  <c r="AG483" i="3" s="1"/>
  <c r="V484" i="3"/>
  <c r="W485" i="3"/>
  <c r="AE483" i="3"/>
  <c r="AG482" i="3"/>
  <c r="AE482" i="3"/>
  <c r="AE245" i="1"/>
  <c r="AF245" i="1"/>
  <c r="V246" i="1"/>
  <c r="AB486" i="3"/>
  <c r="AA486" i="3"/>
  <c r="AD483" i="3" l="1"/>
  <c r="W486" i="3"/>
  <c r="V485" i="3"/>
  <c r="AC484" i="3"/>
  <c r="AF484" i="3" s="1"/>
  <c r="AF483" i="3"/>
  <c r="W247" i="1"/>
  <c r="AC246" i="1"/>
  <c r="AG246" i="1" s="1"/>
  <c r="AD484" i="3" l="1"/>
  <c r="AD246" i="1"/>
  <c r="V486" i="3"/>
  <c r="AG484" i="3"/>
  <c r="AE484" i="3"/>
  <c r="AC485" i="3"/>
  <c r="AF485" i="3" s="1"/>
  <c r="AE246" i="1"/>
  <c r="AF246" i="1"/>
  <c r="V247" i="1"/>
  <c r="AB248" i="1"/>
  <c r="AA248" i="1"/>
  <c r="AD485" i="3" l="1"/>
  <c r="AG485" i="3"/>
  <c r="AE485" i="3"/>
  <c r="AC486" i="3"/>
  <c r="AD486" i="3" s="1"/>
  <c r="W248" i="1"/>
  <c r="AB249" i="1" s="1"/>
  <c r="AC247" i="1"/>
  <c r="AG247" i="1" s="1"/>
  <c r="AD247" i="1" l="1"/>
  <c r="AG486" i="3"/>
  <c r="O30" i="3" s="1"/>
  <c r="AE486" i="3"/>
  <c r="O32" i="3" s="1"/>
  <c r="AI4" i="15" s="1"/>
  <c r="AF486" i="3"/>
  <c r="O33" i="3"/>
  <c r="AJ4" i="15" s="1"/>
  <c r="AE247" i="1"/>
  <c r="AF247" i="1"/>
  <c r="V248" i="1"/>
  <c r="AA249" i="1"/>
  <c r="AG4" i="15" l="1"/>
  <c r="O31" i="3"/>
  <c r="W249" i="1"/>
  <c r="AB250" i="1" s="1"/>
  <c r="AC248" i="1"/>
  <c r="AG248" i="1" s="1"/>
  <c r="AD248" i="1" l="1"/>
  <c r="AH4" i="15"/>
  <c r="AE248" i="1"/>
  <c r="AF248" i="1"/>
  <c r="V249" i="1"/>
  <c r="AA250" i="1"/>
  <c r="W250" i="1" l="1"/>
  <c r="AB251" i="1" s="1"/>
  <c r="AC249" i="1"/>
  <c r="AG249" i="1" s="1"/>
  <c r="AD249" i="1" l="1"/>
  <c r="AE249" i="1"/>
  <c r="AF249" i="1"/>
  <c r="V250" i="1"/>
  <c r="AA251" i="1"/>
  <c r="W251" i="1" l="1"/>
  <c r="AB252" i="1" s="1"/>
  <c r="AC250" i="1"/>
  <c r="AG250" i="1" s="1"/>
  <c r="AD250" i="1" l="1"/>
  <c r="AA252" i="1"/>
  <c r="AE250" i="1"/>
  <c r="AF250" i="1"/>
  <c r="V251" i="1"/>
  <c r="W252" i="1" l="1"/>
  <c r="AC251" i="1"/>
  <c r="AG251" i="1" s="1"/>
  <c r="AD251" i="1" l="1"/>
  <c r="AE251" i="1"/>
  <c r="AF251" i="1"/>
  <c r="V252" i="1"/>
  <c r="AB253" i="1"/>
  <c r="AA253" i="1"/>
  <c r="W253" i="1" l="1"/>
  <c r="AC252" i="1"/>
  <c r="AG252" i="1" s="1"/>
  <c r="AD252" i="1" l="1"/>
  <c r="AA254" i="1"/>
  <c r="AE252" i="1"/>
  <c r="AF252" i="1"/>
  <c r="V253" i="1"/>
  <c r="AB254" i="1"/>
  <c r="W254" i="1" l="1"/>
  <c r="AB255" i="1" s="1"/>
  <c r="AC253" i="1"/>
  <c r="AG253" i="1" s="1"/>
  <c r="AD253" i="1" l="1"/>
  <c r="AE253" i="1"/>
  <c r="AF253" i="1"/>
  <c r="V254" i="1"/>
  <c r="AA255" i="1"/>
  <c r="W255" i="1" l="1"/>
  <c r="AB256" i="1" s="1"/>
  <c r="AC254" i="1"/>
  <c r="AG254" i="1" s="1"/>
  <c r="AD254" i="1" l="1"/>
  <c r="AE254" i="1"/>
  <c r="AF254" i="1"/>
  <c r="V255" i="1"/>
  <c r="AA256" i="1"/>
  <c r="W256" i="1" l="1"/>
  <c r="AB257" i="1" s="1"/>
  <c r="AC255" i="1"/>
  <c r="AG255" i="1" s="1"/>
  <c r="AD255" i="1" l="1"/>
  <c r="AE255" i="1"/>
  <c r="AF255" i="1"/>
  <c r="V256" i="1"/>
  <c r="AA257" i="1"/>
  <c r="W257" i="1" l="1"/>
  <c r="AB258" i="1" s="1"/>
  <c r="AC256" i="1"/>
  <c r="AG256" i="1" s="1"/>
  <c r="AD256" i="1" l="1"/>
  <c r="AE256" i="1"/>
  <c r="AF256" i="1"/>
  <c r="V257" i="1"/>
  <c r="AA258" i="1"/>
  <c r="W258" i="1" l="1"/>
  <c r="AB259" i="1" s="1"/>
  <c r="AC257" i="1"/>
  <c r="AG257" i="1" s="1"/>
  <c r="AD257" i="1" l="1"/>
  <c r="AE257" i="1"/>
  <c r="AF257" i="1"/>
  <c r="V258" i="1"/>
  <c r="AA259" i="1"/>
  <c r="W259" i="1" l="1"/>
  <c r="AB260" i="1" s="1"/>
  <c r="AC258" i="1"/>
  <c r="AG258" i="1" s="1"/>
  <c r="AD258" i="1" l="1"/>
  <c r="AE258" i="1"/>
  <c r="AF258" i="1"/>
  <c r="V259" i="1"/>
  <c r="AA260" i="1"/>
  <c r="W260" i="1" l="1"/>
  <c r="AB261" i="1" s="1"/>
  <c r="AC259" i="1"/>
  <c r="AG259" i="1" s="1"/>
  <c r="AD259" i="1" l="1"/>
  <c r="AE259" i="1"/>
  <c r="AF259" i="1"/>
  <c r="V260" i="1"/>
  <c r="AA261" i="1"/>
  <c r="W261" i="1" l="1"/>
  <c r="AB262" i="1" s="1"/>
  <c r="AC260" i="1"/>
  <c r="AG260" i="1" s="1"/>
  <c r="AD260" i="1" l="1"/>
  <c r="AE260" i="1"/>
  <c r="AF260" i="1"/>
  <c r="V261" i="1"/>
  <c r="AA262" i="1"/>
  <c r="W262" i="1" l="1"/>
  <c r="AB263" i="1" s="1"/>
  <c r="AC261" i="1"/>
  <c r="AG261" i="1" s="1"/>
  <c r="AD261" i="1" l="1"/>
  <c r="AE261" i="1"/>
  <c r="AF261" i="1"/>
  <c r="V262" i="1"/>
  <c r="AA263" i="1"/>
  <c r="W263" i="1" l="1"/>
  <c r="AB264" i="1" s="1"/>
  <c r="AC262" i="1"/>
  <c r="AG262" i="1" s="1"/>
  <c r="AD262" i="1" l="1"/>
  <c r="AE262" i="1"/>
  <c r="AF262" i="1"/>
  <c r="V263" i="1"/>
  <c r="AA264" i="1"/>
  <c r="W264" i="1" l="1"/>
  <c r="AB265" i="1" s="1"/>
  <c r="AC263" i="1"/>
  <c r="AG263" i="1" s="1"/>
  <c r="AD263" i="1" l="1"/>
  <c r="AE263" i="1"/>
  <c r="AF263" i="1"/>
  <c r="V264" i="1"/>
  <c r="AA265" i="1"/>
  <c r="W265" i="1" l="1"/>
  <c r="AB266" i="1" s="1"/>
  <c r="AC264" i="1"/>
  <c r="AG264" i="1" s="1"/>
  <c r="AD264" i="1" l="1"/>
  <c r="AE264" i="1"/>
  <c r="AF264" i="1"/>
  <c r="V265" i="1"/>
  <c r="AA266" i="1"/>
  <c r="W266" i="1" l="1"/>
  <c r="AB267" i="1" s="1"/>
  <c r="AC265" i="1"/>
  <c r="AG265" i="1" s="1"/>
  <c r="AD265" i="1" l="1"/>
  <c r="AE265" i="1"/>
  <c r="AF265" i="1"/>
  <c r="V266" i="1"/>
  <c r="AA267" i="1"/>
  <c r="W267" i="1" l="1"/>
  <c r="AB268" i="1" s="1"/>
  <c r="AC266" i="1"/>
  <c r="AG266" i="1" s="1"/>
  <c r="AD266" i="1" l="1"/>
  <c r="AE266" i="1"/>
  <c r="AF266" i="1"/>
  <c r="V267" i="1"/>
  <c r="AA268" i="1"/>
  <c r="W268" i="1" l="1"/>
  <c r="AB269" i="1" s="1"/>
  <c r="AC267" i="1"/>
  <c r="AG267" i="1" s="1"/>
  <c r="AD267" i="1" l="1"/>
  <c r="AE267" i="1"/>
  <c r="AF267" i="1"/>
  <c r="V268" i="1"/>
  <c r="AA269" i="1"/>
  <c r="W269" i="1" l="1"/>
  <c r="AB270" i="1" s="1"/>
  <c r="AC268" i="1"/>
  <c r="AG268" i="1" s="1"/>
  <c r="AD268" i="1" l="1"/>
  <c r="AE268" i="1"/>
  <c r="AF268" i="1"/>
  <c r="V269" i="1"/>
  <c r="AA270" i="1"/>
  <c r="W270" i="1" l="1"/>
  <c r="AB271" i="1" s="1"/>
  <c r="AC269" i="1"/>
  <c r="AG269" i="1" s="1"/>
  <c r="AD269" i="1" l="1"/>
  <c r="AE269" i="1"/>
  <c r="AF269" i="1"/>
  <c r="V270" i="1"/>
  <c r="AA271" i="1"/>
  <c r="W271" i="1" l="1"/>
  <c r="AB272" i="1" s="1"/>
  <c r="AC270" i="1"/>
  <c r="AG270" i="1" s="1"/>
  <c r="AD270" i="1" l="1"/>
  <c r="AE270" i="1"/>
  <c r="AF270" i="1"/>
  <c r="V271" i="1"/>
  <c r="AA272" i="1"/>
  <c r="W272" i="1" l="1"/>
  <c r="AB273" i="1" s="1"/>
  <c r="AC271" i="1"/>
  <c r="AG271" i="1" s="1"/>
  <c r="AD271" i="1" l="1"/>
  <c r="AE271" i="1"/>
  <c r="AF271" i="1"/>
  <c r="V272" i="1"/>
  <c r="AA273" i="1"/>
  <c r="W273" i="1" l="1"/>
  <c r="AB274" i="1" s="1"/>
  <c r="AC272" i="1"/>
  <c r="AG272" i="1" s="1"/>
  <c r="AD272" i="1" l="1"/>
  <c r="AE272" i="1"/>
  <c r="AF272" i="1"/>
  <c r="V273" i="1"/>
  <c r="AA274" i="1"/>
  <c r="W274" i="1" l="1"/>
  <c r="AB275" i="1" s="1"/>
  <c r="AC273" i="1"/>
  <c r="AG273" i="1" s="1"/>
  <c r="AD273" i="1" l="1"/>
  <c r="AE273" i="1"/>
  <c r="AF273" i="1"/>
  <c r="V274" i="1"/>
  <c r="AA275" i="1"/>
  <c r="W275" i="1" l="1"/>
  <c r="AB276" i="1" s="1"/>
  <c r="AC274" i="1"/>
  <c r="AG274" i="1" s="1"/>
  <c r="AD274" i="1" l="1"/>
  <c r="AE274" i="1"/>
  <c r="AF274" i="1"/>
  <c r="V275" i="1"/>
  <c r="AA276" i="1"/>
  <c r="W276" i="1" l="1"/>
  <c r="AB277" i="1" s="1"/>
  <c r="AC275" i="1"/>
  <c r="AG275" i="1" s="1"/>
  <c r="AD275" i="1" l="1"/>
  <c r="AE275" i="1"/>
  <c r="AF275" i="1"/>
  <c r="V276" i="1"/>
  <c r="AA277" i="1"/>
  <c r="W277" i="1" l="1"/>
  <c r="AB278" i="1" s="1"/>
  <c r="AC276" i="1"/>
  <c r="AG276" i="1" s="1"/>
  <c r="AD276" i="1" l="1"/>
  <c r="AE276" i="1"/>
  <c r="AF276" i="1"/>
  <c r="V277" i="1"/>
  <c r="AA278" i="1"/>
  <c r="W278" i="1" l="1"/>
  <c r="AB279" i="1" s="1"/>
  <c r="AC277" i="1"/>
  <c r="AG277" i="1" s="1"/>
  <c r="AD277" i="1" l="1"/>
  <c r="AE277" i="1"/>
  <c r="AF277" i="1"/>
  <c r="V278" i="1"/>
  <c r="AA279" i="1"/>
  <c r="W279" i="1" l="1"/>
  <c r="AB280" i="1" s="1"/>
  <c r="AC278" i="1"/>
  <c r="AG278" i="1" s="1"/>
  <c r="AD278" i="1" l="1"/>
  <c r="AE278" i="1"/>
  <c r="AF278" i="1"/>
  <c r="V279" i="1"/>
  <c r="AA280" i="1"/>
  <c r="W280" i="1" l="1"/>
  <c r="AB281" i="1" s="1"/>
  <c r="AC279" i="1"/>
  <c r="AG279" i="1" s="1"/>
  <c r="AD279" i="1" l="1"/>
  <c r="AE279" i="1"/>
  <c r="AF279" i="1"/>
  <c r="V280" i="1"/>
  <c r="AA281" i="1"/>
  <c r="W281" i="1" l="1"/>
  <c r="AB282" i="1" s="1"/>
  <c r="AC280" i="1"/>
  <c r="AG280" i="1" s="1"/>
  <c r="AD280" i="1" l="1"/>
  <c r="AE280" i="1"/>
  <c r="AF280" i="1"/>
  <c r="V281" i="1"/>
  <c r="AA282" i="1"/>
  <c r="W282" i="1" l="1"/>
  <c r="AB283" i="1" s="1"/>
  <c r="AC281" i="1"/>
  <c r="AG281" i="1" s="1"/>
  <c r="AD281" i="1" l="1"/>
  <c r="AE281" i="1"/>
  <c r="AF281" i="1"/>
  <c r="V282" i="1"/>
  <c r="AA283" i="1"/>
  <c r="W283" i="1" l="1"/>
  <c r="AB284" i="1" s="1"/>
  <c r="AC282" i="1"/>
  <c r="AG282" i="1" s="1"/>
  <c r="AD282" i="1" l="1"/>
  <c r="AE282" i="1"/>
  <c r="AF282" i="1"/>
  <c r="V283" i="1"/>
  <c r="AA284" i="1"/>
  <c r="W284" i="1" l="1"/>
  <c r="AB285" i="1" s="1"/>
  <c r="AC283" i="1"/>
  <c r="AG283" i="1" s="1"/>
  <c r="AD283" i="1" l="1"/>
  <c r="AE283" i="1"/>
  <c r="AF283" i="1"/>
  <c r="V284" i="1"/>
  <c r="AA285" i="1"/>
  <c r="W285" i="1" l="1"/>
  <c r="AC284" i="1"/>
  <c r="AG284" i="1" s="1"/>
  <c r="AD284" i="1" l="1"/>
  <c r="AB286" i="1"/>
  <c r="AE284" i="1"/>
  <c r="AF284" i="1"/>
  <c r="V285" i="1"/>
  <c r="AA286" i="1"/>
  <c r="W286" i="1" l="1"/>
  <c r="AB287" i="1" s="1"/>
  <c r="AC285" i="1"/>
  <c r="AG285" i="1" s="1"/>
  <c r="AD285" i="1" l="1"/>
  <c r="AE285" i="1"/>
  <c r="AF285" i="1"/>
  <c r="V286" i="1"/>
  <c r="AA287" i="1"/>
  <c r="W287" i="1" l="1"/>
  <c r="AB288" i="1" s="1"/>
  <c r="AC286" i="1"/>
  <c r="AG286" i="1" s="1"/>
  <c r="AD286" i="1" l="1"/>
  <c r="AE286" i="1"/>
  <c r="AF286" i="1"/>
  <c r="V287" i="1"/>
  <c r="AA288" i="1"/>
  <c r="W288" i="1" l="1"/>
  <c r="AB289" i="1" s="1"/>
  <c r="AC287" i="1"/>
  <c r="AG287" i="1" s="1"/>
  <c r="AD287" i="1" l="1"/>
  <c r="AE287" i="1"/>
  <c r="AF287" i="1"/>
  <c r="V288" i="1"/>
  <c r="AA289" i="1"/>
  <c r="W289" i="1" l="1"/>
  <c r="AB290" i="1" s="1"/>
  <c r="AC288" i="1"/>
  <c r="AG288" i="1" s="1"/>
  <c r="AD288" i="1" l="1"/>
  <c r="AE288" i="1"/>
  <c r="AF288" i="1"/>
  <c r="V289" i="1"/>
  <c r="AA290" i="1"/>
  <c r="W290" i="1" l="1"/>
  <c r="AB291" i="1" s="1"/>
  <c r="AC289" i="1"/>
  <c r="AG289" i="1" s="1"/>
  <c r="AD289" i="1" l="1"/>
  <c r="AE289" i="1"/>
  <c r="AF289" i="1"/>
  <c r="V290" i="1"/>
  <c r="AA291" i="1"/>
  <c r="W291" i="1" l="1"/>
  <c r="AB292" i="1" s="1"/>
  <c r="AC290" i="1"/>
  <c r="AG290" i="1" s="1"/>
  <c r="AD290" i="1" l="1"/>
  <c r="AE290" i="1"/>
  <c r="AF290" i="1"/>
  <c r="V291" i="1"/>
  <c r="AA292" i="1"/>
  <c r="W292" i="1" l="1"/>
  <c r="AB293" i="1" s="1"/>
  <c r="AC291" i="1"/>
  <c r="AG291" i="1" s="1"/>
  <c r="AD291" i="1" l="1"/>
  <c r="AE291" i="1"/>
  <c r="AF291" i="1"/>
  <c r="V292" i="1"/>
  <c r="AA293" i="1"/>
  <c r="W293" i="1" l="1"/>
  <c r="AB294" i="1" s="1"/>
  <c r="AC292" i="1"/>
  <c r="AG292" i="1" s="1"/>
  <c r="AD292" i="1" l="1"/>
  <c r="AE292" i="1"/>
  <c r="AF292" i="1"/>
  <c r="V293" i="1"/>
  <c r="AA294" i="1"/>
  <c r="W294" i="1" l="1"/>
  <c r="AB295" i="1" s="1"/>
  <c r="AC293" i="1"/>
  <c r="AG293" i="1" s="1"/>
  <c r="AD293" i="1" l="1"/>
  <c r="AE293" i="1"/>
  <c r="AF293" i="1"/>
  <c r="V294" i="1"/>
  <c r="AA295" i="1"/>
  <c r="W295" i="1" l="1"/>
  <c r="AB296" i="1" s="1"/>
  <c r="AC294" i="1"/>
  <c r="AG294" i="1" s="1"/>
  <c r="AD294" i="1" l="1"/>
  <c r="AE294" i="1"/>
  <c r="AF294" i="1"/>
  <c r="V295" i="1"/>
  <c r="AA296" i="1"/>
  <c r="W296" i="1" l="1"/>
  <c r="AB297" i="1" s="1"/>
  <c r="AC295" i="1"/>
  <c r="AG295" i="1" s="1"/>
  <c r="AD295" i="1" l="1"/>
  <c r="AE295" i="1"/>
  <c r="AF295" i="1"/>
  <c r="V296" i="1"/>
  <c r="AA297" i="1"/>
  <c r="W297" i="1" l="1"/>
  <c r="AB298" i="1" s="1"/>
  <c r="AC296" i="1"/>
  <c r="AG296" i="1" s="1"/>
  <c r="AD296" i="1" l="1"/>
  <c r="AE296" i="1"/>
  <c r="AF296" i="1"/>
  <c r="V297" i="1"/>
  <c r="AA298" i="1"/>
  <c r="W298" i="1" l="1"/>
  <c r="AB299" i="1" s="1"/>
  <c r="AC297" i="1"/>
  <c r="AG297" i="1" s="1"/>
  <c r="AD297" i="1" l="1"/>
  <c r="AE297" i="1"/>
  <c r="AF297" i="1"/>
  <c r="V298" i="1"/>
  <c r="AA299" i="1"/>
  <c r="W299" i="1" l="1"/>
  <c r="AB300" i="1" s="1"/>
  <c r="AC298" i="1"/>
  <c r="AG298" i="1" s="1"/>
  <c r="AD298" i="1" l="1"/>
  <c r="AE298" i="1"/>
  <c r="AF298" i="1"/>
  <c r="V299" i="1"/>
  <c r="AA300" i="1"/>
  <c r="W300" i="1" l="1"/>
  <c r="AB301" i="1" s="1"/>
  <c r="AC299" i="1"/>
  <c r="AG299" i="1" s="1"/>
  <c r="AD299" i="1" l="1"/>
  <c r="AE299" i="1"/>
  <c r="AF299" i="1"/>
  <c r="V300" i="1"/>
  <c r="AA301" i="1"/>
  <c r="W301" i="1" l="1"/>
  <c r="AB302" i="1" s="1"/>
  <c r="AC300" i="1"/>
  <c r="AG300" i="1" s="1"/>
  <c r="AD300" i="1" l="1"/>
  <c r="AE300" i="1"/>
  <c r="AF300" i="1"/>
  <c r="V301" i="1"/>
  <c r="AA302" i="1"/>
  <c r="W302" i="1" l="1"/>
  <c r="AB303" i="1" s="1"/>
  <c r="AC301" i="1"/>
  <c r="AG301" i="1" s="1"/>
  <c r="AD301" i="1" l="1"/>
  <c r="AE301" i="1"/>
  <c r="AF301" i="1"/>
  <c r="V302" i="1"/>
  <c r="AA303" i="1"/>
  <c r="W303" i="1" l="1"/>
  <c r="AB304" i="1" s="1"/>
  <c r="AC302" i="1"/>
  <c r="AG302" i="1" s="1"/>
  <c r="AD302" i="1" l="1"/>
  <c r="AE302" i="1"/>
  <c r="AF302" i="1"/>
  <c r="V303" i="1"/>
  <c r="AA304" i="1"/>
  <c r="W304" i="1" l="1"/>
  <c r="AB305" i="1" s="1"/>
  <c r="AC303" i="1"/>
  <c r="AG303" i="1" s="1"/>
  <c r="AD303" i="1" l="1"/>
  <c r="AE303" i="1"/>
  <c r="AF303" i="1"/>
  <c r="V304" i="1"/>
  <c r="AA305" i="1"/>
  <c r="W305" i="1" l="1"/>
  <c r="AB306" i="1" s="1"/>
  <c r="AC304" i="1"/>
  <c r="AG304" i="1" s="1"/>
  <c r="AD304" i="1" l="1"/>
  <c r="AE304" i="1"/>
  <c r="AF304" i="1"/>
  <c r="V305" i="1"/>
  <c r="AA306" i="1"/>
  <c r="W306" i="1" l="1"/>
  <c r="AB307" i="1" s="1"/>
  <c r="AC305" i="1"/>
  <c r="AG305" i="1" s="1"/>
  <c r="AD305" i="1" l="1"/>
  <c r="AE305" i="1"/>
  <c r="AF305" i="1"/>
  <c r="V306" i="1"/>
  <c r="AA307" i="1"/>
  <c r="W307" i="1" l="1"/>
  <c r="AB308" i="1" s="1"/>
  <c r="AC306" i="1"/>
  <c r="AG306" i="1" s="1"/>
  <c r="AD306" i="1" l="1"/>
  <c r="AE306" i="1"/>
  <c r="AF306" i="1"/>
  <c r="V307" i="1"/>
  <c r="AA308" i="1"/>
  <c r="W308" i="1" l="1"/>
  <c r="AB309" i="1" s="1"/>
  <c r="AC307" i="1"/>
  <c r="AG307" i="1" s="1"/>
  <c r="AD307" i="1" l="1"/>
  <c r="AE307" i="1"/>
  <c r="AF307" i="1"/>
  <c r="V308" i="1"/>
  <c r="AA309" i="1"/>
  <c r="W309" i="1" l="1"/>
  <c r="AB310" i="1" s="1"/>
  <c r="AC308" i="1"/>
  <c r="AG308" i="1" s="1"/>
  <c r="AD308" i="1" l="1"/>
  <c r="AE308" i="1"/>
  <c r="AF308" i="1"/>
  <c r="V309" i="1"/>
  <c r="AA310" i="1"/>
  <c r="W310" i="1" l="1"/>
  <c r="AB311" i="1" s="1"/>
  <c r="AC309" i="1"/>
  <c r="AG309" i="1" s="1"/>
  <c r="AD309" i="1" l="1"/>
  <c r="AE309" i="1"/>
  <c r="AF309" i="1"/>
  <c r="V310" i="1"/>
  <c r="AA311" i="1"/>
  <c r="W311" i="1" l="1"/>
  <c r="AB312" i="1" s="1"/>
  <c r="AC310" i="1"/>
  <c r="AG310" i="1" s="1"/>
  <c r="AD310" i="1" l="1"/>
  <c r="AE310" i="1"/>
  <c r="AF310" i="1"/>
  <c r="V311" i="1"/>
  <c r="AA312" i="1"/>
  <c r="W312" i="1" l="1"/>
  <c r="AB313" i="1" s="1"/>
  <c r="AC311" i="1"/>
  <c r="AG311" i="1" s="1"/>
  <c r="AD311" i="1" l="1"/>
  <c r="AE311" i="1"/>
  <c r="AF311" i="1"/>
  <c r="V312" i="1"/>
  <c r="AA313" i="1"/>
  <c r="W313" i="1" l="1"/>
  <c r="AB314" i="1" s="1"/>
  <c r="AC312" i="1"/>
  <c r="AG312" i="1" s="1"/>
  <c r="AD312" i="1" l="1"/>
  <c r="AE312" i="1"/>
  <c r="AF312" i="1"/>
  <c r="V313" i="1"/>
  <c r="AA314" i="1"/>
  <c r="W314" i="1" l="1"/>
  <c r="AB315" i="1" s="1"/>
  <c r="AC313" i="1"/>
  <c r="AG313" i="1" s="1"/>
  <c r="AD313" i="1" l="1"/>
  <c r="AE313" i="1"/>
  <c r="AF313" i="1"/>
  <c r="V314" i="1"/>
  <c r="AA315" i="1"/>
  <c r="W315" i="1" l="1"/>
  <c r="AB316" i="1" s="1"/>
  <c r="AC314" i="1"/>
  <c r="AG314" i="1" s="1"/>
  <c r="AD314" i="1" l="1"/>
  <c r="AE314" i="1"/>
  <c r="AF314" i="1"/>
  <c r="V315" i="1"/>
  <c r="AA316" i="1"/>
  <c r="W316" i="1" l="1"/>
  <c r="AB317" i="1" s="1"/>
  <c r="AC315" i="1"/>
  <c r="AG315" i="1" s="1"/>
  <c r="AD315" i="1" l="1"/>
  <c r="AE315" i="1"/>
  <c r="AF315" i="1"/>
  <c r="V316" i="1"/>
  <c r="AA317" i="1"/>
  <c r="W317" i="1" l="1"/>
  <c r="AB318" i="1" s="1"/>
  <c r="AC316" i="1"/>
  <c r="AG316" i="1" s="1"/>
  <c r="AD316" i="1" l="1"/>
  <c r="AE316" i="1"/>
  <c r="AF316" i="1"/>
  <c r="V317" i="1"/>
  <c r="AA318" i="1"/>
  <c r="W318" i="1" l="1"/>
  <c r="AB319" i="1" s="1"/>
  <c r="AC317" i="1"/>
  <c r="AG317" i="1" s="1"/>
  <c r="AD317" i="1" l="1"/>
  <c r="AE317" i="1"/>
  <c r="AF317" i="1"/>
  <c r="V318" i="1"/>
  <c r="AA319" i="1"/>
  <c r="W319" i="1" l="1"/>
  <c r="AB320" i="1" s="1"/>
  <c r="AC318" i="1"/>
  <c r="AG318" i="1" s="1"/>
  <c r="AD318" i="1" l="1"/>
  <c r="AE318" i="1"/>
  <c r="AF318" i="1"/>
  <c r="V319" i="1"/>
  <c r="AA320" i="1"/>
  <c r="W320" i="1" l="1"/>
  <c r="AB321" i="1" s="1"/>
  <c r="AC319" i="1"/>
  <c r="AG319" i="1" s="1"/>
  <c r="AD319" i="1" l="1"/>
  <c r="AE319" i="1"/>
  <c r="AF319" i="1"/>
  <c r="V320" i="1"/>
  <c r="AA321" i="1"/>
  <c r="W321" i="1" l="1"/>
  <c r="AB322" i="1" s="1"/>
  <c r="AC320" i="1"/>
  <c r="AG320" i="1" s="1"/>
  <c r="AD320" i="1" l="1"/>
  <c r="AE320" i="1"/>
  <c r="AF320" i="1"/>
  <c r="V321" i="1"/>
  <c r="AA322" i="1"/>
  <c r="W322" i="1" l="1"/>
  <c r="AB323" i="1" s="1"/>
  <c r="AC321" i="1"/>
  <c r="AG321" i="1" s="1"/>
  <c r="AD321" i="1" l="1"/>
  <c r="AE321" i="1"/>
  <c r="AF321" i="1"/>
  <c r="V322" i="1"/>
  <c r="AA323" i="1"/>
  <c r="W323" i="1" l="1"/>
  <c r="AB324" i="1" s="1"/>
  <c r="AC322" i="1"/>
  <c r="AG322" i="1" s="1"/>
  <c r="AD322" i="1" l="1"/>
  <c r="AE322" i="1"/>
  <c r="AF322" i="1"/>
  <c r="V323" i="1"/>
  <c r="AA324" i="1"/>
  <c r="W324" i="1" l="1"/>
  <c r="AB325" i="1" s="1"/>
  <c r="AC323" i="1"/>
  <c r="AG323" i="1" s="1"/>
  <c r="AD323" i="1" l="1"/>
  <c r="AE323" i="1"/>
  <c r="AF323" i="1"/>
  <c r="V324" i="1"/>
  <c r="AA325" i="1"/>
  <c r="W325" i="1" l="1"/>
  <c r="AB326" i="1" s="1"/>
  <c r="AC324" i="1"/>
  <c r="AG324" i="1" s="1"/>
  <c r="AD324" i="1" l="1"/>
  <c r="AE324" i="1"/>
  <c r="AF324" i="1"/>
  <c r="V325" i="1"/>
  <c r="AA326" i="1"/>
  <c r="W326" i="1" l="1"/>
  <c r="AB327" i="1" s="1"/>
  <c r="AC325" i="1"/>
  <c r="AG325" i="1" s="1"/>
  <c r="AD325" i="1" l="1"/>
  <c r="AE325" i="1"/>
  <c r="AF325" i="1"/>
  <c r="V326" i="1"/>
  <c r="AA327" i="1"/>
  <c r="W327" i="1" l="1"/>
  <c r="AB328" i="1" s="1"/>
  <c r="AC326" i="1"/>
  <c r="AG326" i="1" s="1"/>
  <c r="AD326" i="1" l="1"/>
  <c r="AE326" i="1"/>
  <c r="AF326" i="1"/>
  <c r="V327" i="1"/>
  <c r="AA328" i="1"/>
  <c r="W328" i="1" l="1"/>
  <c r="AB329" i="1" s="1"/>
  <c r="AC327" i="1"/>
  <c r="AG327" i="1" s="1"/>
  <c r="AD327" i="1" l="1"/>
  <c r="AE327" i="1"/>
  <c r="AF327" i="1"/>
  <c r="V328" i="1"/>
  <c r="AA329" i="1"/>
  <c r="W329" i="1" l="1"/>
  <c r="AB330" i="1" s="1"/>
  <c r="AC328" i="1"/>
  <c r="AG328" i="1" s="1"/>
  <c r="AD328" i="1" l="1"/>
  <c r="AE328" i="1"/>
  <c r="AF328" i="1"/>
  <c r="V329" i="1"/>
  <c r="AA330" i="1"/>
  <c r="W330" i="1" l="1"/>
  <c r="AB331" i="1" s="1"/>
  <c r="AC329" i="1"/>
  <c r="AG329" i="1" s="1"/>
  <c r="AD329" i="1" l="1"/>
  <c r="AE329" i="1"/>
  <c r="AF329" i="1"/>
  <c r="V330" i="1"/>
  <c r="AA331" i="1"/>
  <c r="W331" i="1" l="1"/>
  <c r="AB332" i="1" s="1"/>
  <c r="AC330" i="1"/>
  <c r="AG330" i="1" s="1"/>
  <c r="AD330" i="1" l="1"/>
  <c r="AE330" i="1"/>
  <c r="AF330" i="1"/>
  <c r="V331" i="1"/>
  <c r="AA332" i="1"/>
  <c r="W332" i="1" l="1"/>
  <c r="AB333" i="1" s="1"/>
  <c r="AC331" i="1"/>
  <c r="AG331" i="1" s="1"/>
  <c r="AD331" i="1" l="1"/>
  <c r="AE331" i="1"/>
  <c r="AF331" i="1"/>
  <c r="V332" i="1"/>
  <c r="AA333" i="1"/>
  <c r="W333" i="1" l="1"/>
  <c r="AB334" i="1" s="1"/>
  <c r="AC332" i="1"/>
  <c r="AG332" i="1" s="1"/>
  <c r="AD332" i="1" l="1"/>
  <c r="AE332" i="1"/>
  <c r="AF332" i="1"/>
  <c r="V333" i="1"/>
  <c r="AA334" i="1"/>
  <c r="W334" i="1" l="1"/>
  <c r="AB335" i="1" s="1"/>
  <c r="AC333" i="1"/>
  <c r="AG333" i="1" s="1"/>
  <c r="AD333" i="1" l="1"/>
  <c r="AE333" i="1"/>
  <c r="AF333" i="1"/>
  <c r="V334" i="1"/>
  <c r="AA335" i="1"/>
  <c r="W335" i="1" l="1"/>
  <c r="AB336" i="1" s="1"/>
  <c r="AC334" i="1"/>
  <c r="AG334" i="1" s="1"/>
  <c r="AD334" i="1" l="1"/>
  <c r="AE334" i="1"/>
  <c r="AF334" i="1"/>
  <c r="V335" i="1"/>
  <c r="AA336" i="1"/>
  <c r="W336" i="1" l="1"/>
  <c r="AB337" i="1" s="1"/>
  <c r="AC335" i="1"/>
  <c r="AG335" i="1" s="1"/>
  <c r="AD335" i="1" l="1"/>
  <c r="AE335" i="1"/>
  <c r="AF335" i="1"/>
  <c r="V336" i="1"/>
  <c r="AA337" i="1"/>
  <c r="W337" i="1" l="1"/>
  <c r="AB338" i="1" s="1"/>
  <c r="AC336" i="1"/>
  <c r="AG336" i="1" s="1"/>
  <c r="AD336" i="1" l="1"/>
  <c r="AE336" i="1"/>
  <c r="AF336" i="1"/>
  <c r="V337" i="1"/>
  <c r="AA338" i="1"/>
  <c r="W338" i="1" l="1"/>
  <c r="AB339" i="1" s="1"/>
  <c r="AC337" i="1"/>
  <c r="AG337" i="1" s="1"/>
  <c r="AD337" i="1" l="1"/>
  <c r="AE337" i="1"/>
  <c r="AF337" i="1"/>
  <c r="V338" i="1"/>
  <c r="AA339" i="1"/>
  <c r="W339" i="1" l="1"/>
  <c r="AB340" i="1" s="1"/>
  <c r="AC338" i="1"/>
  <c r="AG338" i="1" s="1"/>
  <c r="AD338" i="1" l="1"/>
  <c r="AE338" i="1"/>
  <c r="AF338" i="1"/>
  <c r="V339" i="1"/>
  <c r="AA340" i="1"/>
  <c r="W340" i="1" l="1"/>
  <c r="AB341" i="1" s="1"/>
  <c r="AC339" i="1"/>
  <c r="AG339" i="1" s="1"/>
  <c r="AD339" i="1" l="1"/>
  <c r="AE339" i="1"/>
  <c r="AF339" i="1"/>
  <c r="V340" i="1"/>
  <c r="AA341" i="1"/>
  <c r="W341" i="1" l="1"/>
  <c r="AB342" i="1" s="1"/>
  <c r="AC340" i="1"/>
  <c r="AG340" i="1" s="1"/>
  <c r="AD340" i="1" l="1"/>
  <c r="AE340" i="1"/>
  <c r="AF340" i="1"/>
  <c r="V341" i="1"/>
  <c r="AA342" i="1"/>
  <c r="W342" i="1" l="1"/>
  <c r="AB343" i="1" s="1"/>
  <c r="AC341" i="1"/>
  <c r="AG341" i="1" s="1"/>
  <c r="AD341" i="1" l="1"/>
  <c r="AE341" i="1"/>
  <c r="AF341" i="1"/>
  <c r="V342" i="1"/>
  <c r="AA343" i="1"/>
  <c r="W343" i="1" l="1"/>
  <c r="AB344" i="1" s="1"/>
  <c r="AC342" i="1"/>
  <c r="AG342" i="1" s="1"/>
  <c r="AD342" i="1" l="1"/>
  <c r="AE342" i="1"/>
  <c r="AF342" i="1"/>
  <c r="V343" i="1"/>
  <c r="AA344" i="1"/>
  <c r="W344" i="1" l="1"/>
  <c r="AB345" i="1" s="1"/>
  <c r="AC343" i="1"/>
  <c r="AG343" i="1" s="1"/>
  <c r="AD343" i="1" l="1"/>
  <c r="AE343" i="1"/>
  <c r="AF343" i="1"/>
  <c r="V344" i="1"/>
  <c r="AA345" i="1"/>
  <c r="W345" i="1" l="1"/>
  <c r="AB346" i="1" s="1"/>
  <c r="AC344" i="1"/>
  <c r="AG344" i="1" s="1"/>
  <c r="AD344" i="1" l="1"/>
  <c r="AE344" i="1"/>
  <c r="AF344" i="1"/>
  <c r="V345" i="1"/>
  <c r="AA346" i="1"/>
  <c r="W346" i="1" l="1"/>
  <c r="AB347" i="1" s="1"/>
  <c r="AC345" i="1"/>
  <c r="AG345" i="1" s="1"/>
  <c r="AD345" i="1" l="1"/>
  <c r="AE345" i="1"/>
  <c r="AF345" i="1"/>
  <c r="V346" i="1"/>
  <c r="AA347" i="1"/>
  <c r="W347" i="1" l="1"/>
  <c r="AB348" i="1" s="1"/>
  <c r="AC346" i="1"/>
  <c r="AG346" i="1" s="1"/>
  <c r="AD346" i="1" l="1"/>
  <c r="AE346" i="1"/>
  <c r="AF346" i="1"/>
  <c r="V347" i="1"/>
  <c r="AA348" i="1"/>
  <c r="W348" i="1" l="1"/>
  <c r="AB349" i="1" s="1"/>
  <c r="AC347" i="1"/>
  <c r="AG347" i="1" s="1"/>
  <c r="AD347" i="1" l="1"/>
  <c r="AE347" i="1"/>
  <c r="AF347" i="1"/>
  <c r="V348" i="1"/>
  <c r="AA349" i="1"/>
  <c r="W349" i="1" l="1"/>
  <c r="AB350" i="1" s="1"/>
  <c r="AC348" i="1"/>
  <c r="AG348" i="1" s="1"/>
  <c r="AD348" i="1" l="1"/>
  <c r="AE348" i="1"/>
  <c r="AF348" i="1"/>
  <c r="V349" i="1"/>
  <c r="AA350" i="1"/>
  <c r="W350" i="1" l="1"/>
  <c r="AC349" i="1"/>
  <c r="AG349" i="1" s="1"/>
  <c r="AD349" i="1" l="1"/>
  <c r="AB351" i="1"/>
  <c r="AE349" i="1"/>
  <c r="AF349" i="1"/>
  <c r="V350" i="1"/>
  <c r="AA351" i="1"/>
  <c r="W351" i="1" l="1"/>
  <c r="AA352" i="1" s="1"/>
  <c r="AC350" i="1"/>
  <c r="AG350" i="1" s="1"/>
  <c r="AD350" i="1" l="1"/>
  <c r="AB352" i="1"/>
  <c r="AE350" i="1"/>
  <c r="AF350" i="1"/>
  <c r="V351" i="1"/>
  <c r="W352" i="1" l="1"/>
  <c r="AC351" i="1"/>
  <c r="AG351" i="1" s="1"/>
  <c r="AD351" i="1" l="1"/>
  <c r="AE351" i="1"/>
  <c r="AF351" i="1"/>
  <c r="V352" i="1"/>
  <c r="AA353" i="1"/>
  <c r="AB353" i="1"/>
  <c r="W353" i="1" l="1"/>
  <c r="AC352" i="1"/>
  <c r="AG352" i="1" s="1"/>
  <c r="AD352" i="1" l="1"/>
  <c r="AE352" i="1"/>
  <c r="AF352" i="1"/>
  <c r="V353" i="1"/>
  <c r="AA354" i="1"/>
  <c r="AB354" i="1"/>
  <c r="W354" i="1" l="1"/>
  <c r="AC353" i="1"/>
  <c r="AG353" i="1" s="1"/>
  <c r="AD353" i="1" l="1"/>
  <c r="AE353" i="1"/>
  <c r="AF353" i="1"/>
  <c r="V354" i="1"/>
  <c r="AA355" i="1"/>
  <c r="AB355" i="1"/>
  <c r="W355" i="1" l="1"/>
  <c r="AC354" i="1"/>
  <c r="AG354" i="1" s="1"/>
  <c r="AD354" i="1" l="1"/>
  <c r="AE354" i="1"/>
  <c r="AF354" i="1"/>
  <c r="V355" i="1"/>
  <c r="AB356" i="1"/>
  <c r="AA356" i="1"/>
  <c r="W356" i="1" l="1"/>
  <c r="AC355" i="1"/>
  <c r="AG355" i="1" s="1"/>
  <c r="AD355" i="1" l="1"/>
  <c r="AE355" i="1"/>
  <c r="AF355" i="1"/>
  <c r="V356" i="1"/>
  <c r="AA357" i="1"/>
  <c r="AB357" i="1"/>
  <c r="W357" i="1" l="1"/>
  <c r="AC356" i="1"/>
  <c r="AG356" i="1" s="1"/>
  <c r="AD356" i="1" l="1"/>
  <c r="AE356" i="1"/>
  <c r="AF356" i="1"/>
  <c r="V357" i="1"/>
  <c r="AA358" i="1"/>
  <c r="AB358" i="1"/>
  <c r="W358" i="1" l="1"/>
  <c r="AC357" i="1"/>
  <c r="AG357" i="1" s="1"/>
  <c r="AD357" i="1" l="1"/>
  <c r="AE357" i="1"/>
  <c r="AF357" i="1"/>
  <c r="V358" i="1"/>
  <c r="AB359" i="1"/>
  <c r="AA359" i="1"/>
  <c r="W359" i="1" l="1"/>
  <c r="AC358" i="1"/>
  <c r="AG358" i="1" s="1"/>
  <c r="AD358" i="1" l="1"/>
  <c r="AE358" i="1"/>
  <c r="AF358" i="1"/>
  <c r="V359" i="1"/>
  <c r="AA360" i="1"/>
  <c r="AB360" i="1"/>
  <c r="W360" i="1" l="1"/>
  <c r="AC359" i="1"/>
  <c r="AG359" i="1" s="1"/>
  <c r="AD359" i="1" l="1"/>
  <c r="AE359" i="1"/>
  <c r="AF359" i="1"/>
  <c r="V360" i="1"/>
  <c r="AA361" i="1"/>
  <c r="AB361" i="1"/>
  <c r="W361" i="1" l="1"/>
  <c r="AC360" i="1"/>
  <c r="AG360" i="1" s="1"/>
  <c r="AD360" i="1" l="1"/>
  <c r="AE360" i="1"/>
  <c r="AF360" i="1"/>
  <c r="V361" i="1"/>
  <c r="AA362" i="1"/>
  <c r="AB362" i="1"/>
  <c r="W362" i="1" l="1"/>
  <c r="AC361" i="1"/>
  <c r="AG361" i="1" s="1"/>
  <c r="AD361" i="1" l="1"/>
  <c r="AE361" i="1"/>
  <c r="AF361" i="1"/>
  <c r="V362" i="1"/>
  <c r="AB363" i="1"/>
  <c r="AA363" i="1"/>
  <c r="W363" i="1" l="1"/>
  <c r="AC362" i="1"/>
  <c r="AG362" i="1" s="1"/>
  <c r="AD362" i="1" l="1"/>
  <c r="AE362" i="1"/>
  <c r="AF362" i="1"/>
  <c r="V363" i="1"/>
  <c r="AB364" i="1"/>
  <c r="AA364" i="1"/>
  <c r="W364" i="1" l="1"/>
  <c r="AC363" i="1"/>
  <c r="AG363" i="1" s="1"/>
  <c r="AD363" i="1" l="1"/>
  <c r="AE363" i="1"/>
  <c r="AF363" i="1"/>
  <c r="V364" i="1"/>
  <c r="AA365" i="1"/>
  <c r="AB365" i="1"/>
  <c r="W365" i="1" l="1"/>
  <c r="AC364" i="1"/>
  <c r="AG364" i="1" s="1"/>
  <c r="AD364" i="1" l="1"/>
  <c r="AE364" i="1"/>
  <c r="AF364" i="1"/>
  <c r="V365" i="1"/>
  <c r="AB366" i="1"/>
  <c r="AA366" i="1"/>
  <c r="W366" i="1" l="1"/>
  <c r="AC365" i="1"/>
  <c r="AG365" i="1" s="1"/>
  <c r="AD365" i="1" l="1"/>
  <c r="AE365" i="1"/>
  <c r="AF365" i="1"/>
  <c r="V366" i="1"/>
  <c r="AB367" i="1"/>
  <c r="AA367" i="1"/>
  <c r="W367" i="1" l="1"/>
  <c r="AC366" i="1"/>
  <c r="AG366" i="1" s="1"/>
  <c r="AD366" i="1" l="1"/>
  <c r="AE366" i="1"/>
  <c r="AF366" i="1"/>
  <c r="V367" i="1"/>
  <c r="AB368" i="1"/>
  <c r="AA368" i="1"/>
  <c r="W368" i="1" l="1"/>
  <c r="AC367" i="1"/>
  <c r="AG367" i="1" s="1"/>
  <c r="AD367" i="1" l="1"/>
  <c r="AE367" i="1"/>
  <c r="AF367" i="1"/>
  <c r="V368" i="1"/>
  <c r="AB369" i="1"/>
  <c r="AA369" i="1"/>
  <c r="W369" i="1" l="1"/>
  <c r="AC368" i="1"/>
  <c r="AG368" i="1" s="1"/>
  <c r="AD368" i="1" l="1"/>
  <c r="AE368" i="1"/>
  <c r="AF368" i="1"/>
  <c r="V369" i="1"/>
  <c r="AB370" i="1"/>
  <c r="AA370" i="1"/>
  <c r="W370" i="1" l="1"/>
  <c r="AC369" i="1"/>
  <c r="AG369" i="1" s="1"/>
  <c r="AD369" i="1" l="1"/>
  <c r="AE369" i="1"/>
  <c r="AF369" i="1"/>
  <c r="V370" i="1"/>
  <c r="AB371" i="1"/>
  <c r="AA371" i="1"/>
  <c r="W371" i="1" l="1"/>
  <c r="AC370" i="1"/>
  <c r="AG370" i="1" s="1"/>
  <c r="AD370" i="1" l="1"/>
  <c r="AE370" i="1"/>
  <c r="AF370" i="1"/>
  <c r="V371" i="1"/>
  <c r="AA372" i="1"/>
  <c r="AB372" i="1"/>
  <c r="W372" i="1" l="1"/>
  <c r="AC371" i="1"/>
  <c r="AG371" i="1" s="1"/>
  <c r="AD371" i="1" l="1"/>
  <c r="AE371" i="1"/>
  <c r="AF371" i="1"/>
  <c r="V372" i="1"/>
  <c r="AB373" i="1"/>
  <c r="AA373" i="1"/>
  <c r="W373" i="1" l="1"/>
  <c r="AC372" i="1"/>
  <c r="AG372" i="1" s="1"/>
  <c r="AD372" i="1" l="1"/>
  <c r="AE372" i="1"/>
  <c r="AF372" i="1"/>
  <c r="V373" i="1"/>
  <c r="AA374" i="1"/>
  <c r="AB374" i="1"/>
  <c r="W374" i="1" l="1"/>
  <c r="AC373" i="1"/>
  <c r="AG373" i="1" s="1"/>
  <c r="AD373" i="1" l="1"/>
  <c r="AE373" i="1"/>
  <c r="AF373" i="1"/>
  <c r="V374" i="1"/>
  <c r="AB375" i="1"/>
  <c r="AA375" i="1"/>
  <c r="W375" i="1" l="1"/>
  <c r="AC374" i="1"/>
  <c r="AG374" i="1" s="1"/>
  <c r="AD374" i="1" l="1"/>
  <c r="AB376" i="1"/>
  <c r="AE374" i="1"/>
  <c r="AF374" i="1"/>
  <c r="V375" i="1"/>
  <c r="AA376" i="1"/>
  <c r="W376" i="1" l="1"/>
  <c r="AC375" i="1"/>
  <c r="AG375" i="1" s="1"/>
  <c r="AD375" i="1" l="1"/>
  <c r="AE375" i="1"/>
  <c r="AF375" i="1"/>
  <c r="V376" i="1"/>
  <c r="AB377" i="1"/>
  <c r="AA377" i="1"/>
  <c r="W377" i="1" l="1"/>
  <c r="AC376" i="1"/>
  <c r="AG376" i="1" s="1"/>
  <c r="AD376" i="1" l="1"/>
  <c r="AE376" i="1"/>
  <c r="AF376" i="1"/>
  <c r="V377" i="1"/>
  <c r="AB378" i="1"/>
  <c r="AA378" i="1"/>
  <c r="W378" i="1" l="1"/>
  <c r="AC377" i="1"/>
  <c r="AG377" i="1" s="1"/>
  <c r="AD377" i="1" l="1"/>
  <c r="AE377" i="1"/>
  <c r="AF377" i="1"/>
  <c r="V378" i="1"/>
  <c r="AB379" i="1"/>
  <c r="AA379" i="1"/>
  <c r="W379" i="1" l="1"/>
  <c r="AC378" i="1"/>
  <c r="AG378" i="1" s="1"/>
  <c r="AD378" i="1" l="1"/>
  <c r="AE378" i="1"/>
  <c r="AF378" i="1"/>
  <c r="V379" i="1"/>
  <c r="AB380" i="1"/>
  <c r="AA380" i="1"/>
  <c r="W380" i="1" l="1"/>
  <c r="AC379" i="1"/>
  <c r="AG379" i="1" s="1"/>
  <c r="AD379" i="1" l="1"/>
  <c r="AE379" i="1"/>
  <c r="AF379" i="1"/>
  <c r="V380" i="1"/>
  <c r="AB381" i="1"/>
  <c r="AA381" i="1"/>
  <c r="W381" i="1" l="1"/>
  <c r="AC380" i="1"/>
  <c r="AG380" i="1" s="1"/>
  <c r="AD380" i="1" l="1"/>
  <c r="AE380" i="1"/>
  <c r="AF380" i="1"/>
  <c r="V381" i="1"/>
  <c r="AB382" i="1"/>
  <c r="AA382" i="1"/>
  <c r="W382" i="1" l="1"/>
  <c r="AC381" i="1"/>
  <c r="AG381" i="1" s="1"/>
  <c r="AD381" i="1" l="1"/>
  <c r="AE381" i="1"/>
  <c r="AF381" i="1"/>
  <c r="V382" i="1"/>
  <c r="AA383" i="1"/>
  <c r="AB383" i="1"/>
  <c r="W383" i="1" l="1"/>
  <c r="AC382" i="1"/>
  <c r="AG382" i="1" s="1"/>
  <c r="AD382" i="1" l="1"/>
  <c r="AE382" i="1"/>
  <c r="AF382" i="1"/>
  <c r="V383" i="1"/>
  <c r="AA384" i="1"/>
  <c r="AB384" i="1"/>
  <c r="W384" i="1" l="1"/>
  <c r="AC383" i="1"/>
  <c r="AG383" i="1" s="1"/>
  <c r="AD383" i="1" l="1"/>
  <c r="AE383" i="1"/>
  <c r="AF383" i="1"/>
  <c r="V384" i="1"/>
  <c r="AA385" i="1"/>
  <c r="AB385" i="1"/>
  <c r="W385" i="1" l="1"/>
  <c r="AC384" i="1"/>
  <c r="AG384" i="1" s="1"/>
  <c r="AD384" i="1" l="1"/>
  <c r="AE384" i="1"/>
  <c r="AF384" i="1"/>
  <c r="V385" i="1"/>
  <c r="AB386" i="1"/>
  <c r="AA386" i="1"/>
  <c r="W386" i="1" l="1"/>
  <c r="AC385" i="1"/>
  <c r="AG385" i="1" s="1"/>
  <c r="AD385" i="1" l="1"/>
  <c r="AE385" i="1"/>
  <c r="AF385" i="1"/>
  <c r="V386" i="1"/>
  <c r="AB387" i="1"/>
  <c r="AA387" i="1"/>
  <c r="W387" i="1" l="1"/>
  <c r="AC386" i="1"/>
  <c r="AG386" i="1" s="1"/>
  <c r="AD386" i="1" l="1"/>
  <c r="AE386" i="1"/>
  <c r="AF386" i="1"/>
  <c r="V387" i="1"/>
  <c r="AB388" i="1"/>
  <c r="AA388" i="1"/>
  <c r="W388" i="1" l="1"/>
  <c r="AB389" i="1" s="1"/>
  <c r="AC387" i="1"/>
  <c r="AG387" i="1" s="1"/>
  <c r="AD387" i="1" l="1"/>
  <c r="AE387" i="1"/>
  <c r="AF387" i="1"/>
  <c r="V388" i="1"/>
  <c r="AA389" i="1"/>
  <c r="W389" i="1" l="1"/>
  <c r="AB390" i="1" s="1"/>
  <c r="AC388" i="1"/>
  <c r="AG388" i="1" s="1"/>
  <c r="AD388" i="1" l="1"/>
  <c r="AE388" i="1"/>
  <c r="AF388" i="1"/>
  <c r="V389" i="1"/>
  <c r="AA390" i="1"/>
  <c r="W390" i="1" l="1"/>
  <c r="AA391" i="1" s="1"/>
  <c r="AC389" i="1"/>
  <c r="AG389" i="1" s="1"/>
  <c r="AD389" i="1" l="1"/>
  <c r="AB391" i="1"/>
  <c r="AE389" i="1"/>
  <c r="AF389" i="1"/>
  <c r="V390" i="1"/>
  <c r="W391" i="1" l="1"/>
  <c r="AC390" i="1"/>
  <c r="AG390" i="1" s="1"/>
  <c r="AD390" i="1" l="1"/>
  <c r="AE390" i="1"/>
  <c r="AF390" i="1"/>
  <c r="V391" i="1"/>
  <c r="AB392" i="1"/>
  <c r="AA392" i="1"/>
  <c r="W392" i="1" l="1"/>
  <c r="AC391" i="1"/>
  <c r="AG391" i="1" s="1"/>
  <c r="AD391" i="1" l="1"/>
  <c r="AE391" i="1"/>
  <c r="AF391" i="1"/>
  <c r="V392" i="1"/>
  <c r="AB393" i="1"/>
  <c r="AA393" i="1"/>
  <c r="W393" i="1" l="1"/>
  <c r="AC392" i="1"/>
  <c r="AG392" i="1" s="1"/>
  <c r="AD392" i="1" l="1"/>
  <c r="AE392" i="1"/>
  <c r="AF392" i="1"/>
  <c r="V393" i="1"/>
  <c r="AA394" i="1"/>
  <c r="AB394" i="1"/>
  <c r="W394" i="1" l="1"/>
  <c r="AC393" i="1"/>
  <c r="AG393" i="1" s="1"/>
  <c r="AD393" i="1" l="1"/>
  <c r="AE393" i="1"/>
  <c r="AF393" i="1"/>
  <c r="V394" i="1"/>
  <c r="AB395" i="1"/>
  <c r="AA395" i="1"/>
  <c r="W395" i="1" l="1"/>
  <c r="AC394" i="1"/>
  <c r="AG394" i="1" s="1"/>
  <c r="AD394" i="1" l="1"/>
  <c r="AE394" i="1"/>
  <c r="AF394" i="1"/>
  <c r="V395" i="1"/>
  <c r="AB396" i="1"/>
  <c r="AA396" i="1"/>
  <c r="W396" i="1" l="1"/>
  <c r="AC395" i="1"/>
  <c r="AG395" i="1" s="1"/>
  <c r="AD395" i="1" l="1"/>
  <c r="AE395" i="1"/>
  <c r="AF395" i="1"/>
  <c r="V396" i="1"/>
  <c r="AB397" i="1"/>
  <c r="AA397" i="1"/>
  <c r="W397" i="1" l="1"/>
  <c r="AC396" i="1"/>
  <c r="AG396" i="1" s="1"/>
  <c r="AD396" i="1" l="1"/>
  <c r="AE396" i="1"/>
  <c r="AF396" i="1"/>
  <c r="V397" i="1"/>
  <c r="AA398" i="1"/>
  <c r="AB398" i="1"/>
  <c r="W398" i="1" l="1"/>
  <c r="AC397" i="1"/>
  <c r="AG397" i="1" s="1"/>
  <c r="AD397" i="1" l="1"/>
  <c r="AE397" i="1"/>
  <c r="AF397" i="1"/>
  <c r="V398" i="1"/>
  <c r="AB399" i="1"/>
  <c r="AA399" i="1"/>
  <c r="W399" i="1" l="1"/>
  <c r="AC398" i="1"/>
  <c r="AG398" i="1" s="1"/>
  <c r="AD398" i="1" l="1"/>
  <c r="AE398" i="1"/>
  <c r="AF398" i="1"/>
  <c r="V399" i="1"/>
  <c r="AB400" i="1"/>
  <c r="AA400" i="1"/>
  <c r="W400" i="1" l="1"/>
  <c r="AC399" i="1"/>
  <c r="AG399" i="1" s="1"/>
  <c r="AD399" i="1" l="1"/>
  <c r="AE399" i="1"/>
  <c r="AF399" i="1"/>
  <c r="V400" i="1"/>
  <c r="AB401" i="1"/>
  <c r="AA401" i="1"/>
  <c r="W401" i="1" l="1"/>
  <c r="AC400" i="1"/>
  <c r="AG400" i="1" s="1"/>
  <c r="AD400" i="1" l="1"/>
  <c r="AE400" i="1"/>
  <c r="AF400" i="1"/>
  <c r="V401" i="1"/>
  <c r="AB402" i="1"/>
  <c r="AA402" i="1"/>
  <c r="W402" i="1" l="1"/>
  <c r="AC401" i="1"/>
  <c r="AG401" i="1" s="1"/>
  <c r="AD401" i="1" l="1"/>
  <c r="AE401" i="1"/>
  <c r="AF401" i="1"/>
  <c r="V402" i="1"/>
  <c r="AB403" i="1"/>
  <c r="AA403" i="1"/>
  <c r="W403" i="1" l="1"/>
  <c r="AC402" i="1"/>
  <c r="AG402" i="1" s="1"/>
  <c r="AD402" i="1" l="1"/>
  <c r="AE402" i="1"/>
  <c r="AF402" i="1"/>
  <c r="V403" i="1"/>
  <c r="AB404" i="1"/>
  <c r="AA404" i="1"/>
  <c r="W404" i="1" l="1"/>
  <c r="AC403" i="1"/>
  <c r="AG403" i="1" s="1"/>
  <c r="AD403" i="1" l="1"/>
  <c r="AE403" i="1"/>
  <c r="AF403" i="1"/>
  <c r="V404" i="1"/>
  <c r="AB405" i="1"/>
  <c r="AA405" i="1"/>
  <c r="W405" i="1" l="1"/>
  <c r="AC404" i="1"/>
  <c r="AG404" i="1" s="1"/>
  <c r="AD404" i="1" l="1"/>
  <c r="AE404" i="1"/>
  <c r="AF404" i="1"/>
  <c r="V405" i="1"/>
  <c r="AA406" i="1"/>
  <c r="AB406" i="1"/>
  <c r="W406" i="1" l="1"/>
  <c r="AC405" i="1"/>
  <c r="AG405" i="1" s="1"/>
  <c r="AD405" i="1" l="1"/>
  <c r="AE405" i="1"/>
  <c r="AF405" i="1"/>
  <c r="V406" i="1"/>
  <c r="AB407" i="1"/>
  <c r="AA407" i="1"/>
  <c r="W407" i="1" l="1"/>
  <c r="AC406" i="1"/>
  <c r="AG406" i="1" s="1"/>
  <c r="AD406" i="1" l="1"/>
  <c r="AE406" i="1"/>
  <c r="AF406" i="1"/>
  <c r="V407" i="1"/>
  <c r="AB408" i="1"/>
  <c r="AA408" i="1"/>
  <c r="W408" i="1" l="1"/>
  <c r="AC407" i="1"/>
  <c r="AG407" i="1" s="1"/>
  <c r="AD407" i="1" l="1"/>
  <c r="AE407" i="1"/>
  <c r="AF407" i="1"/>
  <c r="V408" i="1"/>
  <c r="AA409" i="1"/>
  <c r="AB409" i="1"/>
  <c r="W409" i="1" l="1"/>
  <c r="AC408" i="1"/>
  <c r="AG408" i="1" s="1"/>
  <c r="AD408" i="1" l="1"/>
  <c r="AE408" i="1"/>
  <c r="AF408" i="1"/>
  <c r="V409" i="1"/>
  <c r="AA410" i="1"/>
  <c r="AB410" i="1"/>
  <c r="W410" i="1" l="1"/>
  <c r="AC409" i="1"/>
  <c r="AG409" i="1" s="1"/>
  <c r="AD409" i="1" l="1"/>
  <c r="AE409" i="1"/>
  <c r="AF409" i="1"/>
  <c r="V410" i="1"/>
  <c r="AB411" i="1"/>
  <c r="AA411" i="1"/>
  <c r="W411" i="1" l="1"/>
  <c r="AC410" i="1"/>
  <c r="AG410" i="1" s="1"/>
  <c r="AD410" i="1" l="1"/>
  <c r="AE410" i="1"/>
  <c r="AF410" i="1"/>
  <c r="V411" i="1"/>
  <c r="AB412" i="1"/>
  <c r="AA412" i="1"/>
  <c r="W412" i="1" l="1"/>
  <c r="AC411" i="1"/>
  <c r="AG411" i="1" s="1"/>
  <c r="AD411" i="1" l="1"/>
  <c r="AE411" i="1"/>
  <c r="AF411" i="1"/>
  <c r="V412" i="1"/>
  <c r="AB413" i="1"/>
  <c r="AA413" i="1"/>
  <c r="W413" i="1" l="1"/>
  <c r="AC412" i="1"/>
  <c r="AG412" i="1" s="1"/>
  <c r="AD412" i="1" l="1"/>
  <c r="AE412" i="1"/>
  <c r="AF412" i="1"/>
  <c r="V413" i="1"/>
  <c r="AB414" i="1"/>
  <c r="AA414" i="1"/>
  <c r="W414" i="1" l="1"/>
  <c r="AC413" i="1"/>
  <c r="AG413" i="1" s="1"/>
  <c r="AD413" i="1" l="1"/>
  <c r="AE413" i="1"/>
  <c r="AF413" i="1"/>
  <c r="V414" i="1"/>
  <c r="AA415" i="1"/>
  <c r="AB415" i="1"/>
  <c r="W415" i="1" l="1"/>
  <c r="AC414" i="1"/>
  <c r="AG414" i="1" s="1"/>
  <c r="AD414" i="1" l="1"/>
  <c r="AE414" i="1"/>
  <c r="AF414" i="1"/>
  <c r="V415" i="1"/>
  <c r="AA416" i="1"/>
  <c r="AB416" i="1"/>
  <c r="W416" i="1" l="1"/>
  <c r="AC415" i="1"/>
  <c r="AG415" i="1" s="1"/>
  <c r="AD415" i="1" l="1"/>
  <c r="AE415" i="1"/>
  <c r="AF415" i="1"/>
  <c r="V416" i="1"/>
  <c r="AA417" i="1"/>
  <c r="AB417" i="1"/>
  <c r="W417" i="1" l="1"/>
  <c r="AC416" i="1"/>
  <c r="AG416" i="1" s="1"/>
  <c r="AD416" i="1" l="1"/>
  <c r="AE416" i="1"/>
  <c r="AF416" i="1"/>
  <c r="V417" i="1"/>
  <c r="AA418" i="1"/>
  <c r="AB418" i="1"/>
  <c r="W418" i="1" l="1"/>
  <c r="AC417" i="1"/>
  <c r="AG417" i="1" s="1"/>
  <c r="AD417" i="1" l="1"/>
  <c r="AE417" i="1"/>
  <c r="AF417" i="1"/>
  <c r="V418" i="1"/>
  <c r="AB419" i="1"/>
  <c r="AA419" i="1"/>
  <c r="W419" i="1" l="1"/>
  <c r="AC418" i="1"/>
  <c r="AG418" i="1" s="1"/>
  <c r="AD418" i="1" l="1"/>
  <c r="AE418" i="1"/>
  <c r="AF418" i="1"/>
  <c r="V419" i="1"/>
  <c r="AB420" i="1"/>
  <c r="AA420" i="1"/>
  <c r="W420" i="1" l="1"/>
  <c r="AC419" i="1"/>
  <c r="AG419" i="1" s="1"/>
  <c r="AD419" i="1" l="1"/>
  <c r="AE419" i="1"/>
  <c r="AF419" i="1"/>
  <c r="V420" i="1"/>
  <c r="AB421" i="1"/>
  <c r="AA421" i="1"/>
  <c r="W421" i="1" l="1"/>
  <c r="AC420" i="1"/>
  <c r="AG420" i="1" s="1"/>
  <c r="AD420" i="1" l="1"/>
  <c r="AE420" i="1"/>
  <c r="AF420" i="1"/>
  <c r="V421" i="1"/>
  <c r="AB422" i="1"/>
  <c r="AA422" i="1"/>
  <c r="W422" i="1" l="1"/>
  <c r="AC421" i="1"/>
  <c r="AG421" i="1" s="1"/>
  <c r="AD421" i="1" l="1"/>
  <c r="AE421" i="1"/>
  <c r="AF421" i="1"/>
  <c r="V422" i="1"/>
  <c r="AB423" i="1"/>
  <c r="AA423" i="1"/>
  <c r="W423" i="1" l="1"/>
  <c r="AC422" i="1"/>
  <c r="AG422" i="1" s="1"/>
  <c r="AD422" i="1" l="1"/>
  <c r="AE422" i="1"/>
  <c r="AF422" i="1"/>
  <c r="V423" i="1"/>
  <c r="AA424" i="1"/>
  <c r="AB424" i="1"/>
  <c r="W424" i="1" l="1"/>
  <c r="AC423" i="1"/>
  <c r="AG423" i="1" s="1"/>
  <c r="AD423" i="1" l="1"/>
  <c r="AE423" i="1"/>
  <c r="AF423" i="1"/>
  <c r="V424" i="1"/>
  <c r="AB425" i="1"/>
  <c r="AA425" i="1"/>
  <c r="W425" i="1" l="1"/>
  <c r="AC424" i="1"/>
  <c r="AG424" i="1" s="1"/>
  <c r="AD424" i="1" l="1"/>
  <c r="AE424" i="1"/>
  <c r="AF424" i="1"/>
  <c r="V425" i="1"/>
  <c r="AA426" i="1"/>
  <c r="AB426" i="1"/>
  <c r="W426" i="1" l="1"/>
  <c r="AC425" i="1"/>
  <c r="AG425" i="1" s="1"/>
  <c r="AD425" i="1" l="1"/>
  <c r="AE425" i="1"/>
  <c r="AF425" i="1"/>
  <c r="V426" i="1"/>
  <c r="AA427" i="1"/>
  <c r="AB427" i="1"/>
  <c r="W427" i="1" l="1"/>
  <c r="AC426" i="1"/>
  <c r="AG426" i="1" s="1"/>
  <c r="AD426" i="1" l="1"/>
  <c r="AE426" i="1"/>
  <c r="AF426" i="1"/>
  <c r="V427" i="1"/>
  <c r="AB428" i="1"/>
  <c r="AA428" i="1"/>
  <c r="W428" i="1" l="1"/>
  <c r="AC427" i="1"/>
  <c r="AG427" i="1" s="1"/>
  <c r="AD427" i="1" l="1"/>
  <c r="AE427" i="1"/>
  <c r="AF427" i="1"/>
  <c r="V428" i="1"/>
  <c r="AA429" i="1"/>
  <c r="AB429" i="1"/>
  <c r="W429" i="1" l="1"/>
  <c r="AC428" i="1"/>
  <c r="AG428" i="1" s="1"/>
  <c r="AD428" i="1" l="1"/>
  <c r="AE428" i="1"/>
  <c r="AF428" i="1"/>
  <c r="V429" i="1"/>
  <c r="AA430" i="1"/>
  <c r="AB430" i="1"/>
  <c r="W430" i="1" l="1"/>
  <c r="AC429" i="1"/>
  <c r="AG429" i="1" s="1"/>
  <c r="AD429" i="1" l="1"/>
  <c r="AE429" i="1"/>
  <c r="AF429" i="1"/>
  <c r="V430" i="1"/>
  <c r="AA431" i="1"/>
  <c r="AB431" i="1"/>
  <c r="W431" i="1" l="1"/>
  <c r="AC430" i="1"/>
  <c r="AG430" i="1" s="1"/>
  <c r="AD430" i="1" l="1"/>
  <c r="AE430" i="1"/>
  <c r="AF430" i="1"/>
  <c r="V431" i="1"/>
  <c r="AB432" i="1"/>
  <c r="AA432" i="1"/>
  <c r="W432" i="1" l="1"/>
  <c r="AC431" i="1"/>
  <c r="AG431" i="1" s="1"/>
  <c r="AD431" i="1" l="1"/>
  <c r="AE431" i="1"/>
  <c r="AF431" i="1"/>
  <c r="V432" i="1"/>
  <c r="AB433" i="1"/>
  <c r="AA433" i="1"/>
  <c r="W433" i="1" l="1"/>
  <c r="AC432" i="1"/>
  <c r="AG432" i="1" s="1"/>
  <c r="AD432" i="1" l="1"/>
  <c r="AE432" i="1"/>
  <c r="AF432" i="1"/>
  <c r="V433" i="1"/>
  <c r="AA434" i="1"/>
  <c r="AB434" i="1"/>
  <c r="W434" i="1" l="1"/>
  <c r="AC433" i="1"/>
  <c r="AG433" i="1" s="1"/>
  <c r="AD433" i="1" l="1"/>
  <c r="AE433" i="1"/>
  <c r="AF433" i="1"/>
  <c r="V434" i="1"/>
  <c r="AA435" i="1"/>
  <c r="AB435" i="1"/>
  <c r="W435" i="1" l="1"/>
  <c r="AC434" i="1"/>
  <c r="AG434" i="1" s="1"/>
  <c r="AD434" i="1" l="1"/>
  <c r="AE434" i="1"/>
  <c r="AF434" i="1"/>
  <c r="V435" i="1"/>
  <c r="AA436" i="1"/>
  <c r="AB436" i="1"/>
  <c r="W436" i="1" l="1"/>
  <c r="AC435" i="1"/>
  <c r="AG435" i="1" s="1"/>
  <c r="AD435" i="1" l="1"/>
  <c r="AE435" i="1"/>
  <c r="AF435" i="1"/>
  <c r="V436" i="1"/>
  <c r="AA437" i="1"/>
  <c r="AB437" i="1"/>
  <c r="W437" i="1" l="1"/>
  <c r="AC436" i="1"/>
  <c r="AG436" i="1" s="1"/>
  <c r="AD436" i="1" l="1"/>
  <c r="AE436" i="1"/>
  <c r="AF436" i="1"/>
  <c r="V437" i="1"/>
  <c r="AB438" i="1"/>
  <c r="AA438" i="1"/>
  <c r="W438" i="1" l="1"/>
  <c r="AC437" i="1"/>
  <c r="AG437" i="1" s="1"/>
  <c r="AD437" i="1" l="1"/>
  <c r="AE437" i="1"/>
  <c r="AF437" i="1"/>
  <c r="V438" i="1"/>
  <c r="AA439" i="1"/>
  <c r="AB439" i="1"/>
  <c r="W439" i="1" l="1"/>
  <c r="AC438" i="1"/>
  <c r="AG438" i="1" s="1"/>
  <c r="AD438" i="1" l="1"/>
  <c r="AE438" i="1"/>
  <c r="AF438" i="1"/>
  <c r="V439" i="1"/>
  <c r="AA440" i="1"/>
  <c r="AB440" i="1"/>
  <c r="W440" i="1" l="1"/>
  <c r="AC439" i="1"/>
  <c r="AG439" i="1" s="1"/>
  <c r="AD439" i="1" l="1"/>
  <c r="AE439" i="1"/>
  <c r="AF439" i="1"/>
  <c r="V440" i="1"/>
  <c r="AA441" i="1"/>
  <c r="AB441" i="1"/>
  <c r="W441" i="1" l="1"/>
  <c r="AC440" i="1"/>
  <c r="AG440" i="1" s="1"/>
  <c r="AD440" i="1" l="1"/>
  <c r="AE440" i="1"/>
  <c r="AF440" i="1"/>
  <c r="V441" i="1"/>
  <c r="AA442" i="1"/>
  <c r="AB442" i="1"/>
  <c r="W442" i="1" l="1"/>
  <c r="AC441" i="1"/>
  <c r="AG441" i="1" s="1"/>
  <c r="AD441" i="1" l="1"/>
  <c r="AE441" i="1"/>
  <c r="AF441" i="1"/>
  <c r="V442" i="1"/>
  <c r="AA443" i="1"/>
  <c r="AB443" i="1"/>
  <c r="W443" i="1" l="1"/>
  <c r="AC442" i="1"/>
  <c r="AG442" i="1" s="1"/>
  <c r="AD442" i="1" l="1"/>
  <c r="AE442" i="1"/>
  <c r="AF442" i="1"/>
  <c r="V443" i="1"/>
  <c r="AB444" i="1"/>
  <c r="AA444" i="1"/>
  <c r="W444" i="1" l="1"/>
  <c r="AC443" i="1"/>
  <c r="AG443" i="1" s="1"/>
  <c r="AD443" i="1" l="1"/>
  <c r="AE443" i="1"/>
  <c r="AF443" i="1"/>
  <c r="V444" i="1"/>
  <c r="AA445" i="1"/>
  <c r="AB445" i="1"/>
  <c r="W445" i="1" l="1"/>
  <c r="AC444" i="1"/>
  <c r="AG444" i="1" s="1"/>
  <c r="AD444" i="1" l="1"/>
  <c r="AE444" i="1"/>
  <c r="AF444" i="1"/>
  <c r="V445" i="1"/>
  <c r="AA446" i="1"/>
  <c r="AB446" i="1"/>
  <c r="W446" i="1" l="1"/>
  <c r="AC445" i="1"/>
  <c r="AG445" i="1" s="1"/>
  <c r="AD445" i="1" l="1"/>
  <c r="AE445" i="1"/>
  <c r="AF445" i="1"/>
  <c r="V446" i="1"/>
  <c r="AA447" i="1"/>
  <c r="AB447" i="1"/>
  <c r="W447" i="1" l="1"/>
  <c r="AC446" i="1"/>
  <c r="AG446" i="1" s="1"/>
  <c r="AD446" i="1" l="1"/>
  <c r="AE446" i="1"/>
  <c r="AF446" i="1"/>
  <c r="V447" i="1"/>
  <c r="AA448" i="1"/>
  <c r="AB448" i="1"/>
  <c r="W448" i="1" l="1"/>
  <c r="AC447" i="1"/>
  <c r="AG447" i="1" s="1"/>
  <c r="AD447" i="1" l="1"/>
  <c r="AE447" i="1"/>
  <c r="AF447" i="1"/>
  <c r="V448" i="1"/>
  <c r="AB449" i="1"/>
  <c r="AA449" i="1"/>
  <c r="W449" i="1" l="1"/>
  <c r="AC448" i="1"/>
  <c r="AG448" i="1" s="1"/>
  <c r="AD448" i="1" l="1"/>
  <c r="AE448" i="1"/>
  <c r="AF448" i="1"/>
  <c r="V449" i="1"/>
  <c r="AB450" i="1"/>
  <c r="AA450" i="1"/>
  <c r="W450" i="1" l="1"/>
  <c r="AC449" i="1"/>
  <c r="AG449" i="1" s="1"/>
  <c r="AD449" i="1" l="1"/>
  <c r="AE449" i="1"/>
  <c r="AF449" i="1"/>
  <c r="V450" i="1"/>
  <c r="AA451" i="1"/>
  <c r="AB451" i="1"/>
  <c r="W451" i="1" l="1"/>
  <c r="AC450" i="1"/>
  <c r="AG450" i="1" s="1"/>
  <c r="AD450" i="1" l="1"/>
  <c r="AE450" i="1"/>
  <c r="AF450" i="1"/>
  <c r="V451" i="1"/>
  <c r="AB452" i="1"/>
  <c r="AA452" i="1"/>
  <c r="W452" i="1" l="1"/>
  <c r="AC451" i="1"/>
  <c r="AG451" i="1" s="1"/>
  <c r="AD451" i="1" l="1"/>
  <c r="AE451" i="1"/>
  <c r="AF451" i="1"/>
  <c r="V452" i="1"/>
  <c r="AA453" i="1"/>
  <c r="AB453" i="1"/>
  <c r="W453" i="1" l="1"/>
  <c r="AC452" i="1"/>
  <c r="AG452" i="1" s="1"/>
  <c r="AD452" i="1" l="1"/>
  <c r="AE452" i="1"/>
  <c r="AF452" i="1"/>
  <c r="V453" i="1"/>
  <c r="AB454" i="1"/>
  <c r="AA454" i="1"/>
  <c r="W454" i="1" l="1"/>
  <c r="AC453" i="1"/>
  <c r="AG453" i="1" s="1"/>
  <c r="AD453" i="1" l="1"/>
  <c r="AE453" i="1"/>
  <c r="AF453" i="1"/>
  <c r="V454" i="1"/>
  <c r="AB455" i="1"/>
  <c r="AA455" i="1"/>
  <c r="W455" i="1" l="1"/>
  <c r="AC454" i="1"/>
  <c r="AG454" i="1" s="1"/>
  <c r="AD454" i="1" l="1"/>
  <c r="AE454" i="1"/>
  <c r="AF454" i="1"/>
  <c r="V455" i="1"/>
  <c r="AA456" i="1"/>
  <c r="AB456" i="1"/>
  <c r="W456" i="1" l="1"/>
  <c r="AC455" i="1"/>
  <c r="AG455" i="1" s="1"/>
  <c r="AD455" i="1" l="1"/>
  <c r="AE455" i="1"/>
  <c r="AF455" i="1"/>
  <c r="V456" i="1"/>
  <c r="AA457" i="1"/>
  <c r="AB457" i="1"/>
  <c r="W457" i="1" l="1"/>
  <c r="AC456" i="1"/>
  <c r="AG456" i="1" s="1"/>
  <c r="AD456" i="1" l="1"/>
  <c r="AE456" i="1"/>
  <c r="AF456" i="1"/>
  <c r="V457" i="1"/>
  <c r="AA458" i="1"/>
  <c r="AB458" i="1"/>
  <c r="W458" i="1" l="1"/>
  <c r="AC457" i="1"/>
  <c r="AG457" i="1" s="1"/>
  <c r="AD457" i="1" l="1"/>
  <c r="AE457" i="1"/>
  <c r="AF457" i="1"/>
  <c r="V458" i="1"/>
  <c r="AA459" i="1"/>
  <c r="AB459" i="1"/>
  <c r="W459" i="1" l="1"/>
  <c r="AC458" i="1"/>
  <c r="AG458" i="1" s="1"/>
  <c r="AD458" i="1" l="1"/>
  <c r="AE458" i="1"/>
  <c r="AF458" i="1"/>
  <c r="V459" i="1"/>
  <c r="AA460" i="1"/>
  <c r="AB460" i="1"/>
  <c r="W460" i="1" l="1"/>
  <c r="AC459" i="1"/>
  <c r="AG459" i="1" s="1"/>
  <c r="AD459" i="1" l="1"/>
  <c r="AE459" i="1"/>
  <c r="AF459" i="1"/>
  <c r="V460" i="1"/>
  <c r="AB461" i="1"/>
  <c r="AA461" i="1"/>
  <c r="W461" i="1" l="1"/>
  <c r="AC460" i="1"/>
  <c r="AG460" i="1" s="1"/>
  <c r="AD460" i="1" l="1"/>
  <c r="AE460" i="1"/>
  <c r="AF460" i="1"/>
  <c r="V461" i="1"/>
  <c r="AA462" i="1"/>
  <c r="AB462" i="1"/>
  <c r="W462" i="1" l="1"/>
  <c r="AC461" i="1"/>
  <c r="AG461" i="1" s="1"/>
  <c r="AD461" i="1" l="1"/>
  <c r="AE461" i="1"/>
  <c r="AF461" i="1"/>
  <c r="V462" i="1"/>
  <c r="AB463" i="1"/>
  <c r="AA463" i="1"/>
  <c r="W463" i="1" l="1"/>
  <c r="AC462" i="1"/>
  <c r="AG462" i="1" s="1"/>
  <c r="AD462" i="1" l="1"/>
  <c r="AE462" i="1"/>
  <c r="AF462" i="1"/>
  <c r="V463" i="1"/>
  <c r="AA464" i="1"/>
  <c r="AB464" i="1"/>
  <c r="W464" i="1" l="1"/>
  <c r="AC463" i="1"/>
  <c r="AG463" i="1" s="1"/>
  <c r="AD463" i="1" l="1"/>
  <c r="AE463" i="1"/>
  <c r="AF463" i="1"/>
  <c r="V464" i="1"/>
  <c r="AA465" i="1"/>
  <c r="AB465" i="1"/>
  <c r="W465" i="1" l="1"/>
  <c r="AC464" i="1"/>
  <c r="AG464" i="1" s="1"/>
  <c r="AD464" i="1" l="1"/>
  <c r="AE464" i="1"/>
  <c r="AF464" i="1"/>
  <c r="V465" i="1"/>
  <c r="AA466" i="1"/>
  <c r="AB466" i="1"/>
  <c r="W466" i="1" l="1"/>
  <c r="AC465" i="1"/>
  <c r="AG465" i="1" s="1"/>
  <c r="AD465" i="1" l="1"/>
  <c r="AE465" i="1"/>
  <c r="AF465" i="1"/>
  <c r="V466" i="1"/>
  <c r="AA467" i="1"/>
  <c r="AB467" i="1"/>
  <c r="W467" i="1" l="1"/>
  <c r="AC466" i="1"/>
  <c r="AG466" i="1" s="1"/>
  <c r="AD466" i="1" l="1"/>
  <c r="AE466" i="1"/>
  <c r="AF466" i="1"/>
  <c r="V467" i="1"/>
  <c r="AA468" i="1"/>
  <c r="AB468" i="1"/>
  <c r="W468" i="1" l="1"/>
  <c r="AC467" i="1"/>
  <c r="AG467" i="1" s="1"/>
  <c r="AD467" i="1" l="1"/>
  <c r="AE467" i="1"/>
  <c r="AF467" i="1"/>
  <c r="V468" i="1"/>
  <c r="AB469" i="1"/>
  <c r="AA469" i="1"/>
  <c r="W469" i="1" l="1"/>
  <c r="AC468" i="1"/>
  <c r="AG468" i="1" s="1"/>
  <c r="AD468" i="1" l="1"/>
  <c r="AE468" i="1"/>
  <c r="AF468" i="1"/>
  <c r="V469" i="1"/>
  <c r="AB470" i="1"/>
  <c r="AA470" i="1"/>
  <c r="W470" i="1" l="1"/>
  <c r="AC469" i="1"/>
  <c r="AG469" i="1" s="1"/>
  <c r="AD469" i="1" l="1"/>
  <c r="AE469" i="1"/>
  <c r="AF469" i="1"/>
  <c r="V470" i="1"/>
  <c r="AB471" i="1"/>
  <c r="AA471" i="1"/>
  <c r="W471" i="1" l="1"/>
  <c r="AC470" i="1"/>
  <c r="AG470" i="1" s="1"/>
  <c r="AD470" i="1" l="1"/>
  <c r="AE470" i="1"/>
  <c r="AF470" i="1"/>
  <c r="V471" i="1"/>
  <c r="AB472" i="1"/>
  <c r="AA472" i="1"/>
  <c r="W472" i="1" l="1"/>
  <c r="AC471" i="1"/>
  <c r="AG471" i="1" s="1"/>
  <c r="AD471" i="1" l="1"/>
  <c r="AE471" i="1"/>
  <c r="AF471" i="1"/>
  <c r="V472" i="1"/>
  <c r="AA473" i="1"/>
  <c r="AB473" i="1"/>
  <c r="W473" i="1" l="1"/>
  <c r="AC472" i="1"/>
  <c r="AG472" i="1" s="1"/>
  <c r="AD472" i="1" l="1"/>
  <c r="AE472" i="1"/>
  <c r="AF472" i="1"/>
  <c r="V473" i="1"/>
  <c r="AA474" i="1"/>
  <c r="AB474" i="1"/>
  <c r="W474" i="1" l="1"/>
  <c r="AC473" i="1"/>
  <c r="AG473" i="1" s="1"/>
  <c r="AD473" i="1" l="1"/>
  <c r="AE473" i="1"/>
  <c r="AF473" i="1"/>
  <c r="V474" i="1"/>
  <c r="AA475" i="1"/>
  <c r="AB475" i="1"/>
  <c r="W475" i="1" l="1"/>
  <c r="AC474" i="1"/>
  <c r="AG474" i="1" s="1"/>
  <c r="AD474" i="1" l="1"/>
  <c r="AE474" i="1"/>
  <c r="AF474" i="1"/>
  <c r="V475" i="1"/>
  <c r="AA476" i="1"/>
  <c r="AB476" i="1"/>
  <c r="W476" i="1" l="1"/>
  <c r="AC475" i="1"/>
  <c r="AG475" i="1" s="1"/>
  <c r="AD475" i="1" l="1"/>
  <c r="AE475" i="1"/>
  <c r="AF475" i="1"/>
  <c r="V476" i="1"/>
  <c r="AA477" i="1"/>
  <c r="AB477" i="1"/>
  <c r="W477" i="1" l="1"/>
  <c r="AC476" i="1"/>
  <c r="AG476" i="1" s="1"/>
  <c r="AD476" i="1" l="1"/>
  <c r="AE476" i="1"/>
  <c r="AF476" i="1"/>
  <c r="V477" i="1"/>
  <c r="AA478" i="1"/>
  <c r="AB478" i="1"/>
  <c r="W478" i="1" l="1"/>
  <c r="AC477" i="1"/>
  <c r="AG477" i="1" s="1"/>
  <c r="AD477" i="1" l="1"/>
  <c r="AE477" i="1"/>
  <c r="AF477" i="1"/>
  <c r="V478" i="1"/>
  <c r="AA479" i="1"/>
  <c r="AB479" i="1"/>
  <c r="W479" i="1" l="1"/>
  <c r="AC478" i="1"/>
  <c r="AG478" i="1" s="1"/>
  <c r="AD478" i="1" l="1"/>
  <c r="AE478" i="1"/>
  <c r="AF478" i="1"/>
  <c r="V479" i="1"/>
  <c r="AA480" i="1"/>
  <c r="AB480" i="1"/>
  <c r="W480" i="1" l="1"/>
  <c r="AC479" i="1"/>
  <c r="AG479" i="1" s="1"/>
  <c r="AD479" i="1" l="1"/>
  <c r="AE479" i="1"/>
  <c r="AF479" i="1"/>
  <c r="V480" i="1"/>
  <c r="AA481" i="1"/>
  <c r="AB481" i="1"/>
  <c r="W481" i="1" l="1"/>
  <c r="AC480" i="1"/>
  <c r="AG480" i="1" s="1"/>
  <c r="AD480" i="1" l="1"/>
  <c r="AE480" i="1"/>
  <c r="AF480" i="1"/>
  <c r="V481" i="1"/>
  <c r="AB482" i="1"/>
  <c r="AA482" i="1"/>
  <c r="W482" i="1" l="1"/>
  <c r="AC481" i="1"/>
  <c r="AG481" i="1" s="1"/>
  <c r="AD481" i="1" l="1"/>
  <c r="AE481" i="1"/>
  <c r="V482" i="1"/>
  <c r="AB483" i="1"/>
  <c r="AF481" i="1"/>
  <c r="AA483" i="1"/>
  <c r="W483" i="1" l="1"/>
  <c r="AC482" i="1"/>
  <c r="AG482" i="1" s="1"/>
  <c r="AD482" i="1" l="1"/>
  <c r="AE482" i="1"/>
  <c r="AF482" i="1"/>
  <c r="V483" i="1"/>
  <c r="AB484" i="1"/>
  <c r="AA484" i="1"/>
  <c r="W484" i="1" l="1"/>
  <c r="AC483" i="1"/>
  <c r="AG483" i="1" s="1"/>
  <c r="AD483" i="1" l="1"/>
  <c r="AE483" i="1"/>
  <c r="AF483" i="1"/>
  <c r="V484" i="1"/>
  <c r="AB485" i="1"/>
  <c r="AA485" i="1"/>
  <c r="W485" i="1" l="1"/>
  <c r="AC484" i="1"/>
  <c r="AG484" i="1" s="1"/>
  <c r="AD484" i="1" l="1"/>
  <c r="AE484" i="1"/>
  <c r="AF484" i="1"/>
  <c r="V485" i="1"/>
  <c r="AA486" i="1"/>
  <c r="AB486" i="1"/>
  <c r="W486" i="1" l="1"/>
  <c r="AC485" i="1"/>
  <c r="AG485" i="1" s="1"/>
  <c r="AD485" i="1" l="1"/>
  <c r="AE485" i="1"/>
  <c r="AF485" i="1"/>
  <c r="V486" i="1"/>
  <c r="AC486" i="1" l="1"/>
  <c r="AG486" i="1" s="1"/>
  <c r="AD486" i="1" l="1"/>
  <c r="O39" i="1" s="1"/>
  <c r="AE486" i="1"/>
  <c r="O38" i="1" s="1"/>
  <c r="AF4" i="15" s="1"/>
  <c r="AF486" i="1"/>
  <c r="O37" i="1" s="1"/>
  <c r="O36" i="1"/>
  <c r="AK4" i="15" l="1"/>
  <c r="AD4" i="15"/>
  <c r="AE4" i="15"/>
  <c r="AO4" i="15" l="1"/>
  <c r="AM4" i="15"/>
  <c r="AN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U5" authorId="0" shapeId="0" xr:uid="{DB01EF31-A2B1-3F4F-BFF7-FFBA420DA98D}">
      <text>
        <r>
          <rPr>
            <b/>
            <sz val="10"/>
            <color rgb="FF000000"/>
            <rFont val="Tahoma"/>
            <family val="2"/>
          </rPr>
          <t>Microsoft Office User:</t>
        </r>
        <r>
          <rPr>
            <sz val="10"/>
            <color rgb="FF000000"/>
            <rFont val="Tahoma"/>
            <family val="2"/>
          </rPr>
          <t xml:space="preserve">
</t>
        </r>
        <r>
          <rPr>
            <sz val="10"/>
            <color rgb="FF000000"/>
            <rFont val="Tahoma"/>
            <family val="2"/>
          </rPr>
          <t>This is the hazard function - probability of moving from PFS to progressed at time t ie. Probaility of 'failure' or 'event' happening at time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U5" authorId="0" shapeId="0" xr:uid="{A1EDFC7D-38A1-4B43-B3DC-0D187AA50F63}">
      <text>
        <r>
          <rPr>
            <b/>
            <sz val="10"/>
            <color rgb="FF000000"/>
            <rFont val="Tahoma"/>
            <family val="2"/>
          </rPr>
          <t>Microsoft Office User:</t>
        </r>
        <r>
          <rPr>
            <sz val="10"/>
            <color rgb="FF000000"/>
            <rFont val="Tahoma"/>
            <family val="2"/>
          </rPr>
          <t xml:space="preserve">
This is the hazard function - probability of moving from PFS to progressed at time t ie. Probaility of 'failure' or 'event' happening at time 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tc={15A8186C-BD32-1F4F-B5E0-23F1DBB023DB}</author>
  </authors>
  <commentList>
    <comment ref="K2" authorId="0" shapeId="0" xr:uid="{15A8186C-BD32-1F4F-B5E0-23F1DBB023DB}">
      <text>
        <r>
          <rPr>
            <sz val="11"/>
            <color theme="1"/>
            <rFont val="等线"/>
            <family val="2"/>
            <scheme val="minor"/>
          </rPr>
          <t>[Threaded comment]
Your version of Excel allows you to read this threaded comment; however, any edits to it will get removed if the file is opened in a newer version of Excel. Learn more: https://go.microsoft.com/fwlink/?linkid=870924
Comment:
    Sorry I forgot last time we discussed this, but do we need to know the extra cost of each treatment-related adverse event? I've seen other articles that take this into account.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tc={BF969F20-5D19-49B7-86A9-6A942E931974}</author>
  </authors>
  <commentList>
    <comment ref="K2" authorId="0" shapeId="0" xr:uid="{0408E9F6-F96C-4229-BFE1-53C7CDBCBB2B}">
      <text>
        <r>
          <rPr>
            <sz val="11"/>
            <color theme="1"/>
            <rFont val="等线"/>
            <family val="2"/>
            <scheme val="minor"/>
          </rPr>
          <t>[Threaded comment]
Your version of Excel allows you to read this threaded comment; however, any edits to it will get removed if the file is opened in a newer version of Excel. Learn more: https://go.microsoft.com/fwlink/?linkid=870924
Comment:
    Sorry I forgot last time we discussed this, but do we need to know the extra cost of each treatment-related adverse event? I've seen other articles that take this into account.</t>
        </r>
      </text>
    </comment>
  </commentList>
</comments>
</file>

<file path=xl/sharedStrings.xml><?xml version="1.0" encoding="utf-8"?>
<sst xmlns="http://schemas.openxmlformats.org/spreadsheetml/2006/main" count="574" uniqueCount="294">
  <si>
    <t>TYPE</t>
    <phoneticPr fontId="6" type="noConversion"/>
  </si>
  <si>
    <t>PARAMETER</t>
  </si>
  <si>
    <t>Other</t>
    <phoneticPr fontId="6" type="noConversion"/>
  </si>
  <si>
    <t>cohortSize</t>
    <phoneticPr fontId="6" type="noConversion"/>
  </si>
  <si>
    <t>rdis_Month</t>
    <phoneticPr fontId="6" type="noConversion"/>
  </si>
  <si>
    <t>transition probability</t>
    <phoneticPr fontId="6" type="noConversion"/>
  </si>
  <si>
    <t>tpPFS2D</t>
    <phoneticPr fontId="6" type="noConversion"/>
  </si>
  <si>
    <t>tpP2D</t>
    <phoneticPr fontId="6" type="noConversion"/>
  </si>
  <si>
    <t>lambda_capi</t>
  </si>
  <si>
    <t>gamma_capi</t>
  </si>
  <si>
    <t>lambda_pacl</t>
  </si>
  <si>
    <t>gamma_pacl</t>
  </si>
  <si>
    <t>Utility</t>
    <phoneticPr fontId="6" type="noConversion"/>
  </si>
  <si>
    <t>uS</t>
    <phoneticPr fontId="6" type="noConversion"/>
  </si>
  <si>
    <t>uP</t>
    <phoneticPr fontId="6" type="noConversion"/>
  </si>
  <si>
    <t>Adverse Event</t>
    <phoneticPr fontId="6" type="noConversion"/>
  </si>
  <si>
    <t>duAE1_CAPI</t>
    <phoneticPr fontId="6" type="noConversion"/>
  </si>
  <si>
    <t>duAE2_CAPI</t>
  </si>
  <si>
    <t>duAE3_CAPI</t>
  </si>
  <si>
    <t>duAE1_PALB</t>
    <phoneticPr fontId="6" type="noConversion"/>
  </si>
  <si>
    <t>duAE2_PALB</t>
  </si>
  <si>
    <t>duAE3_PALB</t>
  </si>
  <si>
    <t>fAE1_CAPI</t>
    <phoneticPr fontId="6" type="noConversion"/>
  </si>
  <si>
    <t>fAE2_CAPI</t>
  </si>
  <si>
    <t>fAE3_CAPI</t>
  </si>
  <si>
    <t>fAE1_PALB</t>
    <phoneticPr fontId="6" type="noConversion"/>
  </si>
  <si>
    <t>fAE2_PALB</t>
  </si>
  <si>
    <t>fAE3_PALB</t>
  </si>
  <si>
    <t>Cost</t>
    <phoneticPr fontId="6" type="noConversion"/>
  </si>
  <si>
    <t>cPFS_CAPI_1st</t>
  </si>
  <si>
    <t>cPFS_CAPI_after</t>
  </si>
  <si>
    <t>cPFS_PALB_1st</t>
  </si>
  <si>
    <t>cPFS_PALB_after</t>
  </si>
  <si>
    <t>cP</t>
    <phoneticPr fontId="6" type="noConversion"/>
  </si>
  <si>
    <t>CAPI Markov model</t>
    <phoneticPr fontId="6" type="noConversion"/>
  </si>
  <si>
    <t>PFS</t>
    <phoneticPr fontId="6" type="noConversion"/>
  </si>
  <si>
    <t>Markov cycle</t>
  </si>
  <si>
    <t>pPFSpg</t>
  </si>
  <si>
    <t>PFS_TOTAL</t>
    <phoneticPr fontId="6" type="noConversion"/>
  </si>
  <si>
    <t>PFS+noAE</t>
    <phoneticPr fontId="6" type="noConversion"/>
  </si>
  <si>
    <t>PFS+AE1</t>
    <phoneticPr fontId="6" type="noConversion"/>
  </si>
  <si>
    <t>PFS+AE2</t>
  </si>
  <si>
    <t>PFS+AE3</t>
  </si>
  <si>
    <t>Progressed</t>
  </si>
  <si>
    <t>Dead</t>
  </si>
  <si>
    <t>Total</t>
  </si>
  <si>
    <t>LY</t>
    <phoneticPr fontId="6" type="noConversion"/>
  </si>
  <si>
    <t>QALY_noAEs</t>
    <phoneticPr fontId="6" type="noConversion"/>
  </si>
  <si>
    <t>QALY_AEs</t>
    <phoneticPr fontId="6" type="noConversion"/>
  </si>
  <si>
    <t>Weibull survivor function S(t)</t>
  </si>
  <si>
    <t>KM curve time</t>
  </si>
  <si>
    <t>KM values</t>
  </si>
  <si>
    <t>Markov matrix</t>
  </si>
  <si>
    <t>States</t>
  </si>
  <si>
    <t>Probability</t>
  </si>
  <si>
    <t>Health state</t>
  </si>
  <si>
    <t>PFS</t>
  </si>
  <si>
    <t xml:space="preserve"> -&gt;</t>
  </si>
  <si>
    <t>1 - (tpPFS2D + pPFSpg (t))</t>
    <phoneticPr fontId="6" type="noConversion"/>
  </si>
  <si>
    <t>pPFSpg (t)</t>
  </si>
  <si>
    <t>Sick state</t>
  </si>
  <si>
    <t>1-tpP2D</t>
    <phoneticPr fontId="6" type="noConversion"/>
  </si>
  <si>
    <t>Dead state</t>
  </si>
  <si>
    <t xml:space="preserve">Dead   </t>
  </si>
  <si>
    <t xml:space="preserve"> -&gt; </t>
  </si>
  <si>
    <t xml:space="preserve">pPFSpg (t) is based on the Weibull curve as a function of time. </t>
  </si>
  <si>
    <t>Parameters of Weibull distribution calculated from STATA</t>
  </si>
  <si>
    <t>lambda_capi</t>
    <phoneticPr fontId="6" type="noConversion"/>
  </si>
  <si>
    <t>gamma_capi</t>
    <phoneticPr fontId="6" type="noConversion"/>
  </si>
  <si>
    <t>QALY_AEs_CAPI</t>
    <phoneticPr fontId="6" type="noConversion"/>
  </si>
  <si>
    <t>QALY_noAEs_CAPI</t>
    <phoneticPr fontId="6" type="noConversion"/>
  </si>
  <si>
    <t>LY_CAPI</t>
    <phoneticPr fontId="6" type="noConversion"/>
  </si>
  <si>
    <t>COST_CAPI</t>
    <phoneticPr fontId="6" type="noConversion"/>
  </si>
  <si>
    <t>PACL Markov model</t>
    <phoneticPr fontId="6" type="noConversion"/>
  </si>
  <si>
    <t>QALY_noAES</t>
    <phoneticPr fontId="6" type="noConversion"/>
  </si>
  <si>
    <t>lambda_pacl</t>
    <phoneticPr fontId="6" type="noConversion"/>
  </si>
  <si>
    <t>gamma_pacl</t>
    <phoneticPr fontId="6" type="noConversion"/>
  </si>
  <si>
    <t>QALY_AEs_PALB</t>
    <phoneticPr fontId="6" type="noConversion"/>
  </si>
  <si>
    <t>QALY_noAEs_PALB</t>
    <phoneticPr fontId="6" type="noConversion"/>
  </si>
  <si>
    <t>LY_PALB</t>
    <phoneticPr fontId="6" type="noConversion"/>
  </si>
  <si>
    <t>COST_PALB</t>
    <phoneticPr fontId="6" type="noConversion"/>
  </si>
  <si>
    <t>Treatment</t>
  </si>
  <si>
    <t>AE NAME</t>
    <phoneticPr fontId="6" type="noConversion"/>
  </si>
  <si>
    <t>AE NAME</t>
  </si>
  <si>
    <t>AE FREQUENCY</t>
  </si>
  <si>
    <t>SOURCE (frequency)</t>
    <phoneticPr fontId="6" type="noConversion"/>
  </si>
  <si>
    <t>AE DISUTILITY</t>
  </si>
  <si>
    <t>LOWER BOUND (AE DISUTILITY)</t>
  </si>
  <si>
    <t>UPPER BOUND (AE DISUTILITY)</t>
  </si>
  <si>
    <t>DISTRIBUTION</t>
  </si>
  <si>
    <t>SOURCE (disutility)</t>
  </si>
  <si>
    <t>Cost</t>
  </si>
  <si>
    <t>SOURCE (cost)</t>
  </si>
  <si>
    <t>Palbo</t>
  </si>
  <si>
    <t>AE1_PALB</t>
    <phoneticPr fontId="6" type="noConversion"/>
  </si>
  <si>
    <t>Neutropenia</t>
  </si>
  <si>
    <t>Palbociclib NICE TA</t>
  </si>
  <si>
    <t>https://pubmed.ncbi.nlm.nih.gov/26850287/</t>
  </si>
  <si>
    <t>AE2_PALB</t>
  </si>
  <si>
    <t>Leucopenia</t>
  </si>
  <si>
    <t>AE3_PALB</t>
  </si>
  <si>
    <t>Infections</t>
  </si>
  <si>
    <t>https://www.frontiersin.org/articles/10.3389/fmed.2021.658747/full</t>
  </si>
  <si>
    <t>Capi</t>
  </si>
  <si>
    <t>AE1_CAPI</t>
    <phoneticPr fontId="6" type="noConversion"/>
  </si>
  <si>
    <t>Rash</t>
  </si>
  <si>
    <t>https://www.nejm.org/doi/pdf/10.1056/NEJMoa2214131?articleTools=true</t>
  </si>
  <si>
    <t>Not available</t>
  </si>
  <si>
    <t xml:space="preserve">https://www.ncbi.nlm.nih.gov/pmc/articles/PMC5960988/pdf/jmcp-023-06-653.pdf </t>
  </si>
  <si>
    <t>AE2_CAPI</t>
  </si>
  <si>
    <t>Diarrhea</t>
  </si>
  <si>
    <t>AE3_CAPI</t>
  </si>
  <si>
    <t xml:space="preserve">Hyperglecemia </t>
  </si>
  <si>
    <t>https://www.valueinhealthjournal.com/article/S1098-3015(16)01533-3/pdf</t>
  </si>
  <si>
    <t>TODO</t>
    <phoneticPr fontId="6" type="noConversion"/>
  </si>
  <si>
    <t>Cost summary</t>
    <phoneticPr fontId="6" type="noConversion"/>
  </si>
  <si>
    <t>Palbociclib + Fulvestrant</t>
  </si>
  <si>
    <t>Drug aquisition costs</t>
  </si>
  <si>
    <t>Administration costs</t>
  </si>
  <si>
    <t>Monitoring costs</t>
  </si>
  <si>
    <t>Costs of managing AEs</t>
  </si>
  <si>
    <t>1st month</t>
  </si>
  <si>
    <t>Each month thereafter</t>
  </si>
  <si>
    <t>Capivasertib + Fulvestrant</t>
  </si>
  <si>
    <t>Cost details</t>
    <phoneticPr fontId="6" type="noConversion"/>
  </si>
  <si>
    <t>Drug Acquisition costs</t>
  </si>
  <si>
    <t>PALBOCICLIB</t>
  </si>
  <si>
    <t>FULVESTRANT (1st month)</t>
  </si>
  <si>
    <t>FULVESTRANT (from month 2 onwards)</t>
  </si>
  <si>
    <t>Dosage</t>
  </si>
  <si>
    <t>125mg of palbociclib once daily for 21 days followed by 7 days off treatment</t>
  </si>
  <si>
    <t>500mg of fulvestrant on Days 1, 15 and 29</t>
  </si>
  <si>
    <t>500mg of fulvestrant once every month</t>
  </si>
  <si>
    <t>Price per pack</t>
  </si>
  <si>
    <t>Dosage of pack</t>
  </si>
  <si>
    <t>125mg</t>
  </si>
  <si>
    <t>250mg</t>
  </si>
  <si>
    <t>Units per pack</t>
  </si>
  <si>
    <t>Price per month (30.4 days)</t>
  </si>
  <si>
    <t>Source (price)</t>
  </si>
  <si>
    <t>https://bnf.nice.org.uk/drugs/palbociclib-specialist-drug/medicinal-forms/</t>
  </si>
  <si>
    <t>https://bnf.nice.org.uk/drugs/fulvestrant/medicinal-forms/</t>
  </si>
  <si>
    <t>Comment (price)</t>
  </si>
  <si>
    <t>Drug tariff price taken</t>
  </si>
  <si>
    <t>Source (dosage)</t>
  </si>
  <si>
    <t>https://www.medicines.org.uk/emc/product/11961/smpc</t>
  </si>
  <si>
    <t>Drug Acquision Cost of PALBOCICLIB + FULVESTRANT per month (= 30.4 days)</t>
  </si>
  <si>
    <t>Thereafter</t>
  </si>
  <si>
    <t>ALPECILIB (=CAPIVASERTIB)</t>
  </si>
  <si>
    <t>300mg of alpelisib once daily</t>
  </si>
  <si>
    <t>150mg</t>
  </si>
  <si>
    <t>Source</t>
  </si>
  <si>
    <t>https://bnf.nice.org.uk/drugs/alpelisib-specialist-drug/medicinal-forms/</t>
  </si>
  <si>
    <t>Comment</t>
  </si>
  <si>
    <t xml:space="preserve">https://www.medicines.org.uk/emc/product/11683/smpc </t>
  </si>
  <si>
    <t>Drug Acquisition Cost of ALPECILIB (=CAPIVASERTIB) + FULVESTRANT per month (= 30.4 days)</t>
  </si>
  <si>
    <t>Administration costs </t>
  </si>
  <si>
    <t>£0</t>
  </si>
  <si>
    <t>*oral treatment, self-administered by the patient</t>
  </si>
  <si>
    <t>Nominal cost 2021/22, £</t>
  </si>
  <si>
    <t>Amount for 1st cycle</t>
  </si>
  <si>
    <t>Amount after 1st cycle</t>
  </si>
  <si>
    <r>
      <t xml:space="preserve">Adjusted cost 2022/23, </t>
    </r>
    <r>
      <rPr>
        <i/>
        <sz val="12"/>
        <color rgb="FF000000"/>
        <rFont val="Calibri"/>
        <family val="2"/>
        <charset val="1"/>
      </rPr>
      <t>£</t>
    </r>
  </si>
  <si>
    <t>Sourse</t>
  </si>
  <si>
    <t>Sourse for cost</t>
  </si>
  <si>
    <t>Details</t>
  </si>
  <si>
    <t> 1st cycle</t>
  </si>
  <si>
    <t>after 1st cycle</t>
  </si>
  <si>
    <t>FBC (Full blood count)</t>
  </si>
  <si>
    <t>0.333 (1 every 3 months)</t>
  </si>
  <si>
    <t>NICE TA Palbociclib</t>
  </si>
  <si>
    <t>NHS National Cost Collection Data</t>
  </si>
  <si>
    <t>DAPS05 Haematology</t>
  </si>
  <si>
    <t>Computerised Tomography Scan of Two Areas, with Contrast</t>
  </si>
  <si>
    <t>RECIST 1.1</t>
  </si>
  <si>
    <t>CT or MRI scans within 4 weeks, every 8 weeks for the first 18 months, and then every 12 weeks .</t>
  </si>
  <si>
    <t>GP visit</t>
  </si>
  <si>
    <t>NICE TA Alpesilib</t>
  </si>
  <si>
    <t>PSSRU 2022</t>
  </si>
  <si>
    <t>cost per surgery consultation with qualification costs</t>
  </si>
  <si>
    <t>Oncology consultant office</t>
  </si>
  <si>
    <t>Weighted average of first and five follow-up visits for clinical oncology: CL WF01B Non-Admitted Face-to-Face Attendance, First (£206.47); CL WF01A Non-Admitted Face-to-Face Attendance, Follow-up (£164.19)</t>
  </si>
  <si>
    <t xml:space="preserve">Community nurse </t>
  </si>
  <si>
    <t>Clinical nurse specialist</t>
  </si>
  <si>
    <t>Specialist Nursing, Cancer Related, Adult, Face to face</t>
  </si>
  <si>
    <t>Total monitoring costs</t>
  </si>
  <si>
    <t>Costs of treating AEs</t>
  </si>
  <si>
    <t>AE frequency, %</t>
  </si>
  <si>
    <t>Sourse for frequency</t>
  </si>
  <si>
    <t>AE1_PALB</t>
  </si>
  <si>
    <t xml:space="preserve">NICE TA Palbociclib </t>
  </si>
  <si>
    <t xml:space="preserve"> Weighted average (based on frequency) of Non- Elective Short Stay: WH07A to WH07G - Infections or complications of procedures</t>
  </si>
  <si>
    <t>…</t>
  </si>
  <si>
    <t> </t>
  </si>
  <si>
    <t>Total weighted AE costs</t>
  </si>
  <si>
    <t>FULVESTRANT</t>
  </si>
  <si>
    <t>Weight</t>
  </si>
  <si>
    <t>Nominal cost per working hour,£</t>
  </si>
  <si>
    <t>Unit Cost, £</t>
  </si>
  <si>
    <r>
      <rPr>
        <sz val="12"/>
        <color rgb="FF000000"/>
        <rFont val="Calibri"/>
        <family val="2"/>
      </rPr>
      <t xml:space="preserve">Adjusted 1st cycle cost 2022/23, </t>
    </r>
    <r>
      <rPr>
        <i/>
        <sz val="12"/>
        <color rgb="FF000000"/>
        <rFont val="Calibri"/>
        <family val="2"/>
      </rPr>
      <t>£</t>
    </r>
  </si>
  <si>
    <r>
      <rPr>
        <sz val="12"/>
        <color rgb="FF000000"/>
        <rFont val="Calibri"/>
        <family val="2"/>
      </rPr>
      <t xml:space="preserve">Adjusted  after 1st cycle cost 2022/23, </t>
    </r>
    <r>
      <rPr>
        <i/>
        <sz val="12"/>
        <color rgb="FF000000"/>
        <rFont val="Calibri"/>
        <family val="2"/>
      </rPr>
      <t>£</t>
    </r>
  </si>
  <si>
    <t>* solution for injection</t>
  </si>
  <si>
    <t>Community nurse specialist (15 *3  minute - 1st cycle, 15 minite -after 1st cycle)</t>
  </si>
  <si>
    <t>33.3% delivered in the primary care setting</t>
  </si>
  <si>
    <t>Non-Consultant Led: Follow up Attendance Non-Admitted Face to Face, Medical oncology Code 370</t>
  </si>
  <si>
    <t>66.7% delivered in the outpatient setting</t>
  </si>
  <si>
    <t>Total weighted administration costs</t>
  </si>
  <si>
    <t>CAPIVASERTIB</t>
  </si>
  <si>
    <t>Nominal cost, £</t>
  </si>
  <si>
    <t>Adjusted 1st cycle cost 2022/23, £</t>
  </si>
  <si>
    <t>Adjusted  after 1st cycle cost 2022/23, £</t>
  </si>
  <si>
    <t>Fasting plasma glucose</t>
  </si>
  <si>
    <t>Unit cost of £18.03(2020) inflated to 22/23</t>
  </si>
  <si>
    <t>HbA1c monitoring</t>
  </si>
  <si>
    <t>Unit cost of £17.20(2020) inflated to 22/23</t>
  </si>
  <si>
    <t> Nominal cost, £</t>
  </si>
  <si>
    <r>
      <rPr>
        <sz val="12"/>
        <color rgb="FF000000"/>
        <rFont val="Calibri"/>
        <family val="2"/>
      </rPr>
      <t xml:space="preserve">Adjusted cost 22/23, </t>
    </r>
    <r>
      <rPr>
        <i/>
        <sz val="12"/>
        <color rgb="FF000000"/>
        <rFont val="Calibri"/>
        <family val="2"/>
      </rPr>
      <t>£</t>
    </r>
  </si>
  <si>
    <t>AE1_CAPI</t>
  </si>
  <si>
    <t>Qualified nurse (band 6)</t>
  </si>
  <si>
    <t>Weighted average of Non- Elective Short Stay: FD01A to FD01J - Gastrointestinal infections non elective short stay51 </t>
  </si>
  <si>
    <t>Hyperglycemia</t>
  </si>
  <si>
    <t>Weighted average  of Diabetes with Hyperglycaemia Disorders</t>
  </si>
  <si>
    <t>2020-2021 National Tariff Payment System</t>
  </si>
  <si>
    <t>2021-2022 National Tariff Payment System</t>
  </si>
  <si>
    <t>2022-23 National Tariff Payment System</t>
  </si>
  <si>
    <t>PARAMETER</t>
    <phoneticPr fontId="6" type="noConversion"/>
  </si>
  <si>
    <t>Cost-Effective results</t>
    <phoneticPr fontId="6" type="noConversion"/>
  </si>
  <si>
    <t>Effect</t>
    <phoneticPr fontId="6" type="noConversion"/>
  </si>
  <si>
    <t>Trial</t>
    <phoneticPr fontId="6" type="noConversion"/>
  </si>
  <si>
    <t>ΔCOST/ΔQALY_AEs</t>
    <phoneticPr fontId="6" type="noConversion"/>
  </si>
  <si>
    <t>ΔCOST/ΔQALY_noAEs</t>
    <phoneticPr fontId="6" type="noConversion"/>
  </si>
  <si>
    <t>ΔCOST/ΔLY</t>
    <phoneticPr fontId="6" type="noConversion"/>
  </si>
  <si>
    <t>AE Abbreviations</t>
    <phoneticPr fontId="6" type="noConversion"/>
  </si>
  <si>
    <t>AE Full NAME</t>
    <phoneticPr fontId="6" type="noConversion"/>
  </si>
  <si>
    <t>SOURCE (disutility)</t>
    <phoneticPr fontId="6" type="noConversion"/>
  </si>
  <si>
    <t>COST, £</t>
  </si>
  <si>
    <t>https://www.nice.org.uk/guidance/ta819/evidence/appraisal-consultation-committee-papers-pdf-11191563901</t>
  </si>
  <si>
    <t>https://www.nejm.org/doi/pdf/10.1056/NEJMoa2214131?articleTools=true</t>
    <phoneticPr fontId="6" type="noConversion"/>
  </si>
  <si>
    <t xml:space="preserve">Hyperglecemia </t>
    <phoneticPr fontId="6" type="noConversion"/>
  </si>
  <si>
    <t>Lloyd (2006)</t>
    <phoneticPr fontId="6" type="noConversion"/>
  </si>
  <si>
    <t>Mitra (2016)</t>
  </si>
  <si>
    <t>Mistry et al. (2018)</t>
    <phoneticPr fontId="6" type="noConversion"/>
  </si>
  <si>
    <t>Utility - PFS</t>
  </si>
  <si>
    <t>N/A</t>
  </si>
  <si>
    <t>Utility - PD</t>
  </si>
  <si>
    <t>Utility values taken from Lloyd (2006) study using the regression model described in the paper</t>
  </si>
  <si>
    <t>In the Mitra et al. (2016) study, they found a utility of 0.69 in the 2nd and 3rd line --&gt; we could use it as an alternative value for the sensitivity analysis, as NICE mentioned in several NICE reports (abemaciclib, alpelisib, etc.) that Lloyd is likely an underestimation of the utility but that there are alsolimitations mentioned for Mitra et al.</t>
  </si>
  <si>
    <t>Used EQ-5D data from MONALEESA-2 trial (abemaciclib + AI in 1L patients) and derived HSU for PFS of 0.83 using the latest UK value set. HSU value are likely overestimating the HSU of patients as it covers first-line patients and there is likely a lower utility in second-line</t>
  </si>
  <si>
    <t>Median age</t>
  </si>
  <si>
    <t xml:space="preserve"> </t>
  </si>
  <si>
    <t>Open questions</t>
  </si>
  <si>
    <t>Is it appropriate to only assume the adverse events to occur in the first cycle? If so, is that supported by the other reports or general literature?</t>
  </si>
  <si>
    <t>What about monitoring costs for capivasertib? Should we assume no monitoring costs or similar monitoring costs to alpelisib (given similar mechanism of action and AEs)?</t>
  </si>
  <si>
    <t xml:space="preserve">Are there any conflicting information about costs of treating adverse events? For example, for diarrhea the palbociclib report mentions apprx. 500 GBP and the alpelisib report only reports apprx 150 GBP for treating diarrhea. </t>
  </si>
  <si>
    <t>if we searched an AE with disutility 0.1 that means that a person with this AE compaired with those who do not have will lose 0.1 QLAY in this LY no matter how long this AE exists?</t>
  </si>
  <si>
    <t>value</t>
  </si>
  <si>
    <t>assumption</t>
  </si>
  <si>
    <t>source</t>
  </si>
  <si>
    <t>model structure</t>
  </si>
  <si>
    <t>A1</t>
    <phoneticPr fontId="6" type="noConversion"/>
  </si>
  <si>
    <t>NA</t>
    <phoneticPr fontId="6" type="noConversion"/>
  </si>
  <si>
    <t>Only treated in PFS and no longer treated with capi or palb once progressed</t>
    <phoneticPr fontId="6" type="noConversion"/>
  </si>
  <si>
    <t>A2</t>
  </si>
  <si>
    <t>Only one AEs may occur</t>
  </si>
  <si>
    <t>A3</t>
  </si>
  <si>
    <t>AEs occur in first months</t>
    <phoneticPr fontId="6" type="noConversion"/>
  </si>
  <si>
    <t>A4</t>
    <phoneticPr fontId="6" type="noConversion"/>
  </si>
  <si>
    <t>cost</t>
  </si>
  <si>
    <t>utility</t>
  </si>
  <si>
    <t>Sub simu()
'
' simu 宏
'
' 快捷键: Ctrl+Shift+P
'
Dim Index
Index = 0
Dim Trials
Trials = 100
Do
    Sheets("Simulaton").Select
    Range("B4:AK4").Select
    Selection.Copy
    Range("B5").Select
    ActiveCell.Offset(Index, 0).Range("A1").Select
    Selection.PasteSpecial Paste:=xlPasteValues, Operation:=xlNone, SkipBlanks _
        :=False, Transpose:=False
Index = Index + 1
Loop While Index &lt; Trials
End Sub</t>
    <phoneticPr fontId="6" type="noConversion"/>
  </si>
  <si>
    <t>cPFS_CAPI_1st_Dru</t>
  </si>
  <si>
    <t>cPFS_CAPI_1st_Adm</t>
  </si>
  <si>
    <t>cPFS_CAPI_1st_Mor</t>
  </si>
  <si>
    <t>cPFS_CAPI_1st_AEs</t>
  </si>
  <si>
    <t>cPFS_CAPI_1st_ALL</t>
  </si>
  <si>
    <t>cPFS_CAPI_After_ALL</t>
  </si>
  <si>
    <t>cPFS_CAPI_After_Dru</t>
  </si>
  <si>
    <t>cPFS_CAPI_After_Adm</t>
  </si>
  <si>
    <t>cPFS_CAPI_After_Mor</t>
  </si>
  <si>
    <t>cPFS_CAPI_After_AEs</t>
  </si>
  <si>
    <t>cPFS_PALB_1st_ALL</t>
  </si>
  <si>
    <t>cPFS_PALB_1st_Dru</t>
  </si>
  <si>
    <t>cPFS_PALB_1st_Adm</t>
  </si>
  <si>
    <t>cPFS_PALB_1st_Mor</t>
  </si>
  <si>
    <t>cPFS_PALB_1st_AEs</t>
  </si>
  <si>
    <t>cPFS_PALB_After_ALL</t>
  </si>
  <si>
    <t>cPFS_PALB_After_Dru</t>
  </si>
  <si>
    <t>cPFS_PALB_After_Adm</t>
  </si>
  <si>
    <t>cPFS_PALB_After_Mor</t>
  </si>
  <si>
    <t>cPFS_PALB_After_AEs</t>
  </si>
  <si>
    <t>N/A</t>
    <phoneticPr fontId="6" type="noConversion"/>
  </si>
  <si>
    <t>Change</t>
    <phoneticPr fontId="6" type="noConversion"/>
  </si>
  <si>
    <t>Base Case Input</t>
    <phoneticPr fontId="6" type="noConversion"/>
  </si>
  <si>
    <t>OWSA input</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</si>
</sst>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76" formatCode="0.0000000"/>
    <numFmt numFmtId="177" formatCode="0.00000_ "/>
    <numFmt numFmtId="178" formatCode="_-[$£-809]* #,##0.00_-;\-[$£-809]* #,##0.00_-;_-[$£-809]* &quot;-&quot;??_-;_-@_-"/>
    <numFmt numFmtId="179" formatCode="0.0%"/>
    <numFmt numFmtId="180" formatCode="0.00000"/>
    <numFmt numFmtId="181" formatCode="0.0"/>
    <numFmt numFmtId="182" formatCode="[$£-809]#,##0.00"/>
    <numFmt numFmtId="183" formatCode="0.000_ "/>
    <numFmt numFmtId="184" formatCode="0.000000_ "/>
    <numFmt numFmtId="185" formatCode="0.0000_ "/>
    <numFmt numFmtId="186" formatCode="[$£-809]#,##0.00_);[Red]\([$£-809]#,##0.00\)"/>
    <numFmt numFmtId="187" formatCode="[$£-809]#,##0.00;[Red]\-[$£-809]#,##0.00"/>
  </numFmts>
  <fonts count="36">
    <font>
      <sz val="11"/>
      <color theme="1"/>
      <name val="等线"/>
      <family val="2"/>
      <scheme val="minor"/>
    </font>
    <font>
      <u/>
      <sz val="11"/>
      <color theme="1"/>
      <name val="等线"/>
      <family val="2"/>
      <scheme val="minor"/>
    </font>
    <font>
      <b/>
      <sz val="11"/>
      <color rgb="FFFFFF00"/>
      <name val="等线"/>
      <family val="2"/>
      <scheme val="minor"/>
    </font>
    <font>
      <b/>
      <sz val="20"/>
      <color theme="0"/>
      <name val="等线"/>
      <family val="2"/>
      <scheme val="minor"/>
    </font>
    <font>
      <sz val="10"/>
      <color rgb="FF000000"/>
      <name val="Tahoma"/>
      <family val="2"/>
    </font>
    <font>
      <b/>
      <sz val="10"/>
      <color rgb="FF000000"/>
      <name val="Tahoma"/>
      <family val="2"/>
    </font>
    <font>
      <sz val="9"/>
      <name val="等线"/>
      <family val="3"/>
      <charset val="134"/>
      <scheme val="minor"/>
    </font>
    <font>
      <u/>
      <sz val="11"/>
      <color theme="10"/>
      <name val="等线"/>
      <family val="2"/>
      <scheme val="minor"/>
    </font>
    <font>
      <sz val="11"/>
      <color theme="0"/>
      <name val="等线"/>
      <family val="2"/>
      <scheme val="minor"/>
    </font>
    <font>
      <sz val="11"/>
      <color rgb="FF006100"/>
      <name val="等线"/>
      <family val="2"/>
      <charset val="134"/>
      <scheme val="minor"/>
    </font>
    <font>
      <b/>
      <sz val="11"/>
      <color theme="1"/>
      <name val="等线"/>
      <family val="3"/>
      <charset val="134"/>
      <scheme val="minor"/>
    </font>
    <font>
      <b/>
      <sz val="11"/>
      <color theme="1"/>
      <name val="等线"/>
      <family val="2"/>
      <scheme val="minor"/>
    </font>
    <font>
      <i/>
      <sz val="11"/>
      <color theme="1"/>
      <name val="等线"/>
      <family val="2"/>
      <scheme val="minor"/>
    </font>
    <font>
      <sz val="12"/>
      <color rgb="FF000000"/>
      <name val="Calibri"/>
      <family val="2"/>
      <charset val="1"/>
    </font>
    <font>
      <u/>
      <sz val="12"/>
      <color rgb="FF0563C1"/>
      <name val="Calibri"/>
      <family val="2"/>
      <charset val="1"/>
    </font>
    <font>
      <sz val="11"/>
      <color rgb="FF000000"/>
      <name val="Calibri"/>
      <family val="2"/>
      <charset val="1"/>
    </font>
    <font>
      <i/>
      <sz val="12"/>
      <color rgb="FF000000"/>
      <name val="Calibri"/>
      <family val="2"/>
      <charset val="1"/>
    </font>
    <font>
      <b/>
      <sz val="12"/>
      <color rgb="FF000000"/>
      <name val="Calibri"/>
      <family val="2"/>
      <charset val="1"/>
    </font>
    <font>
      <sz val="10"/>
      <color rgb="FF000000"/>
      <name val="ArialMT"/>
      <family val="2"/>
    </font>
    <font>
      <sz val="12"/>
      <color rgb="FF000000"/>
      <name val="Calibri"/>
      <family val="2"/>
    </font>
    <font>
      <i/>
      <sz val="12"/>
      <color rgb="FF000000"/>
      <name val="Calibri"/>
      <family val="2"/>
    </font>
    <font>
      <b/>
      <sz val="12"/>
      <color theme="1"/>
      <name val="等线"/>
      <family val="2"/>
      <scheme val="minor"/>
    </font>
    <font>
      <sz val="11"/>
      <color rgb="FF000000"/>
      <name val="等线"/>
      <family val="2"/>
      <scheme val="minor"/>
    </font>
    <font>
      <sz val="12"/>
      <color theme="1"/>
      <name val="等线"/>
      <family val="2"/>
      <scheme val="minor"/>
    </font>
    <font>
      <u/>
      <sz val="12"/>
      <color theme="10"/>
      <name val="等线"/>
      <family val="2"/>
      <scheme val="minor"/>
    </font>
    <font>
      <sz val="12"/>
      <color rgb="FF444444"/>
      <name val="Calibri"/>
      <family val="2"/>
      <charset val="1"/>
    </font>
    <font>
      <sz val="10"/>
      <color rgb="FF1E477C"/>
      <name val="ArialMT"/>
      <family val="2"/>
    </font>
    <font>
      <sz val="12"/>
      <color rgb="FF000000"/>
      <name val="等线"/>
      <family val="2"/>
      <scheme val="minor"/>
    </font>
    <font>
      <sz val="11"/>
      <color rgb="FF9C5700"/>
      <name val="等线"/>
      <family val="2"/>
      <charset val="134"/>
      <scheme val="minor"/>
    </font>
    <font>
      <sz val="11"/>
      <color rgb="FF9C0006"/>
      <name val="等线"/>
      <family val="2"/>
      <charset val="134"/>
      <scheme val="minor"/>
    </font>
    <font>
      <b/>
      <sz val="11"/>
      <color theme="0"/>
      <name val="等线"/>
      <family val="3"/>
      <charset val="134"/>
      <scheme val="minor"/>
    </font>
    <font>
      <sz val="11"/>
      <name val="等线"/>
      <family val="2"/>
      <scheme val="minor"/>
    </font>
    <font>
      <sz val="11"/>
      <name val="等线"/>
      <family val="3"/>
      <charset val="134"/>
      <scheme val="minor"/>
    </font>
    <font>
      <b/>
      <sz val="11"/>
      <color rgb="FF006100"/>
      <name val="等线"/>
      <family val="3"/>
      <charset val="134"/>
      <scheme val="minor"/>
    </font>
    <font>
      <b/>
      <sz val="11"/>
      <name val="等线"/>
      <family val="3"/>
      <charset val="134"/>
      <scheme val="minor"/>
    </font>
    <font>
      <b/>
      <sz val="11"/>
      <color rgb="FF9C0006"/>
      <name val="等线"/>
      <family val="3"/>
      <charset val="134"/>
      <scheme val="minor"/>
    </font>
  </fonts>
  <fills count="17">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rgb="FFFFFF99"/>
        <bgColor indexed="64"/>
      </patternFill>
    </fill>
    <fill>
      <patternFill patternType="solid">
        <fgColor rgb="FFFFFF00"/>
        <bgColor indexed="64"/>
      </patternFill>
    </fill>
    <fill>
      <patternFill patternType="solid">
        <fgColor theme="1"/>
        <bgColor indexed="64"/>
      </patternFill>
    </fill>
    <fill>
      <patternFill patternType="solid">
        <fgColor theme="1" tint="0.499984740745262"/>
        <bgColor indexed="64"/>
      </patternFill>
    </fill>
    <fill>
      <patternFill patternType="solid">
        <fgColor rgb="FFC6EFCE"/>
      </patternFill>
    </fill>
    <fill>
      <patternFill patternType="solid">
        <fgColor rgb="FFFFF2CC"/>
        <bgColor indexed="64"/>
      </patternFill>
    </fill>
    <fill>
      <patternFill patternType="solid">
        <fgColor rgb="FFBDD7EE"/>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FFC7CE"/>
      </patternFill>
    </fill>
  </fills>
  <borders count="41">
    <border>
      <left/>
      <right/>
      <top/>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style="medium">
        <color rgb="FF000000"/>
      </left>
      <right style="medium">
        <color rgb="FF000000"/>
      </right>
      <top style="medium">
        <color rgb="FF000000"/>
      </top>
      <bottom/>
      <diagonal/>
    </border>
    <border>
      <left style="medium">
        <color indexed="64"/>
      </left>
      <right style="medium">
        <color indexed="64"/>
      </right>
      <top/>
      <bottom style="medium">
        <color rgb="FF000000"/>
      </bottom>
      <diagonal/>
    </border>
    <border>
      <left style="medium">
        <color rgb="FF000000"/>
      </left>
      <right style="medium">
        <color rgb="FF000000"/>
      </right>
      <top/>
      <bottom style="medium">
        <color rgb="FF000000"/>
      </bottom>
      <diagonal/>
    </border>
    <border>
      <left/>
      <right style="medium">
        <color indexed="64"/>
      </right>
      <top style="medium">
        <color indexed="64"/>
      </top>
      <bottom style="medium">
        <color indexed="64"/>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bottom style="medium">
        <color rgb="FF000000"/>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indexed="64"/>
      </right>
      <top/>
      <bottom/>
      <diagonal/>
    </border>
    <border>
      <left style="medium">
        <color indexed="64"/>
      </left>
      <right/>
      <top/>
      <bottom/>
      <diagonal/>
    </border>
    <border>
      <left/>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style="medium">
        <color indexed="64"/>
      </top>
      <bottom/>
      <diagonal/>
    </border>
    <border>
      <left style="medium">
        <color indexed="64"/>
      </left>
      <right/>
      <top/>
      <bottom style="medium">
        <color rgb="FF000000"/>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7" fillId="0" borderId="0" applyNumberFormat="0" applyFill="0" applyBorder="0" applyAlignment="0" applyProtection="0"/>
    <xf numFmtId="0" fontId="9" fillId="8"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cellStyleXfs>
  <cellXfs count="331">
    <xf numFmtId="0" fontId="0" fillId="0" borderId="0" xfId="0"/>
    <xf numFmtId="0" fontId="0" fillId="2" borderId="0" xfId="0" applyFill="1"/>
    <xf numFmtId="0" fontId="0" fillId="2" borderId="0" xfId="0" applyFill="1" applyAlignment="1">
      <alignment horizontal="center" vertical="center"/>
    </xf>
    <xf numFmtId="0" fontId="1" fillId="2" borderId="0" xfId="0" applyFont="1" applyFill="1"/>
    <xf numFmtId="0" fontId="1" fillId="2" borderId="0" xfId="0" applyFont="1" applyFill="1" applyAlignment="1">
      <alignment horizontal="left" vertical="center"/>
    </xf>
    <xf numFmtId="0" fontId="0" fillId="2" borderId="1" xfId="0" applyFill="1" applyBorder="1"/>
    <xf numFmtId="0" fontId="0" fillId="2" borderId="1" xfId="0" applyFill="1" applyBorder="1" applyAlignment="1">
      <alignment horizontal="center" vertical="center"/>
    </xf>
    <xf numFmtId="2" fontId="0" fillId="2" borderId="0" xfId="0" applyNumberFormat="1" applyFill="1"/>
    <xf numFmtId="2" fontId="0" fillId="2" borderId="0" xfId="0" applyNumberFormat="1" applyFill="1" applyAlignment="1">
      <alignment horizontal="center" vertical="center"/>
    </xf>
    <xf numFmtId="2" fontId="0" fillId="2" borderId="1" xfId="0" applyNumberFormat="1" applyFill="1" applyBorder="1" applyAlignment="1">
      <alignment horizontal="center" vertical="center"/>
    </xf>
    <xf numFmtId="0" fontId="0" fillId="3" borderId="0" xfId="0" applyFill="1"/>
    <xf numFmtId="0" fontId="2" fillId="3" borderId="0" xfId="0" applyFont="1" applyFill="1"/>
    <xf numFmtId="0" fontId="0" fillId="4" borderId="0" xfId="0" applyFill="1"/>
    <xf numFmtId="2" fontId="0" fillId="4" borderId="0" xfId="0" applyNumberFormat="1" applyFill="1"/>
    <xf numFmtId="0" fontId="2" fillId="3" borderId="0" xfId="0" applyFont="1" applyFill="1" applyAlignment="1">
      <alignment horizontal="center" vertical="center"/>
    </xf>
    <xf numFmtId="0" fontId="3" fillId="3" borderId="0" xfId="0" applyFont="1" applyFill="1" applyAlignment="1">
      <alignment vertical="center"/>
    </xf>
    <xf numFmtId="0" fontId="2" fillId="3" borderId="0" xfId="0" applyFont="1" applyFill="1" applyAlignment="1">
      <alignment horizontal="center" vertical="center" wrapText="1"/>
    </xf>
    <xf numFmtId="0" fontId="0" fillId="5" borderId="0" xfId="0" applyFill="1"/>
    <xf numFmtId="0" fontId="0" fillId="0" borderId="0" xfId="0" applyAlignment="1">
      <alignment vertical="center"/>
    </xf>
    <xf numFmtId="177" fontId="0" fillId="2" borderId="0" xfId="0" applyNumberFormat="1" applyFill="1" applyAlignment="1">
      <alignment horizontal="center" vertical="center"/>
    </xf>
    <xf numFmtId="0" fontId="0" fillId="0" borderId="0" xfId="0" applyAlignment="1">
      <alignment wrapText="1"/>
    </xf>
    <xf numFmtId="0" fontId="8" fillId="6" borderId="0" xfId="0" applyFont="1" applyFill="1"/>
    <xf numFmtId="0" fontId="8" fillId="7" borderId="0" xfId="0" applyFont="1" applyFill="1"/>
    <xf numFmtId="9" fontId="0" fillId="0" borderId="0" xfId="0" applyNumberFormat="1"/>
    <xf numFmtId="0" fontId="7" fillId="0" borderId="0" xfId="1" applyFill="1"/>
    <xf numFmtId="179" fontId="0" fillId="0" borderId="0" xfId="0" applyNumberFormat="1"/>
    <xf numFmtId="0" fontId="9" fillId="8" borderId="0" xfId="2" applyAlignment="1">
      <alignment horizontal="center" vertical="center"/>
    </xf>
    <xf numFmtId="178" fontId="0" fillId="2" borderId="0" xfId="0" applyNumberFormat="1" applyFill="1"/>
    <xf numFmtId="0" fontId="11" fillId="0" borderId="0" xfId="0" applyFont="1"/>
    <xf numFmtId="0" fontId="12" fillId="0" borderId="0" xfId="0" applyFont="1" applyAlignment="1">
      <alignment horizontal="right"/>
    </xf>
    <xf numFmtId="0" fontId="0" fillId="0" borderId="0" xfId="0" applyAlignment="1">
      <alignment horizontal="right"/>
    </xf>
    <xf numFmtId="2" fontId="0" fillId="0" borderId="0" xfId="0" applyNumberFormat="1"/>
    <xf numFmtId="0" fontId="11" fillId="0" borderId="0" xfId="0" applyFont="1" applyAlignment="1">
      <alignment horizontal="left" vertical="center"/>
    </xf>
    <xf numFmtId="0" fontId="0" fillId="0" borderId="0" xfId="0" applyAlignment="1">
      <alignment vertical="center" wrapText="1"/>
    </xf>
    <xf numFmtId="0" fontId="13" fillId="0" borderId="0" xfId="0" applyFont="1"/>
    <xf numFmtId="0" fontId="13" fillId="0" borderId="0" xfId="0" applyFont="1" applyAlignment="1">
      <alignment horizontal="left" vertical="center"/>
    </xf>
    <xf numFmtId="0" fontId="13" fillId="0" borderId="0" xfId="0" applyFont="1" applyAlignment="1">
      <alignment horizontal="center" vertical="center"/>
    </xf>
    <xf numFmtId="0" fontId="13" fillId="9" borderId="0" xfId="0" applyFont="1" applyFill="1"/>
    <xf numFmtId="0" fontId="13" fillId="10" borderId="7" xfId="0" applyFont="1" applyFill="1" applyBorder="1" applyAlignment="1">
      <alignment horizontal="left"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7" fillId="0" borderId="0" xfId="1" applyBorder="1" applyAlignment="1"/>
    <xf numFmtId="0" fontId="13" fillId="0" borderId="12" xfId="0" applyFont="1" applyBorder="1" applyAlignment="1">
      <alignment horizontal="center" vertical="center"/>
    </xf>
    <xf numFmtId="0" fontId="7" fillId="0" borderId="13" xfId="1" applyBorder="1" applyAlignment="1">
      <alignment horizontal="center" vertical="center"/>
    </xf>
    <xf numFmtId="0" fontId="7" fillId="0" borderId="15" xfId="1" applyBorder="1" applyAlignment="1">
      <alignment horizontal="center" vertical="center"/>
    </xf>
    <xf numFmtId="0" fontId="14" fillId="0" borderId="0" xfId="0" applyFont="1" applyAlignment="1">
      <alignment horizontal="center" vertical="center"/>
    </xf>
    <xf numFmtId="0" fontId="13" fillId="0" borderId="16" xfId="0" applyFont="1" applyBorder="1" applyAlignment="1">
      <alignment horizontal="center" vertical="center"/>
    </xf>
    <xf numFmtId="0" fontId="15" fillId="0" borderId="16" xfId="0" applyFont="1" applyBorder="1" applyAlignment="1">
      <alignment horizontal="center" vertical="center" wrapText="1"/>
    </xf>
    <xf numFmtId="0" fontId="15" fillId="0" borderId="0" xfId="0" applyFont="1" applyAlignment="1">
      <alignment wrapText="1"/>
    </xf>
    <xf numFmtId="0" fontId="13" fillId="10" borderId="9" xfId="0" applyFont="1" applyFill="1" applyBorder="1" applyAlignment="1">
      <alignment horizontal="left"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3" fillId="10" borderId="12" xfId="0" applyFont="1" applyFill="1" applyBorder="1" applyAlignment="1">
      <alignment horizontal="left" vertical="center"/>
    </xf>
    <xf numFmtId="0" fontId="13" fillId="0" borderId="24" xfId="0" applyFont="1" applyBorder="1" applyAlignment="1">
      <alignment horizontal="center" vertical="center"/>
    </xf>
    <xf numFmtId="0" fontId="13" fillId="0" borderId="12" xfId="0" applyFont="1" applyBorder="1" applyAlignment="1">
      <alignment horizontal="left" vertical="center"/>
    </xf>
    <xf numFmtId="0" fontId="13" fillId="0" borderId="25" xfId="0" applyFont="1" applyBorder="1" applyAlignment="1">
      <alignment horizontal="center" vertical="center"/>
    </xf>
    <xf numFmtId="0" fontId="13" fillId="0" borderId="26" xfId="0" applyFont="1" applyBorder="1" applyAlignment="1">
      <alignment horizontal="left" vertical="center"/>
    </xf>
    <xf numFmtId="2" fontId="13" fillId="0" borderId="25" xfId="0" applyNumberFormat="1" applyFont="1" applyBorder="1" applyAlignment="1">
      <alignment horizontal="center" vertical="center"/>
    </xf>
    <xf numFmtId="0" fontId="13" fillId="0" borderId="17" xfId="0" applyFont="1" applyBorder="1" applyAlignment="1">
      <alignment horizontal="left" vertical="center"/>
    </xf>
    <xf numFmtId="0" fontId="13" fillId="0" borderId="27" xfId="0" applyFont="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3" fillId="10" borderId="28" xfId="0" applyFont="1" applyFill="1" applyBorder="1" applyAlignment="1">
      <alignment horizontal="left" vertical="center" wrapText="1"/>
    </xf>
    <xf numFmtId="0" fontId="13" fillId="0" borderId="7" xfId="0" applyFont="1" applyBorder="1" applyAlignment="1">
      <alignment horizontal="center" vertical="center"/>
    </xf>
    <xf numFmtId="0" fontId="13" fillId="0" borderId="16" xfId="0" applyFont="1" applyBorder="1" applyAlignment="1">
      <alignment horizontal="center" vertical="center" wrapText="1"/>
    </xf>
    <xf numFmtId="0" fontId="13" fillId="0" borderId="29" xfId="0" applyFont="1" applyBorder="1" applyAlignment="1">
      <alignment horizontal="center" vertical="center"/>
    </xf>
    <xf numFmtId="0" fontId="15" fillId="0" borderId="11" xfId="0" applyFont="1" applyBorder="1" applyAlignment="1">
      <alignment horizontal="left" vertical="center" wrapText="1"/>
    </xf>
    <xf numFmtId="0" fontId="13" fillId="0" borderId="25" xfId="0" applyFont="1" applyBorder="1" applyAlignment="1">
      <alignment horizontal="center" vertical="center" wrapText="1"/>
    </xf>
    <xf numFmtId="2" fontId="13" fillId="0" borderId="25" xfId="0" applyNumberFormat="1" applyFont="1" applyBorder="1" applyAlignment="1">
      <alignment horizontal="center" vertical="center" wrapText="1"/>
    </xf>
    <xf numFmtId="0" fontId="15" fillId="0" borderId="23" xfId="0" applyFont="1" applyBorder="1" applyAlignment="1">
      <alignment horizontal="left" vertical="center" wrapText="1"/>
    </xf>
    <xf numFmtId="0" fontId="13" fillId="0" borderId="21" xfId="0" applyFont="1" applyBorder="1" applyAlignment="1">
      <alignment horizontal="center" vertical="center" wrapText="1"/>
    </xf>
    <xf numFmtId="2" fontId="13" fillId="0" borderId="21" xfId="0" applyNumberFormat="1" applyFont="1" applyBorder="1" applyAlignment="1">
      <alignment horizontal="center" vertical="center"/>
    </xf>
    <xf numFmtId="0" fontId="13" fillId="0" borderId="30" xfId="0" applyFont="1" applyBorder="1" applyAlignment="1">
      <alignment horizontal="left" vertical="center" wrapText="1"/>
    </xf>
    <xf numFmtId="2" fontId="13" fillId="0" borderId="23" xfId="0" applyNumberFormat="1" applyFont="1" applyBorder="1" applyAlignment="1">
      <alignment horizontal="center" vertical="center"/>
    </xf>
    <xf numFmtId="0" fontId="0" fillId="0" borderId="31" xfId="0" applyBorder="1"/>
    <xf numFmtId="0" fontId="18" fillId="0" borderId="0" xfId="0" applyFont="1" applyAlignment="1">
      <alignment horizontal="center" vertical="center"/>
    </xf>
    <xf numFmtId="0" fontId="13" fillId="0" borderId="13" xfId="0" applyFont="1" applyBorder="1" applyAlignment="1">
      <alignment horizontal="center" vertical="center"/>
    </xf>
    <xf numFmtId="0" fontId="13" fillId="0" borderId="19" xfId="0" applyFont="1" applyBorder="1" applyAlignment="1">
      <alignment horizontal="center" vertical="center"/>
    </xf>
    <xf numFmtId="0" fontId="13" fillId="0" borderId="32" xfId="0" applyFont="1" applyBorder="1" applyAlignment="1">
      <alignment horizontal="center" vertical="center"/>
    </xf>
    <xf numFmtId="0" fontId="13" fillId="0" borderId="34" xfId="0" applyFont="1" applyBorder="1" applyAlignment="1">
      <alignment horizontal="left" vertical="center"/>
    </xf>
    <xf numFmtId="0" fontId="7" fillId="0" borderId="32" xfId="1" applyBorder="1" applyAlignment="1">
      <alignment horizontal="center" vertical="center"/>
    </xf>
    <xf numFmtId="2" fontId="13" fillId="0" borderId="0" xfId="0" applyNumberFormat="1" applyFont="1" applyAlignment="1">
      <alignment horizontal="center" vertical="center"/>
    </xf>
    <xf numFmtId="2" fontId="13" fillId="0" borderId="0" xfId="0" applyNumberFormat="1" applyFont="1" applyAlignment="1">
      <alignment horizontal="center" vertical="center" wrapText="1"/>
    </xf>
    <xf numFmtId="0" fontId="13" fillId="10" borderId="29" xfId="0" applyFont="1" applyFill="1" applyBorder="1" applyAlignment="1">
      <alignment horizontal="center" vertical="center"/>
    </xf>
    <xf numFmtId="0" fontId="13" fillId="0" borderId="13" xfId="0" applyFont="1" applyBorder="1" applyAlignment="1">
      <alignment horizontal="left" vertical="center"/>
    </xf>
    <xf numFmtId="2" fontId="13" fillId="0" borderId="8" xfId="0" applyNumberFormat="1" applyFont="1" applyBorder="1" applyAlignment="1">
      <alignment horizontal="center" vertical="center"/>
    </xf>
    <xf numFmtId="0" fontId="13" fillId="0" borderId="32" xfId="0" applyFont="1" applyBorder="1"/>
    <xf numFmtId="0" fontId="13" fillId="0" borderId="32" xfId="0" applyFont="1" applyBorder="1" applyAlignment="1">
      <alignment horizontal="left" vertical="center"/>
    </xf>
    <xf numFmtId="0" fontId="13" fillId="0" borderId="15" xfId="0" applyFont="1" applyBorder="1" applyAlignment="1">
      <alignment horizontal="center" vertical="center"/>
    </xf>
    <xf numFmtId="0" fontId="13" fillId="0" borderId="33" xfId="0" applyFont="1" applyBorder="1" applyAlignment="1">
      <alignment horizontal="center" vertical="center"/>
    </xf>
    <xf numFmtId="0" fontId="13" fillId="0" borderId="31" xfId="0" applyFont="1" applyBorder="1" applyAlignment="1">
      <alignment horizontal="left" vertical="center"/>
    </xf>
    <xf numFmtId="0" fontId="7" fillId="0" borderId="0" xfId="1" applyBorder="1" applyAlignment="1">
      <alignment horizontal="center" vertical="center"/>
    </xf>
    <xf numFmtId="0" fontId="0" fillId="0" borderId="0" xfId="0" applyAlignment="1">
      <alignment horizontal="center"/>
    </xf>
    <xf numFmtId="0" fontId="11" fillId="12" borderId="0" xfId="0" applyFont="1" applyFill="1"/>
    <xf numFmtId="0" fontId="13" fillId="10" borderId="34" xfId="0" applyFont="1" applyFill="1" applyBorder="1" applyAlignment="1">
      <alignment horizontal="left" vertical="center"/>
    </xf>
    <xf numFmtId="0" fontId="0" fillId="0" borderId="34" xfId="0" applyBorder="1"/>
    <xf numFmtId="0" fontId="0" fillId="0" borderId="33" xfId="0" applyBorder="1"/>
    <xf numFmtId="0" fontId="22" fillId="0" borderId="0" xfId="0" applyFont="1"/>
    <xf numFmtId="0" fontId="13" fillId="0" borderId="8" xfId="0" applyFont="1" applyBorder="1" applyAlignment="1">
      <alignment horizontal="center" vertical="center"/>
    </xf>
    <xf numFmtId="180" fontId="0" fillId="0" borderId="0" xfId="0" applyNumberFormat="1" applyAlignment="1">
      <alignment horizontal="center" vertical="center"/>
    </xf>
    <xf numFmtId="0" fontId="7" fillId="0" borderId="15" xfId="1" applyFill="1" applyBorder="1" applyAlignment="1">
      <alignment horizontal="center" vertical="center"/>
    </xf>
    <xf numFmtId="0" fontId="19" fillId="0" borderId="32" xfId="0" applyFont="1" applyBorder="1" applyAlignment="1">
      <alignment horizontal="center" vertical="center"/>
    </xf>
    <xf numFmtId="0" fontId="23" fillId="0" borderId="31" xfId="0" applyFont="1" applyBorder="1"/>
    <xf numFmtId="178" fontId="23" fillId="0" borderId="32" xfId="0" applyNumberFormat="1" applyFont="1" applyBorder="1"/>
    <xf numFmtId="0" fontId="23" fillId="0" borderId="0" xfId="0" applyFont="1"/>
    <xf numFmtId="0" fontId="23" fillId="0" borderId="36" xfId="0" applyFont="1" applyBorder="1"/>
    <xf numFmtId="178" fontId="23" fillId="0" borderId="15" xfId="0" applyNumberFormat="1" applyFont="1" applyBorder="1"/>
    <xf numFmtId="178" fontId="23" fillId="0" borderId="0" xfId="0" applyNumberFormat="1" applyFont="1"/>
    <xf numFmtId="178" fontId="23" fillId="0" borderId="0" xfId="0" applyNumberFormat="1" applyFont="1" applyAlignment="1">
      <alignment horizontal="right"/>
    </xf>
    <xf numFmtId="178" fontId="21" fillId="0" borderId="0" xfId="0" applyNumberFormat="1" applyFont="1"/>
    <xf numFmtId="178" fontId="24" fillId="0" borderId="0" xfId="1" applyNumberFormat="1" applyFont="1"/>
    <xf numFmtId="0" fontId="23" fillId="0" borderId="3" xfId="0" applyFont="1" applyBorder="1"/>
    <xf numFmtId="178" fontId="23" fillId="0" borderId="4" xfId="0" applyNumberFormat="1" applyFont="1" applyBorder="1"/>
    <xf numFmtId="0" fontId="23" fillId="0" borderId="5" xfId="0" applyFont="1" applyBorder="1"/>
    <xf numFmtId="178" fontId="23" fillId="0" borderId="6" xfId="0" applyNumberFormat="1" applyFont="1" applyBorder="1"/>
    <xf numFmtId="0" fontId="23" fillId="0" borderId="33" xfId="0" applyFont="1" applyBorder="1"/>
    <xf numFmtId="178" fontId="23" fillId="0" borderId="31" xfId="0" applyNumberFormat="1" applyFont="1" applyBorder="1" applyAlignment="1">
      <alignment horizontal="right"/>
    </xf>
    <xf numFmtId="0" fontId="23" fillId="0" borderId="31" xfId="0" applyFont="1" applyBorder="1" applyAlignment="1">
      <alignment horizontal="right"/>
    </xf>
    <xf numFmtId="0" fontId="23" fillId="0" borderId="33" xfId="0" applyFont="1" applyBorder="1" applyAlignment="1">
      <alignment horizontal="right"/>
    </xf>
    <xf numFmtId="0" fontId="21" fillId="0" borderId="31" xfId="0" applyFont="1" applyBorder="1"/>
    <xf numFmtId="178" fontId="21" fillId="0" borderId="31" xfId="0" applyNumberFormat="1" applyFont="1" applyBorder="1"/>
    <xf numFmtId="0" fontId="21" fillId="0" borderId="33" xfId="0" applyFont="1" applyBorder="1"/>
    <xf numFmtId="178" fontId="24" fillId="0" borderId="31" xfId="1" applyNumberFormat="1" applyFont="1" applyBorder="1"/>
    <xf numFmtId="0" fontId="24" fillId="0" borderId="31" xfId="1" applyFont="1" applyBorder="1"/>
    <xf numFmtId="0" fontId="24" fillId="0" borderId="33" xfId="1" applyFont="1" applyBorder="1"/>
    <xf numFmtId="0" fontId="23" fillId="0" borderId="31" xfId="1" applyFont="1" applyBorder="1"/>
    <xf numFmtId="0" fontId="23" fillId="0" borderId="33" xfId="1" applyFont="1" applyBorder="1"/>
    <xf numFmtId="0" fontId="24" fillId="0" borderId="36" xfId="1" applyFont="1" applyBorder="1"/>
    <xf numFmtId="0" fontId="24" fillId="0" borderId="37" xfId="1" applyFont="1" applyBorder="1"/>
    <xf numFmtId="0" fontId="23" fillId="0" borderId="32" xfId="0" applyFont="1" applyBorder="1"/>
    <xf numFmtId="178" fontId="23" fillId="0" borderId="31" xfId="0" applyNumberFormat="1" applyFont="1" applyBorder="1"/>
    <xf numFmtId="0" fontId="11" fillId="13" borderId="17" xfId="0" applyFont="1" applyFill="1" applyBorder="1"/>
    <xf numFmtId="0" fontId="11" fillId="13" borderId="18" xfId="0" applyFont="1" applyFill="1" applyBorder="1"/>
    <xf numFmtId="0" fontId="17" fillId="9" borderId="0" xfId="0" applyFont="1" applyFill="1"/>
    <xf numFmtId="0" fontId="13" fillId="13" borderId="0" xfId="0" applyFont="1" applyFill="1"/>
    <xf numFmtId="0" fontId="8" fillId="7" borderId="0" xfId="0" applyFont="1" applyFill="1" applyAlignment="1">
      <alignment horizontal="center"/>
    </xf>
    <xf numFmtId="0" fontId="13" fillId="2" borderId="26" xfId="0" applyFont="1" applyFill="1" applyBorder="1" applyAlignment="1">
      <alignment horizontal="left" vertical="center"/>
    </xf>
    <xf numFmtId="0" fontId="19" fillId="0" borderId="16" xfId="0" applyFont="1" applyBorder="1" applyAlignment="1">
      <alignment horizontal="center" vertical="center" wrapText="1"/>
    </xf>
    <xf numFmtId="0" fontId="19" fillId="0" borderId="10" xfId="0" applyFont="1" applyBorder="1" applyAlignment="1">
      <alignment horizontal="center" vertical="center"/>
    </xf>
    <xf numFmtId="181" fontId="0" fillId="0" borderId="33" xfId="0" applyNumberFormat="1" applyBorder="1" applyAlignment="1">
      <alignment horizontal="center" vertical="center"/>
    </xf>
    <xf numFmtId="181" fontId="0" fillId="0" borderId="0" xfId="0" applyNumberFormat="1" applyAlignment="1">
      <alignment horizontal="center" vertical="center"/>
    </xf>
    <xf numFmtId="0" fontId="7" fillId="0" borderId="32" xfId="1" applyFill="1" applyBorder="1" applyAlignment="1">
      <alignment horizontal="center" vertical="center"/>
    </xf>
    <xf numFmtId="0" fontId="19" fillId="0" borderId="31" xfId="0" applyFont="1" applyBorder="1" applyAlignment="1">
      <alignment horizontal="left" vertical="center"/>
    </xf>
    <xf numFmtId="0" fontId="13" fillId="11" borderId="7" xfId="0" applyFont="1" applyFill="1" applyBorder="1" applyAlignment="1">
      <alignment horizontal="left" vertical="center"/>
    </xf>
    <xf numFmtId="181" fontId="23" fillId="0" borderId="0" xfId="0" applyNumberFormat="1" applyFont="1" applyAlignment="1">
      <alignment horizontal="center" vertical="center"/>
    </xf>
    <xf numFmtId="0" fontId="7" fillId="0" borderId="0" xfId="1" applyFill="1" applyBorder="1" applyAlignment="1">
      <alignment horizontal="center" vertical="center"/>
    </xf>
    <xf numFmtId="0" fontId="0" fillId="0" borderId="32" xfId="0" applyBorder="1" applyAlignment="1">
      <alignment horizontal="center"/>
    </xf>
    <xf numFmtId="0" fontId="0" fillId="0" borderId="32" xfId="0" applyBorder="1" applyAlignment="1">
      <alignment horizontal="center" wrapText="1"/>
    </xf>
    <xf numFmtId="0" fontId="26" fillId="0" borderId="32" xfId="0" applyFont="1" applyBorder="1" applyAlignment="1">
      <alignment wrapText="1"/>
    </xf>
    <xf numFmtId="0" fontId="0" fillId="0" borderId="15" xfId="0" applyBorder="1" applyAlignment="1">
      <alignment horizontal="center"/>
    </xf>
    <xf numFmtId="0" fontId="7" fillId="0" borderId="31" xfId="1" applyFill="1" applyBorder="1" applyAlignment="1">
      <alignment horizontal="center" vertical="center"/>
    </xf>
    <xf numFmtId="0" fontId="7" fillId="0" borderId="31" xfId="1" applyBorder="1" applyAlignment="1">
      <alignment horizontal="center" vertical="center"/>
    </xf>
    <xf numFmtId="2" fontId="13" fillId="0" borderId="13" xfId="0" applyNumberFormat="1" applyFont="1" applyBorder="1" applyAlignment="1">
      <alignment horizontal="center" vertical="center"/>
    </xf>
    <xf numFmtId="2" fontId="13" fillId="0" borderId="32" xfId="0" applyNumberFormat="1" applyFont="1" applyBorder="1" applyAlignment="1">
      <alignment horizontal="center" vertical="center"/>
    </xf>
    <xf numFmtId="0" fontId="7" fillId="0" borderId="33" xfId="1" applyBorder="1" applyAlignment="1">
      <alignment horizontal="center" vertical="center"/>
    </xf>
    <xf numFmtId="2" fontId="13" fillId="0" borderId="13" xfId="0" applyNumberFormat="1" applyFont="1" applyBorder="1" applyAlignment="1">
      <alignment horizontal="center" vertical="center" wrapText="1"/>
    </xf>
    <xf numFmtId="2" fontId="22" fillId="0" borderId="32" xfId="1" applyNumberFormat="1" applyFont="1" applyFill="1" applyBorder="1" applyAlignment="1">
      <alignment horizontal="center" vertical="center"/>
    </xf>
    <xf numFmtId="2" fontId="27" fillId="0" borderId="32" xfId="1" applyNumberFormat="1" applyFont="1" applyFill="1" applyBorder="1" applyAlignment="1">
      <alignment horizontal="center" vertical="center"/>
    </xf>
    <xf numFmtId="2" fontId="13" fillId="0" borderId="19" xfId="0" applyNumberFormat="1" applyFont="1" applyBorder="1" applyAlignment="1">
      <alignment horizontal="center" vertical="center"/>
    </xf>
    <xf numFmtId="2" fontId="23" fillId="0" borderId="33" xfId="0" applyNumberFormat="1" applyFont="1" applyBorder="1" applyAlignment="1">
      <alignment horizontal="center" vertical="center"/>
    </xf>
    <xf numFmtId="2" fontId="13" fillId="0" borderId="33" xfId="0" applyNumberFormat="1" applyFont="1" applyBorder="1" applyAlignment="1">
      <alignment horizontal="center" vertical="center"/>
    </xf>
    <xf numFmtId="0" fontId="27" fillId="0" borderId="33" xfId="1" applyFont="1" applyFill="1" applyBorder="1" applyAlignment="1">
      <alignment horizontal="center"/>
    </xf>
    <xf numFmtId="2" fontId="13" fillId="0" borderId="18" xfId="0" applyNumberFormat="1" applyFont="1" applyBorder="1" applyAlignment="1">
      <alignment horizontal="center" vertical="center" wrapText="1"/>
    </xf>
    <xf numFmtId="2" fontId="19" fillId="0" borderId="32" xfId="0" applyNumberFormat="1" applyFont="1" applyBorder="1" applyAlignment="1">
      <alignment horizontal="center" vertical="center"/>
    </xf>
    <xf numFmtId="181" fontId="23" fillId="0" borderId="33" xfId="0" applyNumberFormat="1" applyFont="1" applyBorder="1" applyAlignment="1">
      <alignment horizontal="center" vertical="center"/>
    </xf>
    <xf numFmtId="2" fontId="13" fillId="0" borderId="27" xfId="0" applyNumberFormat="1" applyFont="1" applyBorder="1" applyAlignment="1">
      <alignment horizontal="center" vertical="center"/>
    </xf>
    <xf numFmtId="0" fontId="7" fillId="0" borderId="13" xfId="1" applyFill="1" applyBorder="1" applyAlignment="1">
      <alignment horizontal="center" vertical="center"/>
    </xf>
    <xf numFmtId="0" fontId="7" fillId="0" borderId="35" xfId="1" applyBorder="1" applyAlignment="1">
      <alignment horizontal="center" vertical="center"/>
    </xf>
    <xf numFmtId="0" fontId="7" fillId="0" borderId="20" xfId="1" applyBorder="1" applyAlignment="1">
      <alignment horizontal="center" vertical="center"/>
    </xf>
    <xf numFmtId="0" fontId="0" fillId="0" borderId="33" xfId="0" applyBorder="1" applyAlignment="1">
      <alignment horizontal="center"/>
    </xf>
    <xf numFmtId="0" fontId="0" fillId="0" borderId="33" xfId="0" applyBorder="1" applyAlignment="1">
      <alignment horizontal="center" wrapText="1"/>
    </xf>
    <xf numFmtId="0" fontId="26" fillId="0" borderId="33" xfId="0" applyFont="1" applyBorder="1" applyAlignment="1">
      <alignment wrapText="1"/>
    </xf>
    <xf numFmtId="0" fontId="0" fillId="0" borderId="37" xfId="0" applyBorder="1" applyAlignment="1">
      <alignment horizontal="center"/>
    </xf>
    <xf numFmtId="0" fontId="21" fillId="0" borderId="32" xfId="0" applyFont="1" applyBorder="1"/>
    <xf numFmtId="0" fontId="23" fillId="0" borderId="15" xfId="0" applyFont="1" applyBorder="1"/>
    <xf numFmtId="0" fontId="13" fillId="10" borderId="24" xfId="0" applyFont="1" applyFill="1" applyBorder="1" applyAlignment="1">
      <alignment horizontal="left" vertical="center"/>
    </xf>
    <xf numFmtId="0" fontId="21" fillId="13" borderId="27" xfId="0" applyFont="1" applyFill="1" applyBorder="1"/>
    <xf numFmtId="0" fontId="23" fillId="0" borderId="13" xfId="0" applyFont="1" applyBorder="1"/>
    <xf numFmtId="0" fontId="23" fillId="0" borderId="32" xfId="0" applyFont="1" applyBorder="1" applyAlignment="1">
      <alignment horizontal="right"/>
    </xf>
    <xf numFmtId="0" fontId="24" fillId="0" borderId="32" xfId="1" applyFont="1" applyBorder="1"/>
    <xf numFmtId="0" fontId="23" fillId="0" borderId="32" xfId="1" applyFont="1" applyBorder="1"/>
    <xf numFmtId="178" fontId="24" fillId="0" borderId="15" xfId="1" applyNumberFormat="1" applyFont="1" applyBorder="1"/>
    <xf numFmtId="0" fontId="21" fillId="13" borderId="35" xfId="0" applyFont="1" applyFill="1" applyBorder="1"/>
    <xf numFmtId="0" fontId="23" fillId="0" borderId="34" xfId="0" applyFont="1" applyBorder="1"/>
    <xf numFmtId="178" fontId="24" fillId="0" borderId="36" xfId="1" applyNumberFormat="1" applyFont="1" applyBorder="1"/>
    <xf numFmtId="0" fontId="21" fillId="13" borderId="19" xfId="0" applyFont="1" applyFill="1" applyBorder="1"/>
    <xf numFmtId="0" fontId="23" fillId="0" borderId="0" xfId="0" applyFont="1" applyAlignment="1">
      <alignment horizontal="center"/>
    </xf>
    <xf numFmtId="0" fontId="0" fillId="0" borderId="32" xfId="0" applyBorder="1"/>
    <xf numFmtId="0" fontId="23" fillId="0" borderId="35" xfId="0" applyFont="1" applyBorder="1" applyAlignment="1">
      <alignment horizontal="center"/>
    </xf>
    <xf numFmtId="0" fontId="13" fillId="0" borderId="13" xfId="0" applyFont="1" applyBorder="1"/>
    <xf numFmtId="0" fontId="13" fillId="0" borderId="15" xfId="0" applyFont="1" applyBorder="1"/>
    <xf numFmtId="0" fontId="7" fillId="0" borderId="35" xfId="1" applyFill="1" applyBorder="1" applyAlignment="1">
      <alignment horizontal="center" vertical="center"/>
    </xf>
    <xf numFmtId="0" fontId="0" fillId="0" borderId="20" xfId="0" applyBorder="1"/>
    <xf numFmtId="2" fontId="22" fillId="0" borderId="18" xfId="1" applyNumberFormat="1" applyFont="1" applyBorder="1" applyAlignment="1">
      <alignment horizontal="center" vertical="center"/>
    </xf>
    <xf numFmtId="2" fontId="22" fillId="0" borderId="24" xfId="1" applyNumberFormat="1" applyFont="1" applyBorder="1" applyAlignment="1">
      <alignment horizontal="center" vertical="center"/>
    </xf>
    <xf numFmtId="0" fontId="13" fillId="0" borderId="26" xfId="0" applyFont="1" applyBorder="1" applyAlignment="1">
      <alignment horizontal="center" vertical="center"/>
    </xf>
    <xf numFmtId="0" fontId="13" fillId="2" borderId="26" xfId="0" applyFont="1" applyFill="1" applyBorder="1" applyAlignment="1">
      <alignment horizontal="center" vertical="center"/>
    </xf>
    <xf numFmtId="0" fontId="13" fillId="2" borderId="32" xfId="0" applyFont="1" applyFill="1" applyBorder="1" applyAlignment="1">
      <alignment horizontal="center" vertical="center"/>
    </xf>
    <xf numFmtId="2" fontId="13" fillId="0" borderId="38" xfId="0" applyNumberFormat="1" applyFont="1" applyBorder="1" applyAlignment="1">
      <alignment horizontal="center" vertical="center"/>
    </xf>
    <xf numFmtId="2" fontId="13" fillId="0" borderId="31" xfId="0" applyNumberFormat="1" applyFont="1" applyBorder="1" applyAlignment="1">
      <alignment horizontal="center" vertical="center"/>
    </xf>
    <xf numFmtId="2" fontId="13" fillId="2" borderId="31" xfId="0" applyNumberFormat="1" applyFont="1" applyFill="1" applyBorder="1" applyAlignment="1">
      <alignment horizontal="center" vertical="center"/>
    </xf>
    <xf numFmtId="0" fontId="7" fillId="2" borderId="33" xfId="1" applyFill="1" applyBorder="1" applyAlignment="1">
      <alignment horizontal="center" vertical="center"/>
    </xf>
    <xf numFmtId="0" fontId="13" fillId="0" borderId="37" xfId="0" applyFont="1" applyBorder="1" applyAlignment="1">
      <alignment horizontal="center" vertical="center"/>
    </xf>
    <xf numFmtId="2" fontId="27" fillId="0" borderId="15" xfId="1" applyNumberFormat="1" applyFont="1" applyFill="1" applyBorder="1" applyAlignment="1">
      <alignment horizontal="center" vertical="center"/>
    </xf>
    <xf numFmtId="2" fontId="13" fillId="0" borderId="37" xfId="0" applyNumberFormat="1" applyFont="1" applyBorder="1" applyAlignment="1">
      <alignment horizontal="center" vertical="center" wrapText="1"/>
    </xf>
    <xf numFmtId="0" fontId="0" fillId="0" borderId="13" xfId="0" applyBorder="1" applyAlignment="1">
      <alignment horizontal="center"/>
    </xf>
    <xf numFmtId="0" fontId="7" fillId="0" borderId="36" xfId="1" applyFill="1" applyBorder="1" applyAlignment="1">
      <alignment horizontal="center" vertical="center"/>
    </xf>
    <xf numFmtId="2" fontId="23" fillId="0" borderId="0" xfId="0" applyNumberFormat="1" applyFont="1" applyAlignment="1">
      <alignment horizontal="center"/>
    </xf>
    <xf numFmtId="0" fontId="7" fillId="0" borderId="34" xfId="1" applyBorder="1" applyAlignment="1">
      <alignment horizontal="center" vertical="center"/>
    </xf>
    <xf numFmtId="0" fontId="7" fillId="0" borderId="36" xfId="1" applyBorder="1" applyAlignment="1">
      <alignment horizontal="center" vertical="center"/>
    </xf>
    <xf numFmtId="0" fontId="15" fillId="0" borderId="13" xfId="0" applyFont="1" applyBorder="1" applyAlignment="1">
      <alignment horizontal="center" vertical="center"/>
    </xf>
    <xf numFmtId="0" fontId="15" fillId="0" borderId="32" xfId="0" applyFont="1" applyBorder="1"/>
    <xf numFmtId="0" fontId="18" fillId="0" borderId="15" xfId="0" applyFont="1" applyBorder="1" applyAlignment="1">
      <alignment horizontal="left" vertical="center"/>
    </xf>
    <xf numFmtId="43" fontId="8" fillId="7" borderId="0" xfId="0" applyNumberFormat="1" applyFont="1" applyFill="1" applyAlignment="1">
      <alignment horizontal="center" vertical="center"/>
    </xf>
    <xf numFmtId="43" fontId="0" fillId="0" borderId="0" xfId="0" applyNumberFormat="1"/>
    <xf numFmtId="0" fontId="29" fillId="16" borderId="0" xfId="4" applyAlignment="1"/>
    <xf numFmtId="0" fontId="9" fillId="8" borderId="0" xfId="2" applyAlignment="1"/>
    <xf numFmtId="10" fontId="9" fillId="8" borderId="0" xfId="2" applyNumberFormat="1" applyAlignment="1"/>
    <xf numFmtId="182" fontId="9" fillId="8" borderId="0" xfId="2" applyNumberFormat="1" applyAlignment="1">
      <alignment horizontal="center" vertical="center"/>
    </xf>
    <xf numFmtId="0" fontId="9" fillId="8" borderId="13" xfId="2" applyBorder="1" applyAlignment="1">
      <alignment horizontal="center" vertical="center"/>
    </xf>
    <xf numFmtId="0" fontId="9" fillId="8" borderId="0" xfId="2" applyBorder="1" applyAlignment="1">
      <alignment horizontal="center" vertical="center"/>
    </xf>
    <xf numFmtId="10" fontId="29" fillId="16" borderId="0" xfId="4" applyNumberFormat="1" applyAlignment="1"/>
    <xf numFmtId="0" fontId="29" fillId="16" borderId="0" xfId="4" applyAlignment="1">
      <alignment horizontal="right"/>
    </xf>
    <xf numFmtId="182" fontId="29" fillId="16" borderId="0" xfId="4" applyNumberFormat="1" applyAlignment="1">
      <alignment horizontal="center" vertical="center"/>
    </xf>
    <xf numFmtId="0" fontId="29" fillId="16" borderId="0" xfId="4" applyBorder="1" applyAlignment="1">
      <alignment horizontal="center" vertical="center"/>
    </xf>
    <xf numFmtId="0" fontId="0" fillId="2" borderId="0" xfId="0" applyFill="1" applyAlignment="1">
      <alignment horizontal="center"/>
    </xf>
    <xf numFmtId="0" fontId="10" fillId="0" borderId="0" xfId="0" applyFont="1"/>
    <xf numFmtId="0" fontId="31" fillId="2" borderId="0" xfId="0" applyFont="1" applyFill="1"/>
    <xf numFmtId="0" fontId="32" fillId="2" borderId="0" xfId="2" applyFont="1" applyFill="1" applyAlignment="1"/>
    <xf numFmtId="0" fontId="32" fillId="2" borderId="0" xfId="3" applyFont="1" applyFill="1" applyAlignment="1"/>
    <xf numFmtId="0" fontId="32" fillId="2" borderId="0" xfId="4" applyFont="1" applyFill="1" applyAlignment="1"/>
    <xf numFmtId="0" fontId="30" fillId="6" borderId="40" xfId="0" applyFont="1" applyFill="1" applyBorder="1" applyAlignment="1">
      <alignment horizontal="center"/>
    </xf>
    <xf numFmtId="0" fontId="31" fillId="2" borderId="40" xfId="0" applyFont="1" applyFill="1" applyBorder="1"/>
    <xf numFmtId="0" fontId="31" fillId="2" borderId="40" xfId="0" applyFont="1" applyFill="1" applyBorder="1" applyAlignment="1">
      <alignment horizontal="center"/>
    </xf>
    <xf numFmtId="10" fontId="32" fillId="2" borderId="40" xfId="0" applyNumberFormat="1" applyFont="1" applyFill="1" applyBorder="1"/>
    <xf numFmtId="0" fontId="32" fillId="2" borderId="40" xfId="2" applyFont="1" applyFill="1" applyBorder="1" applyAlignment="1">
      <alignment horizontal="center"/>
    </xf>
    <xf numFmtId="183" fontId="32" fillId="2" borderId="40" xfId="2" applyNumberFormat="1" applyFont="1" applyFill="1" applyBorder="1" applyAlignment="1"/>
    <xf numFmtId="0" fontId="32" fillId="2" borderId="40" xfId="3" applyFont="1" applyFill="1" applyBorder="1" applyAlignment="1">
      <alignment horizontal="center"/>
    </xf>
    <xf numFmtId="183" fontId="32" fillId="2" borderId="40" xfId="3" applyNumberFormat="1" applyFont="1" applyFill="1" applyBorder="1" applyAlignment="1"/>
    <xf numFmtId="10" fontId="32" fillId="2" borderId="40" xfId="3" applyNumberFormat="1" applyFont="1" applyFill="1" applyBorder="1" applyAlignment="1"/>
    <xf numFmtId="0" fontId="32" fillId="2" borderId="40" xfId="4" applyFont="1" applyFill="1" applyBorder="1" applyAlignment="1">
      <alignment horizontal="center"/>
    </xf>
    <xf numFmtId="178" fontId="32" fillId="2" borderId="40" xfId="4" applyNumberFormat="1" applyFont="1" applyFill="1" applyBorder="1" applyAlignment="1">
      <alignment horizontal="left" vertical="center"/>
    </xf>
    <xf numFmtId="184" fontId="32" fillId="2" borderId="40" xfId="0" applyNumberFormat="1" applyFont="1" applyFill="1" applyBorder="1"/>
    <xf numFmtId="176" fontId="0" fillId="2" borderId="0" xfId="0" applyNumberFormat="1" applyFill="1"/>
    <xf numFmtId="0" fontId="32" fillId="2" borderId="40" xfId="0" applyFont="1" applyFill="1" applyBorder="1"/>
    <xf numFmtId="0" fontId="31" fillId="2" borderId="40" xfId="0" applyFont="1" applyFill="1" applyBorder="1" applyAlignment="1">
      <alignment horizontal="right" vertical="center"/>
    </xf>
    <xf numFmtId="186" fontId="0" fillId="0" borderId="0" xfId="0" applyNumberFormat="1"/>
    <xf numFmtId="185" fontId="31" fillId="2" borderId="0" xfId="0" applyNumberFormat="1" applyFont="1" applyFill="1"/>
    <xf numFmtId="185" fontId="32" fillId="2" borderId="0" xfId="2" applyNumberFormat="1" applyFont="1" applyFill="1" applyBorder="1" applyAlignment="1"/>
    <xf numFmtId="185" fontId="32" fillId="2" borderId="0" xfId="3" applyNumberFormat="1" applyFont="1" applyFill="1" applyBorder="1" applyAlignment="1"/>
    <xf numFmtId="178" fontId="32" fillId="2" borderId="0" xfId="3" applyNumberFormat="1" applyFont="1" applyFill="1" applyBorder="1" applyAlignment="1"/>
    <xf numFmtId="178" fontId="32" fillId="2" borderId="0" xfId="4" applyNumberFormat="1" applyFont="1" applyFill="1" applyBorder="1" applyAlignment="1"/>
    <xf numFmtId="183" fontId="0" fillId="0" borderId="0" xfId="0" applyNumberFormat="1"/>
    <xf numFmtId="182" fontId="0" fillId="0" borderId="0" xfId="0" applyNumberFormat="1"/>
    <xf numFmtId="185" fontId="0" fillId="0" borderId="0" xfId="0" applyNumberFormat="1"/>
    <xf numFmtId="178" fontId="0" fillId="0" borderId="0" xfId="0" applyNumberFormat="1"/>
    <xf numFmtId="0" fontId="10" fillId="0" borderId="0" xfId="0" applyFont="1" applyAlignment="1">
      <alignment horizontal="center"/>
    </xf>
    <xf numFmtId="185" fontId="34" fillId="5" borderId="40" xfId="0" applyNumberFormat="1" applyFont="1" applyFill="1" applyBorder="1" applyAlignment="1">
      <alignment horizontal="center"/>
    </xf>
    <xf numFmtId="185" fontId="34" fillId="5" borderId="40" xfId="2" applyNumberFormat="1" applyFont="1" applyFill="1" applyBorder="1" applyAlignment="1">
      <alignment horizontal="center"/>
    </xf>
    <xf numFmtId="185" fontId="34" fillId="5" borderId="40" xfId="3" applyNumberFormat="1" applyFont="1" applyFill="1" applyBorder="1" applyAlignment="1">
      <alignment horizontal="center"/>
    </xf>
    <xf numFmtId="178" fontId="34" fillId="5" borderId="40" xfId="4" applyNumberFormat="1" applyFont="1" applyFill="1" applyBorder="1" applyAlignment="1">
      <alignment horizontal="center"/>
    </xf>
    <xf numFmtId="183" fontId="33" fillId="8" borderId="40" xfId="2" applyNumberFormat="1" applyFont="1" applyBorder="1" applyAlignment="1">
      <alignment horizontal="center"/>
    </xf>
    <xf numFmtId="182" fontId="33" fillId="8" borderId="40" xfId="2" applyNumberFormat="1" applyFont="1" applyBorder="1" applyAlignment="1">
      <alignment horizontal="center"/>
    </xf>
    <xf numFmtId="0" fontId="22" fillId="0" borderId="33" xfId="0" applyFont="1" applyBorder="1" applyAlignment="1">
      <alignment horizontal="center" vertical="center" wrapText="1"/>
    </xf>
    <xf numFmtId="0" fontId="22" fillId="0" borderId="32" xfId="0" applyFont="1" applyBorder="1" applyAlignment="1">
      <alignment horizontal="center" vertical="center" wrapText="1"/>
    </xf>
    <xf numFmtId="186" fontId="0" fillId="14" borderId="0" xfId="0" applyNumberFormat="1" applyFill="1"/>
    <xf numFmtId="187" fontId="0" fillId="0" borderId="0" xfId="0" applyNumberFormat="1" applyAlignment="1">
      <alignment horizontal="center"/>
    </xf>
    <xf numFmtId="187" fontId="0" fillId="0" borderId="0" xfId="0" applyNumberFormat="1"/>
    <xf numFmtId="187" fontId="10" fillId="0" borderId="0" xfId="0" applyNumberFormat="1" applyFont="1" applyAlignment="1">
      <alignment horizontal="center"/>
    </xf>
    <xf numFmtId="187" fontId="35" fillId="16" borderId="0" xfId="4" applyNumberFormat="1" applyFont="1" applyAlignment="1">
      <alignment horizontal="center"/>
    </xf>
    <xf numFmtId="182" fontId="0" fillId="2" borderId="0" xfId="0" applyNumberFormat="1" applyFill="1"/>
    <xf numFmtId="0" fontId="32" fillId="2" borderId="40" xfId="4" applyFont="1" applyFill="1" applyBorder="1" applyAlignment="1">
      <alignment horizontal="center" vertical="center"/>
    </xf>
    <xf numFmtId="0" fontId="32" fillId="2" borderId="40" xfId="2" applyFont="1" applyFill="1" applyBorder="1" applyAlignment="1">
      <alignment horizontal="center" vertical="center"/>
    </xf>
    <xf numFmtId="0" fontId="32" fillId="2" borderId="40" xfId="3" applyFont="1" applyFill="1" applyBorder="1" applyAlignment="1">
      <alignment horizontal="center" vertical="center"/>
    </xf>
    <xf numFmtId="0" fontId="32" fillId="2" borderId="40" xfId="0" applyFont="1" applyFill="1" applyBorder="1" applyAlignment="1">
      <alignment horizontal="center" vertical="center"/>
    </xf>
    <xf numFmtId="0" fontId="9" fillId="8" borderId="0" xfId="2" applyAlignment="1">
      <alignment horizontal="center"/>
    </xf>
    <xf numFmtId="0" fontId="28" fillId="15" borderId="3" xfId="3" applyBorder="1" applyAlignment="1">
      <alignment horizontal="center" vertical="center" wrapText="1"/>
    </xf>
    <xf numFmtId="0" fontId="28" fillId="15" borderId="0" xfId="3" applyAlignment="1">
      <alignment horizontal="center" vertical="center" wrapText="1"/>
    </xf>
    <xf numFmtId="0" fontId="7" fillId="0" borderId="0" xfId="1" applyFill="1" applyAlignment="1">
      <alignment horizontal="center" wrapText="1"/>
    </xf>
    <xf numFmtId="0" fontId="7" fillId="0" borderId="0" xfId="1" applyFill="1" applyAlignment="1">
      <alignment horizontal="center" vertical="center" wrapText="1"/>
    </xf>
    <xf numFmtId="0" fontId="25"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3" xfId="0" applyFont="1" applyBorder="1" applyAlignment="1">
      <alignment horizontal="center" vertical="center"/>
    </xf>
    <xf numFmtId="0" fontId="0" fillId="0" borderId="19" xfId="0" applyBorder="1" applyAlignment="1">
      <alignment horizontal="center" vertical="center"/>
    </xf>
    <xf numFmtId="0" fontId="0" fillId="0" borderId="33" xfId="0" applyBorder="1" applyAlignment="1">
      <alignment horizontal="center" vertical="center"/>
    </xf>
    <xf numFmtId="0" fontId="21" fillId="11" borderId="17" xfId="0" applyFont="1" applyFill="1" applyBorder="1" applyAlignment="1">
      <alignment horizontal="left"/>
    </xf>
    <xf numFmtId="0" fontId="21" fillId="11" borderId="18" xfId="0" applyFont="1" applyFill="1" applyBorder="1" applyAlignment="1">
      <alignment horizontal="left"/>
    </xf>
    <xf numFmtId="0" fontId="25" fillId="0" borderId="34" xfId="0" applyFont="1" applyBorder="1" applyAlignment="1">
      <alignment horizontal="center" vertical="center"/>
    </xf>
    <xf numFmtId="0" fontId="23" fillId="0" borderId="31" xfId="0" applyFont="1" applyBorder="1" applyAlignment="1">
      <alignment horizontal="center" vertical="center"/>
    </xf>
    <xf numFmtId="0" fontId="13" fillId="0" borderId="34" xfId="0" applyFont="1" applyBorder="1" applyAlignment="1">
      <alignment horizontal="center" vertical="center"/>
    </xf>
    <xf numFmtId="0" fontId="13" fillId="0" borderId="31" xfId="0" applyFont="1" applyBorder="1" applyAlignment="1">
      <alignment horizontal="center" vertical="center"/>
    </xf>
    <xf numFmtId="0" fontId="13" fillId="10" borderId="12" xfId="0" applyFont="1" applyFill="1" applyBorder="1" applyAlignment="1">
      <alignment horizontal="left" vertical="center"/>
    </xf>
    <xf numFmtId="0" fontId="13" fillId="10" borderId="26" xfId="0" applyFont="1" applyFill="1" applyBorder="1" applyAlignment="1">
      <alignment horizontal="left" vertical="center"/>
    </xf>
    <xf numFmtId="0" fontId="13" fillId="0" borderId="13" xfId="0" applyFont="1" applyBorder="1" applyAlignment="1">
      <alignment horizontal="center" vertical="center"/>
    </xf>
    <xf numFmtId="0" fontId="13" fillId="0" borderId="32" xfId="0" applyFont="1" applyBorder="1" applyAlignment="1">
      <alignment horizontal="center" vertical="center"/>
    </xf>
    <xf numFmtId="0" fontId="13" fillId="0" borderId="19" xfId="0" applyFont="1" applyBorder="1" applyAlignment="1">
      <alignment horizontal="center" vertical="center"/>
    </xf>
    <xf numFmtId="0" fontId="13" fillId="0" borderId="33" xfId="0" applyFont="1" applyBorder="1" applyAlignment="1">
      <alignment horizontal="center" vertical="center"/>
    </xf>
    <xf numFmtId="0" fontId="13" fillId="0" borderId="34" xfId="0" applyFont="1" applyBorder="1" applyAlignment="1">
      <alignment horizontal="center" vertical="center" wrapText="1"/>
    </xf>
    <xf numFmtId="0" fontId="13" fillId="0" borderId="36" xfId="0" applyFont="1" applyBorder="1" applyAlignment="1">
      <alignment horizontal="center" vertical="center" wrapText="1"/>
    </xf>
    <xf numFmtId="0" fontId="13" fillId="10" borderId="9" xfId="0" applyFont="1" applyFill="1" applyBorder="1" applyAlignment="1">
      <alignment horizontal="left" vertical="center"/>
    </xf>
    <xf numFmtId="0" fontId="13" fillId="10" borderId="14" xfId="0" applyFont="1" applyFill="1" applyBorder="1" applyAlignment="1">
      <alignment horizontal="left" vertical="center"/>
    </xf>
    <xf numFmtId="0" fontId="13" fillId="0" borderId="8" xfId="0" applyFont="1" applyBorder="1" applyAlignment="1">
      <alignment horizontal="center" vertical="center"/>
    </xf>
    <xf numFmtId="0" fontId="13" fillId="0" borderId="0" xfId="0" applyFont="1" applyAlignment="1">
      <alignment horizontal="center" vertical="center"/>
    </xf>
    <xf numFmtId="0" fontId="13" fillId="0" borderId="9"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13" fillId="0" borderId="14" xfId="0" applyFont="1" applyBorder="1" applyAlignment="1">
      <alignment horizontal="center" vertic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39" xfId="0" applyFont="1" applyBorder="1" applyAlignment="1">
      <alignment horizontal="center" vertical="center"/>
    </xf>
    <xf numFmtId="0" fontId="35" fillId="16" borderId="0" xfId="4" applyFont="1" applyAlignment="1">
      <alignment horizontal="center" vertical="center"/>
    </xf>
    <xf numFmtId="0" fontId="13" fillId="0" borderId="35" xfId="0" applyFont="1" applyBorder="1" applyAlignment="1">
      <alignment horizontal="center" vertical="center"/>
    </xf>
    <xf numFmtId="0" fontId="13" fillId="0" borderId="20" xfId="0" applyFont="1" applyBorder="1" applyAlignment="1">
      <alignment horizontal="center" vertical="center"/>
    </xf>
    <xf numFmtId="0" fontId="23" fillId="0" borderId="13" xfId="0" applyFont="1" applyBorder="1" applyAlignment="1">
      <alignment horizontal="center" wrapText="1"/>
    </xf>
    <xf numFmtId="0" fontId="23" fillId="0" borderId="15" xfId="0" applyFont="1" applyBorder="1" applyAlignment="1">
      <alignment horizontal="center" wrapText="1"/>
    </xf>
    <xf numFmtId="0" fontId="21" fillId="11" borderId="3" xfId="0" applyFont="1" applyFill="1" applyBorder="1" applyAlignment="1">
      <alignment horizontal="left"/>
    </xf>
    <xf numFmtId="0" fontId="21" fillId="11" borderId="2" xfId="0" applyFont="1" applyFill="1" applyBorder="1" applyAlignment="1">
      <alignment horizontal="left"/>
    </xf>
    <xf numFmtId="0" fontId="0" fillId="11" borderId="0" xfId="0" applyFill="1" applyAlignment="1">
      <alignment horizontal="center"/>
    </xf>
    <xf numFmtId="0" fontId="9" fillId="8" borderId="0" xfId="2" applyAlignment="1">
      <alignment horizontal="center" vertical="center" wrapText="1"/>
    </xf>
    <xf numFmtId="0" fontId="29" fillId="16" borderId="0" xfId="4" applyAlignment="1">
      <alignment horizontal="center" vertical="center" wrapText="1"/>
    </xf>
    <xf numFmtId="182" fontId="33" fillId="8" borderId="40" xfId="2" applyNumberFormat="1" applyFont="1" applyBorder="1" applyAlignment="1">
      <alignment horizontal="center"/>
    </xf>
    <xf numFmtId="183" fontId="33" fillId="8" borderId="40" xfId="2" applyNumberFormat="1" applyFont="1" applyBorder="1" applyAlignment="1">
      <alignment horizontal="center"/>
    </xf>
    <xf numFmtId="0" fontId="33" fillId="8" borderId="40" xfId="2" applyFont="1" applyBorder="1" applyAlignment="1">
      <alignment horizontal="center"/>
    </xf>
    <xf numFmtId="185" fontId="34" fillId="5" borderId="40" xfId="0" applyNumberFormat="1" applyFont="1" applyFill="1" applyBorder="1" applyAlignment="1">
      <alignment horizontal="center" vertical="center"/>
    </xf>
    <xf numFmtId="185" fontId="34" fillId="5" borderId="40" xfId="2" applyNumberFormat="1" applyFont="1" applyFill="1" applyBorder="1" applyAlignment="1">
      <alignment horizontal="center" vertical="center"/>
    </xf>
    <xf numFmtId="185" fontId="34" fillId="5" borderId="40" xfId="3" applyNumberFormat="1" applyFont="1" applyFill="1" applyBorder="1" applyAlignment="1">
      <alignment horizontal="center" vertical="center"/>
    </xf>
    <xf numFmtId="178" fontId="34" fillId="5" borderId="40" xfId="4" applyNumberFormat="1" applyFont="1" applyFill="1" applyBorder="1" applyAlignment="1">
      <alignment horizontal="center" vertical="center"/>
    </xf>
    <xf numFmtId="0" fontId="10" fillId="5" borderId="40" xfId="0" applyFont="1" applyFill="1" applyBorder="1" applyAlignment="1">
      <alignment horizontal="center"/>
    </xf>
    <xf numFmtId="178" fontId="32" fillId="2" borderId="40" xfId="4" applyNumberFormat="1" applyFont="1" applyFill="1" applyBorder="1" applyAlignment="1">
      <alignment horizontal="center" vertical="center"/>
    </xf>
    <xf numFmtId="0" fontId="31" fillId="2" borderId="40" xfId="0" applyFont="1" applyFill="1" applyBorder="1" applyAlignment="1">
      <alignment horizontal="center" vertical="center"/>
    </xf>
    <xf numFmtId="186" fontId="31" fillId="2" borderId="40" xfId="0" applyNumberFormat="1" applyFont="1" applyFill="1" applyBorder="1"/>
  </cellXfs>
  <cellStyles count="5">
    <cellStyle name="好" xfId="2" builtinId="26"/>
    <cellStyle name="差" xfId="4" builtinId="27"/>
    <cellStyle name="常规" xfId="0" builtinId="0"/>
    <cellStyle name="超链接" xfId="1" builtinId="8"/>
    <cellStyle name="适中" xfId="3" builtinId="28"/>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CAPI!$T$6:$T$31</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CAPI!$AI$6:$AI$31</c:f>
              <c:numCache>
                <c:formatCode>0.00</c:formatCode>
                <c:ptCount val="26"/>
                <c:pt idx="0">
                  <c:v>1</c:v>
                </c:pt>
                <c:pt idx="1">
                  <c:v>0.96294904095512224</c:v>
                </c:pt>
                <c:pt idx="2">
                  <c:v>0.91843681507504915</c:v>
                </c:pt>
                <c:pt idx="3">
                  <c:v>0.87209898675054554</c:v>
                </c:pt>
                <c:pt idx="4">
                  <c:v>0.82552425856309219</c:v>
                </c:pt>
                <c:pt idx="5">
                  <c:v>0.77953375513688528</c:v>
                </c:pt>
                <c:pt idx="6">
                  <c:v>0.73461910833825039</c:v>
                </c:pt>
                <c:pt idx="7">
                  <c:v>0.69109202302096606</c:v>
                </c:pt>
                <c:pt idx="8">
                  <c:v>0.6491526207156626</c:v>
                </c:pt>
                <c:pt idx="9">
                  <c:v>0.60892630927968183</c:v>
                </c:pt>
                <c:pt idx="10">
                  <c:v>0.5704859668398391</c:v>
                </c:pt>
                <c:pt idx="11">
                  <c:v>0.53386635631054902</c:v>
                </c:pt>
                <c:pt idx="12">
                  <c:v>0.49907403374968756</c:v>
                </c:pt>
                <c:pt idx="13">
                  <c:v>0.46609445207255606</c:v>
                </c:pt>
                <c:pt idx="14">
                  <c:v>0.43489721885244204</c:v>
                </c:pt>
                <c:pt idx="15">
                  <c:v>0.40544008317378216</c:v>
                </c:pt>
                <c:pt idx="16">
                  <c:v>0.37767201458603855</c:v>
                </c:pt>
                <c:pt idx="17">
                  <c:v>0.35153561356223767</c:v>
                </c:pt>
                <c:pt idx="18">
                  <c:v>0.32696901729188077</c:v>
                </c:pt>
                <c:pt idx="19">
                  <c:v>0.30390741656048764</c:v>
                </c:pt>
                <c:pt idx="20">
                  <c:v>0.28228426779706006</c:v>
                </c:pt>
                <c:pt idx="21">
                  <c:v>0.26203226285496589</c:v>
                </c:pt>
                <c:pt idx="22">
                  <c:v>0.24308410406845618</c:v>
                </c:pt>
                <c:pt idx="23">
                  <c:v>0.22537312137588686</c:v>
                </c:pt>
                <c:pt idx="24">
                  <c:v>0.20883376043455185</c:v>
                </c:pt>
                <c:pt idx="25">
                  <c:v>0.19340196478046279</c:v>
                </c:pt>
              </c:numCache>
            </c:numRef>
          </c:yVal>
          <c:smooth val="1"/>
          <c:extLst>
            <c:ext xmlns:c16="http://schemas.microsoft.com/office/drawing/2014/chart" uri="{C3380CC4-5D6E-409C-BE32-E72D297353CC}">
              <c16:uniqueId val="{00000000-7EF4-40D7-B8A2-26630F6CB396}"/>
            </c:ext>
          </c:extLst>
        </c:ser>
        <c:ser>
          <c:idx val="1"/>
          <c:order val="1"/>
          <c:spPr>
            <a:ln w="19050" cap="rnd">
              <a:solidFill>
                <a:schemeClr val="accent2"/>
              </a:solidFill>
              <a:round/>
            </a:ln>
            <a:effectLst/>
          </c:spPr>
          <c:marker>
            <c:symbol val="circle"/>
            <c:size val="5"/>
            <c:spPr>
              <a:solidFill>
                <a:srgbClr val="C00000"/>
              </a:solidFill>
              <a:ln w="9525">
                <a:solidFill>
                  <a:srgbClr val="C00000"/>
                </a:solidFill>
              </a:ln>
              <a:effectLst/>
            </c:spPr>
          </c:marker>
          <c:xVal>
            <c:numRef>
              <c:f>CAPI!$AK$6:$AK$90</c:f>
              <c:numCache>
                <c:formatCode>General</c:formatCode>
                <c:ptCount val="85"/>
                <c:pt idx="0">
                  <c:v>0.18788916147266599</c:v>
                </c:pt>
                <c:pt idx="1">
                  <c:v>0.50942427548009395</c:v>
                </c:pt>
                <c:pt idx="2">
                  <c:v>0.84310012917504396</c:v>
                </c:pt>
                <c:pt idx="3">
                  <c:v>1.17676214032822</c:v>
                </c:pt>
                <c:pt idx="4">
                  <c:v>1.5105992596348199</c:v>
                </c:pt>
                <c:pt idx="5">
                  <c:v>1.72039156258218</c:v>
                </c:pt>
                <c:pt idx="6">
                  <c:v>1.8459283742355399</c:v>
                </c:pt>
                <c:pt idx="7">
                  <c:v>1.8690838897273101</c:v>
                </c:pt>
                <c:pt idx="8">
                  <c:v>2.21048094019153</c:v>
                </c:pt>
                <c:pt idx="9">
                  <c:v>2.5441574860135701</c:v>
                </c:pt>
                <c:pt idx="10">
                  <c:v>2.8781184960690398</c:v>
                </c:pt>
                <c:pt idx="11">
                  <c:v>3.2120057945895799</c:v>
                </c:pt>
                <c:pt idx="12">
                  <c:v>3.4549550686333501</c:v>
                </c:pt>
                <c:pt idx="13">
                  <c:v>3.6496037693063399</c:v>
                </c:pt>
                <c:pt idx="14">
                  <c:v>3.9716239259775001</c:v>
                </c:pt>
                <c:pt idx="15">
                  <c:v>4.3053731451438502</c:v>
                </c:pt>
                <c:pt idx="16">
                  <c:v>4.6390226980094296</c:v>
                </c:pt>
                <c:pt idx="17">
                  <c:v>4.9726722508750099</c:v>
                </c:pt>
                <c:pt idx="18">
                  <c:v>5.2912998081957099</c:v>
                </c:pt>
                <c:pt idx="19">
                  <c:v>5.5041064630395704</c:v>
                </c:pt>
                <c:pt idx="20">
                  <c:v>5.6716507055810199</c:v>
                </c:pt>
                <c:pt idx="21">
                  <c:v>6.0053916192222996</c:v>
                </c:pt>
                <c:pt idx="22">
                  <c:v>6.3391117690509304</c:v>
                </c:pt>
                <c:pt idx="23">
                  <c:v>6.6728506063109503</c:v>
                </c:pt>
                <c:pt idx="24">
                  <c:v>7.0065001591765297</c:v>
                </c:pt>
                <c:pt idx="25">
                  <c:v>7.2341826323241598</c:v>
                </c:pt>
                <c:pt idx="26">
                  <c:v>7.3108076762456502</c:v>
                </c:pt>
                <c:pt idx="27">
                  <c:v>7.3949661774636199</c:v>
                </c:pt>
                <c:pt idx="28">
                  <c:v>7.6152473895887098</c:v>
                </c:pt>
                <c:pt idx="29">
                  <c:v>7.94895508112974</c:v>
                </c:pt>
                <c:pt idx="30">
                  <c:v>8.2826046339953194</c:v>
                </c:pt>
                <c:pt idx="31">
                  <c:v>8.6162541868608997</c:v>
                </c:pt>
                <c:pt idx="32">
                  <c:v>8.9499348854454706</c:v>
                </c:pt>
                <c:pt idx="33">
                  <c:v>9.1928822907461001</c:v>
                </c:pt>
                <c:pt idx="34">
                  <c:v>9.4359430664638602</c:v>
                </c:pt>
                <c:pt idx="35">
                  <c:v>9.7695926193294405</c:v>
                </c:pt>
                <c:pt idx="36">
                  <c:v>10.1032463249575</c:v>
                </c:pt>
                <c:pt idx="37">
                  <c:v>10.436891725060599</c:v>
                </c:pt>
                <c:pt idx="38">
                  <c:v>10.770608414253701</c:v>
                </c:pt>
                <c:pt idx="39">
                  <c:v>11.013707118535899</c:v>
                </c:pt>
                <c:pt idx="40">
                  <c:v>11.105170882749301</c:v>
                </c:pt>
                <c:pt idx="41">
                  <c:v>11.4389554003971</c:v>
                </c:pt>
                <c:pt idx="42">
                  <c:v>11.772677626607001</c:v>
                </c:pt>
                <c:pt idx="43">
                  <c:v>12.106545199505501</c:v>
                </c:pt>
                <c:pt idx="44">
                  <c:v>12.4402051342774</c:v>
                </c:pt>
                <c:pt idx="45">
                  <c:v>12.7739536613167</c:v>
                </c:pt>
                <c:pt idx="46">
                  <c:v>12.926088732419901</c:v>
                </c:pt>
                <c:pt idx="47">
                  <c:v>13.2598877847366</c:v>
                </c:pt>
                <c:pt idx="48">
                  <c:v>13.593543566746</c:v>
                </c:pt>
                <c:pt idx="49">
                  <c:v>13.9273903758318</c:v>
                </c:pt>
                <c:pt idx="50">
                  <c:v>14.261116754804201</c:v>
                </c:pt>
                <c:pt idx="51">
                  <c:v>14.5948099116764</c:v>
                </c:pt>
                <c:pt idx="52">
                  <c:v>14.9287231649628</c:v>
                </c:pt>
                <c:pt idx="53">
                  <c:v>15.2623768705909</c:v>
                </c:pt>
                <c:pt idx="54">
                  <c:v>15.596018117931401</c:v>
                </c:pt>
                <c:pt idx="55">
                  <c:v>15.929669747178201</c:v>
                </c:pt>
                <c:pt idx="56">
                  <c:v>16.263319300043801</c:v>
                </c:pt>
                <c:pt idx="57">
                  <c:v>16.6021167211631</c:v>
                </c:pt>
                <c:pt idx="58">
                  <c:v>16.931002536309201</c:v>
                </c:pt>
                <c:pt idx="59">
                  <c:v>17.264647936412199</c:v>
                </c:pt>
                <c:pt idx="60">
                  <c:v>17.598297489277801</c:v>
                </c:pt>
                <c:pt idx="61">
                  <c:v>17.931947042143399</c:v>
                </c:pt>
                <c:pt idx="62">
                  <c:v>18.265596595009001</c:v>
                </c:pt>
                <c:pt idx="63">
                  <c:v>18.599248224255799</c:v>
                </c:pt>
                <c:pt idx="64">
                  <c:v>18.932895700740101</c:v>
                </c:pt>
                <c:pt idx="65">
                  <c:v>19.266539024461899</c:v>
                </c:pt>
                <c:pt idx="66">
                  <c:v>19.600192730090001</c:v>
                </c:pt>
                <c:pt idx="67">
                  <c:v>19.933844359336899</c:v>
                </c:pt>
                <c:pt idx="68">
                  <c:v>20.2674939122025</c:v>
                </c:pt>
                <c:pt idx="69">
                  <c:v>20.601143465068098</c:v>
                </c:pt>
                <c:pt idx="70">
                  <c:v>20.9347930179336</c:v>
                </c:pt>
                <c:pt idx="71">
                  <c:v>21.268442570799198</c:v>
                </c:pt>
                <c:pt idx="72">
                  <c:v>21.6020921236648</c:v>
                </c:pt>
                <c:pt idx="73">
                  <c:v>21.905430201391699</c:v>
                </c:pt>
                <c:pt idx="74">
                  <c:v>21.916228537519899</c:v>
                </c:pt>
                <c:pt idx="75">
                  <c:v>22.0884429075921</c:v>
                </c:pt>
                <c:pt idx="76">
                  <c:v>22.422123606176601</c:v>
                </c:pt>
                <c:pt idx="77">
                  <c:v>22.755773159042199</c:v>
                </c:pt>
                <c:pt idx="78">
                  <c:v>23.089422711907801</c:v>
                </c:pt>
                <c:pt idx="79">
                  <c:v>23.423072264773399</c:v>
                </c:pt>
                <c:pt idx="80">
                  <c:v>23.756721817639001</c:v>
                </c:pt>
                <c:pt idx="81">
                  <c:v>24.090371370504499</c:v>
                </c:pt>
                <c:pt idx="82">
                  <c:v>24.424020923370101</c:v>
                </c:pt>
                <c:pt idx="83">
                  <c:v>24.757655941566799</c:v>
                </c:pt>
                <c:pt idx="84">
                  <c:v>25.030627108071201</c:v>
                </c:pt>
              </c:numCache>
            </c:numRef>
          </c:xVal>
          <c:yVal>
            <c:numRef>
              <c:f>CAPI!$AM$6:$AM$90</c:f>
              <c:numCache>
                <c:formatCode>General</c:formatCode>
                <c:ptCount val="85"/>
                <c:pt idx="0">
                  <c:v>1.00371987951807</c:v>
                </c:pt>
                <c:pt idx="1">
                  <c:v>1.0027304423172101</c:v>
                </c:pt>
                <c:pt idx="2">
                  <c:v>1.0013062524068801</c:v>
                </c:pt>
                <c:pt idx="3">
                  <c:v>1.0006316361335701</c:v>
                </c:pt>
                <c:pt idx="4">
                  <c:v>0.99047491335203797</c:v>
                </c:pt>
                <c:pt idx="5">
                  <c:v>0.94498578790045995</c:v>
                </c:pt>
                <c:pt idx="6">
                  <c:v>0.899526645394362</c:v>
                </c:pt>
                <c:pt idx="7">
                  <c:v>0.87750479658359404</c:v>
                </c:pt>
                <c:pt idx="8">
                  <c:v>0.86859423997359297</c:v>
                </c:pt>
                <c:pt idx="9">
                  <c:v>0.86713257138141597</c:v>
                </c:pt>
                <c:pt idx="10">
                  <c:v>0.85026716454860496</c:v>
                </c:pt>
                <c:pt idx="11">
                  <c:v>0.83739323733289295</c:v>
                </c:pt>
                <c:pt idx="12">
                  <c:v>0.82141607525994398</c:v>
                </c:pt>
                <c:pt idx="13">
                  <c:v>0.79296975573526896</c:v>
                </c:pt>
                <c:pt idx="14">
                  <c:v>0.765715258293447</c:v>
                </c:pt>
                <c:pt idx="15">
                  <c:v>0.76031832810694799</c:v>
                </c:pt>
                <c:pt idx="16">
                  <c:v>0.76031832810694799</c:v>
                </c:pt>
                <c:pt idx="17">
                  <c:v>0.76031832810694799</c:v>
                </c:pt>
                <c:pt idx="18">
                  <c:v>0.75252651015018901</c:v>
                </c:pt>
                <c:pt idx="19">
                  <c:v>0.72630642432744597</c:v>
                </c:pt>
                <c:pt idx="20">
                  <c:v>0.68734733454365404</c:v>
                </c:pt>
                <c:pt idx="21">
                  <c:v>0.68240014853936204</c:v>
                </c:pt>
                <c:pt idx="22">
                  <c:v>0.67857732299059204</c:v>
                </c:pt>
                <c:pt idx="23">
                  <c:v>0.67374257303185303</c:v>
                </c:pt>
                <c:pt idx="24">
                  <c:v>0.67374257303185303</c:v>
                </c:pt>
                <c:pt idx="25">
                  <c:v>0.66322980277273402</c:v>
                </c:pt>
                <c:pt idx="26">
                  <c:v>0.62014805798536599</c:v>
                </c:pt>
                <c:pt idx="27">
                  <c:v>0.57974603895032095</c:v>
                </c:pt>
                <c:pt idx="28">
                  <c:v>0.55939511470539605</c:v>
                </c:pt>
                <c:pt idx="29">
                  <c:v>0.55624690542993804</c:v>
                </c:pt>
                <c:pt idx="30">
                  <c:v>0.55624690542993804</c:v>
                </c:pt>
                <c:pt idx="31">
                  <c:v>0.55624690542993804</c:v>
                </c:pt>
                <c:pt idx="32">
                  <c:v>0.55456036474665704</c:v>
                </c:pt>
                <c:pt idx="33">
                  <c:v>0.53868439511470501</c:v>
                </c:pt>
                <c:pt idx="34">
                  <c:v>0.51666941739560901</c:v>
                </c:pt>
                <c:pt idx="35">
                  <c:v>0.51666941739560901</c:v>
                </c:pt>
                <c:pt idx="36">
                  <c:v>0.51644454530450501</c:v>
                </c:pt>
                <c:pt idx="37">
                  <c:v>0.51666941739560901</c:v>
                </c:pt>
                <c:pt idx="38">
                  <c:v>0.51303398525609201</c:v>
                </c:pt>
                <c:pt idx="39">
                  <c:v>0.488965175771579</c:v>
                </c:pt>
                <c:pt idx="40">
                  <c:v>0.46359960389503202</c:v>
                </c:pt>
                <c:pt idx="41">
                  <c:v>0.45629126093414701</c:v>
                </c:pt>
                <c:pt idx="42">
                  <c:v>0.45235599933982501</c:v>
                </c:pt>
                <c:pt idx="43">
                  <c:v>0.440550214556857</c:v>
                </c:pt>
                <c:pt idx="44">
                  <c:v>0.439988034329097</c:v>
                </c:pt>
                <c:pt idx="45">
                  <c:v>0.434628582824448</c:v>
                </c:pt>
                <c:pt idx="46">
                  <c:v>0.40884324971117297</c:v>
                </c:pt>
                <c:pt idx="47">
                  <c:v>0.40074785443142402</c:v>
                </c:pt>
                <c:pt idx="48">
                  <c:v>0.40041054629476802</c:v>
                </c:pt>
                <c:pt idx="49">
                  <c:v>0.38972912196732101</c:v>
                </c:pt>
                <c:pt idx="50">
                  <c:v>0.38556898828189401</c:v>
                </c:pt>
                <c:pt idx="51">
                  <c:v>0.38320783132530101</c:v>
                </c:pt>
                <c:pt idx="52">
                  <c:v>0.36892845354018799</c:v>
                </c:pt>
                <c:pt idx="53">
                  <c:v>0.36870358144908399</c:v>
                </c:pt>
                <c:pt idx="54">
                  <c:v>0.369153325631292</c:v>
                </c:pt>
                <c:pt idx="55">
                  <c:v>0.36904088958574</c:v>
                </c:pt>
                <c:pt idx="56">
                  <c:v>0.36904088958574</c:v>
                </c:pt>
                <c:pt idx="57">
                  <c:v>0.36402811588820999</c:v>
                </c:pt>
                <c:pt idx="58">
                  <c:v>0.34824022115860698</c:v>
                </c:pt>
                <c:pt idx="59">
                  <c:v>0.34846509324971098</c:v>
                </c:pt>
                <c:pt idx="60">
                  <c:v>0.34846509324971098</c:v>
                </c:pt>
                <c:pt idx="61">
                  <c:v>0.34846509324971098</c:v>
                </c:pt>
                <c:pt idx="62">
                  <c:v>0.34846509324971098</c:v>
                </c:pt>
                <c:pt idx="63">
                  <c:v>0.34835265720415898</c:v>
                </c:pt>
                <c:pt idx="64">
                  <c:v>0.34846509324971098</c:v>
                </c:pt>
                <c:pt idx="65">
                  <c:v>0.34880240138636698</c:v>
                </c:pt>
                <c:pt idx="66">
                  <c:v>0.34857752929526298</c:v>
                </c:pt>
                <c:pt idx="67">
                  <c:v>0.34846509324971098</c:v>
                </c:pt>
                <c:pt idx="68">
                  <c:v>0.34846509324971098</c:v>
                </c:pt>
                <c:pt idx="69">
                  <c:v>0.34846509324971098</c:v>
                </c:pt>
                <c:pt idx="70">
                  <c:v>0.34846509324971098</c:v>
                </c:pt>
                <c:pt idx="71">
                  <c:v>0.34846509324971098</c:v>
                </c:pt>
                <c:pt idx="72">
                  <c:v>0.34846509324971098</c:v>
                </c:pt>
                <c:pt idx="73">
                  <c:v>0.34736571858209098</c:v>
                </c:pt>
                <c:pt idx="74">
                  <c:v>0.310124401716454</c:v>
                </c:pt>
                <c:pt idx="75">
                  <c:v>0.29202219838257099</c:v>
                </c:pt>
                <c:pt idx="76">
                  <c:v>0.29033565769928998</c:v>
                </c:pt>
                <c:pt idx="77">
                  <c:v>0.29033565769928998</c:v>
                </c:pt>
                <c:pt idx="78">
                  <c:v>0.29033565769928998</c:v>
                </c:pt>
                <c:pt idx="79">
                  <c:v>0.29033565769928998</c:v>
                </c:pt>
                <c:pt idx="80">
                  <c:v>0.29033565769928998</c:v>
                </c:pt>
                <c:pt idx="81">
                  <c:v>0.29033565769928998</c:v>
                </c:pt>
                <c:pt idx="82">
                  <c:v>0.29033565769928998</c:v>
                </c:pt>
                <c:pt idx="83">
                  <c:v>0.29112271001815399</c:v>
                </c:pt>
                <c:pt idx="84">
                  <c:v>0.29192582462924099</c:v>
                </c:pt>
              </c:numCache>
            </c:numRef>
          </c:yVal>
          <c:smooth val="1"/>
          <c:extLst>
            <c:ext xmlns:c16="http://schemas.microsoft.com/office/drawing/2014/chart" uri="{C3380CC4-5D6E-409C-BE32-E72D297353CC}">
              <c16:uniqueId val="{00000001-7EF4-40D7-B8A2-26630F6CB396}"/>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v>Markov model</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CAPI!$T$6:$T$106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CAPI!$AI$6:$AI$106</c:f>
              <c:numCache>
                <c:formatCode>0.00</c:formatCode>
                <c:ptCount val="101"/>
                <c:pt idx="0">
                  <c:v>1</c:v>
                </c:pt>
                <c:pt idx="1">
                  <c:v>0.96294904095512224</c:v>
                </c:pt>
                <c:pt idx="2">
                  <c:v>0.91843681507504915</c:v>
                </c:pt>
                <c:pt idx="3">
                  <c:v>0.87209898675054554</c:v>
                </c:pt>
                <c:pt idx="4">
                  <c:v>0.82552425856309219</c:v>
                </c:pt>
                <c:pt idx="5">
                  <c:v>0.77953375513688528</c:v>
                </c:pt>
                <c:pt idx="6">
                  <c:v>0.73461910833825039</c:v>
                </c:pt>
                <c:pt idx="7">
                  <c:v>0.69109202302096606</c:v>
                </c:pt>
                <c:pt idx="8">
                  <c:v>0.6491526207156626</c:v>
                </c:pt>
                <c:pt idx="9">
                  <c:v>0.60892630927968183</c:v>
                </c:pt>
                <c:pt idx="10">
                  <c:v>0.5704859668398391</c:v>
                </c:pt>
                <c:pt idx="11">
                  <c:v>0.53386635631054902</c:v>
                </c:pt>
                <c:pt idx="12">
                  <c:v>0.49907403374968756</c:v>
                </c:pt>
                <c:pt idx="13">
                  <c:v>0.46609445207255606</c:v>
                </c:pt>
                <c:pt idx="14">
                  <c:v>0.43489721885244204</c:v>
                </c:pt>
                <c:pt idx="15">
                  <c:v>0.40544008317378216</c:v>
                </c:pt>
                <c:pt idx="16">
                  <c:v>0.37767201458603855</c:v>
                </c:pt>
                <c:pt idx="17">
                  <c:v>0.35153561356223767</c:v>
                </c:pt>
                <c:pt idx="18">
                  <c:v>0.32696901729188077</c:v>
                </c:pt>
                <c:pt idx="19">
                  <c:v>0.30390741656048764</c:v>
                </c:pt>
                <c:pt idx="20">
                  <c:v>0.28228426779706006</c:v>
                </c:pt>
                <c:pt idx="21">
                  <c:v>0.26203226285496589</c:v>
                </c:pt>
                <c:pt idx="22">
                  <c:v>0.24308410406845618</c:v>
                </c:pt>
                <c:pt idx="23">
                  <c:v>0.22537312137588686</c:v>
                </c:pt>
                <c:pt idx="24">
                  <c:v>0.20883376043455185</c:v>
                </c:pt>
                <c:pt idx="25">
                  <c:v>0.19340196478046279</c:v>
                </c:pt>
                <c:pt idx="26">
                  <c:v>0.17901547062377582</c:v>
                </c:pt>
                <c:pt idx="27">
                  <c:v>0.16561402942306294</c:v>
                </c:pt>
                <c:pt idx="28">
                  <c:v>0.15313957067892578</c:v>
                </c:pt>
                <c:pt idx="29">
                  <c:v>0.14153631524055557</c:v>
                </c:pt>
                <c:pt idx="30">
                  <c:v>0.13075084769322598</c:v>
                </c:pt>
                <c:pt idx="31">
                  <c:v>0.12073215499307095</c:v>
                </c:pt>
                <c:pt idx="32">
                  <c:v>0.1114316373664075</c:v>
                </c:pt>
                <c:pt idx="33">
                  <c:v>0.10280309654106735</c:v>
                </c:pt>
                <c:pt idx="34">
                  <c:v>9.4802705586499406E-2</c:v>
                </c:pt>
                <c:pt idx="35">
                  <c:v>8.7388963977071799E-2</c:v>
                </c:pt>
                <c:pt idx="36">
                  <c:v>8.052264093519157E-2</c:v>
                </c:pt>
                <c:pt idx="37">
                  <c:v>7.4166709638976258E-2</c:v>
                </c:pt>
                <c:pt idx="38">
                  <c:v>6.8286274478457948E-2</c:v>
                </c:pt>
                <c:pt idx="39">
                  <c:v>6.2848493202903963E-2</c:v>
                </c:pt>
                <c:pt idx="40">
                  <c:v>5.7822495510265644E-2</c:v>
                </c:pt>
                <c:pt idx="41">
                  <c:v>5.3179299380247985E-2</c:v>
                </c:pt>
                <c:pt idx="42">
                  <c:v>4.8891726238675624E-2</c:v>
                </c:pt>
                <c:pt idx="43">
                  <c:v>4.4934315857421671E-2</c:v>
                </c:pt>
                <c:pt idx="44">
                  <c:v>4.1283241736785228E-2</c:v>
                </c:pt>
                <c:pt idx="45">
                  <c:v>3.7916227582146994E-2</c:v>
                </c:pt>
                <c:pt idx="46">
                  <c:v>3.4812465370907937E-2</c:v>
                </c:pt>
                <c:pt idx="47">
                  <c:v>3.195253540645946E-2</c:v>
                </c:pt>
                <c:pt idx="48">
                  <c:v>2.9318328671017958E-2</c:v>
                </c:pt>
                <c:pt idx="49">
                  <c:v>2.6892971716633268E-2</c:v>
                </c:pt>
                <c:pt idx="50">
                  <c:v>2.4660754271908912E-2</c:v>
                </c:pt>
                <c:pt idx="51">
                  <c:v>2.2607059689512009E-2</c:v>
                </c:pt>
                <c:pt idx="52">
                  <c:v>2.0718298315173491E-2</c:v>
                </c:pt>
                <c:pt idx="53">
                  <c:v>1.898184382151033E-2</c:v>
                </c:pt>
                <c:pt idx="54">
                  <c:v>1.7385972518708295E-2</c:v>
                </c:pt>
                <c:pt idx="55">
                  <c:v>1.5919805628078092E-2</c:v>
                </c:pt>
                <c:pt idx="56">
                  <c:v>1.4573254483033059E-2</c:v>
                </c:pt>
                <c:pt idx="57">
                  <c:v>1.3336968604509433E-2</c:v>
                </c:pt>
                <c:pt idx="58">
                  <c:v>1.2202286583731729E-2</c:v>
                </c:pt>
                <c:pt idx="59">
                  <c:v>1.1161189694034632E-2</c:v>
                </c:pt>
                <c:pt idx="60">
                  <c:v>1.0206258144784449E-2</c:v>
                </c:pt>
                <c:pt idx="61">
                  <c:v>9.330629883929558E-3</c:v>
                </c:pt>
                <c:pt idx="62">
                  <c:v>8.5279618510460224E-3</c:v>
                </c:pt>
                <c:pt idx="63">
                  <c:v>7.7923935796412993E-3</c:v>
                </c:pt>
                <c:pt idx="64">
                  <c:v>7.1185130457111848E-3</c:v>
                </c:pt>
                <c:pt idx="65">
                  <c:v>6.5013246588889366E-3</c:v>
                </c:pt>
                <c:pt idx="66">
                  <c:v>5.936219292807814E-3</c:v>
                </c:pt>
                <c:pt idx="67">
                  <c:v>5.418946252352265E-3</c:v>
                </c:pt>
                <c:pt idx="68">
                  <c:v>4.9455870771669477E-3</c:v>
                </c:pt>
                <c:pt idx="69">
                  <c:v>4.5125310829999725E-3</c:v>
                </c:pt>
                <c:pt idx="70">
                  <c:v>4.1164525450785843E-3</c:v>
                </c:pt>
                <c:pt idx="71">
                  <c:v>3.7542894306591421E-3</c:v>
                </c:pt>
                <c:pt idx="72">
                  <c:v>3.4232235910818276E-3</c:v>
                </c:pt>
                <c:pt idx="73">
                  <c:v>3.1206623270299528E-3</c:v>
                </c:pt>
                <c:pt idx="74">
                  <c:v>2.8442212441837996E-3</c:v>
                </c:pt>
                <c:pt idx="75">
                  <c:v>2.5917083200258468E-3</c:v>
                </c:pt>
                <c:pt idx="76">
                  <c:v>2.3611091061527438E-3</c:v>
                </c:pt>
                <c:pt idx="77">
                  <c:v>2.1505729940505904E-3</c:v>
                </c:pt>
                <c:pt idx="78">
                  <c:v>1.9584004758600119E-3</c:v>
                </c:pt>
                <c:pt idx="79">
                  <c:v>1.7830313351772996E-3</c:v>
                </c:pt>
                <c:pt idx="80">
                  <c:v>1.6230337063859628E-3</c:v>
                </c:pt>
                <c:pt idx="81">
                  <c:v>1.4770939443740307E-3</c:v>
                </c:pt>
                <c:pt idx="82">
                  <c:v>1.3440072497555393E-3</c:v>
                </c:pt>
                <c:pt idx="83">
                  <c:v>1.2226689978686615E-3</c:v>
                </c:pt>
                <c:pt idx="84">
                  <c:v>1.1120667228628235E-3</c:v>
                </c:pt>
                <c:pt idx="85">
                  <c:v>1.0112727111060876E-3</c:v>
                </c:pt>
                <c:pt idx="86">
                  <c:v>9.1943716094064173E-4</c:v>
                </c:pt>
                <c:pt idx="87">
                  <c:v>8.3578186848531249E-4</c:v>
                </c:pt>
                <c:pt idx="88">
                  <c:v>7.595944017305768E-4</c:v>
                </c:pt>
                <c:pt idx="89">
                  <c:v>6.902227275928512E-4</c:v>
                </c:pt>
                <c:pt idx="90">
                  <c:v>6.2707025889372685E-4</c:v>
                </c:pt>
                <c:pt idx="91">
                  <c:v>5.6959129040761044E-4</c:v>
                </c:pt>
                <c:pt idx="92">
                  <c:v>5.1728679518105419E-4</c:v>
                </c:pt>
                <c:pt idx="93">
                  <c:v>4.697005542725206E-4</c:v>
                </c:pt>
                <c:pt idx="94">
                  <c:v>4.2641559489539724E-4</c:v>
                </c:pt>
                <c:pt idx="95">
                  <c:v>3.870509136744878E-4</c:v>
                </c:pt>
                <c:pt idx="96">
                  <c:v>3.5125846335023483E-4</c:v>
                </c:pt>
                <c:pt idx="97">
                  <c:v>3.1872038279056995E-4</c:v>
                </c:pt>
                <c:pt idx="98">
                  <c:v>2.891464516013846E-4</c:v>
                </c:pt>
                <c:pt idx="99">
                  <c:v>2.6227175196770204E-4</c:v>
                </c:pt>
                <c:pt idx="100">
                  <c:v>2.3785452161295646E-4</c:v>
                </c:pt>
              </c:numCache>
            </c:numRef>
          </c:yVal>
          <c:smooth val="1"/>
          <c:extLst>
            <c:ext xmlns:c16="http://schemas.microsoft.com/office/drawing/2014/chart" uri="{C3380CC4-5D6E-409C-BE32-E72D297353CC}">
              <c16:uniqueId val="{00000000-9DCD-4404-8103-8F729A8E2752}"/>
            </c:ext>
          </c:extLst>
        </c:ser>
        <c:ser>
          <c:idx val="1"/>
          <c:order val="1"/>
          <c:tx>
            <c:v>KM</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CAPI!$AK$6:$AK$80</c:f>
              <c:numCache>
                <c:formatCode>General</c:formatCode>
                <c:ptCount val="75"/>
                <c:pt idx="0">
                  <c:v>0.18788916147266599</c:v>
                </c:pt>
                <c:pt idx="1">
                  <c:v>0.50942427548009395</c:v>
                </c:pt>
                <c:pt idx="2">
                  <c:v>0.84310012917504396</c:v>
                </c:pt>
                <c:pt idx="3">
                  <c:v>1.17676214032822</c:v>
                </c:pt>
                <c:pt idx="4">
                  <c:v>1.5105992596348199</c:v>
                </c:pt>
                <c:pt idx="5">
                  <c:v>1.72039156258218</c:v>
                </c:pt>
                <c:pt idx="6">
                  <c:v>1.8459283742355399</c:v>
                </c:pt>
                <c:pt idx="7">
                  <c:v>1.8690838897273101</c:v>
                </c:pt>
                <c:pt idx="8">
                  <c:v>2.21048094019153</c:v>
                </c:pt>
                <c:pt idx="9">
                  <c:v>2.5441574860135701</c:v>
                </c:pt>
                <c:pt idx="10">
                  <c:v>2.8781184960690398</c:v>
                </c:pt>
                <c:pt idx="11">
                  <c:v>3.2120057945895799</c:v>
                </c:pt>
                <c:pt idx="12">
                  <c:v>3.4549550686333501</c:v>
                </c:pt>
                <c:pt idx="13">
                  <c:v>3.6496037693063399</c:v>
                </c:pt>
                <c:pt idx="14">
                  <c:v>3.9716239259775001</c:v>
                </c:pt>
                <c:pt idx="15">
                  <c:v>4.3053731451438502</c:v>
                </c:pt>
                <c:pt idx="16">
                  <c:v>4.6390226980094296</c:v>
                </c:pt>
                <c:pt idx="17">
                  <c:v>4.9726722508750099</c:v>
                </c:pt>
                <c:pt idx="18">
                  <c:v>5.2912998081957099</c:v>
                </c:pt>
                <c:pt idx="19">
                  <c:v>5.5041064630395704</c:v>
                </c:pt>
                <c:pt idx="20">
                  <c:v>5.6716507055810199</c:v>
                </c:pt>
                <c:pt idx="21">
                  <c:v>6.0053916192222996</c:v>
                </c:pt>
                <c:pt idx="22">
                  <c:v>6.3391117690509304</c:v>
                </c:pt>
                <c:pt idx="23">
                  <c:v>6.6728506063109503</c:v>
                </c:pt>
                <c:pt idx="24">
                  <c:v>7.0065001591765297</c:v>
                </c:pt>
                <c:pt idx="25">
                  <c:v>7.2341826323241598</c:v>
                </c:pt>
                <c:pt idx="26">
                  <c:v>7.3108076762456502</c:v>
                </c:pt>
                <c:pt idx="27">
                  <c:v>7.3949661774636199</c:v>
                </c:pt>
                <c:pt idx="28">
                  <c:v>7.6152473895887098</c:v>
                </c:pt>
                <c:pt idx="29">
                  <c:v>7.94895508112974</c:v>
                </c:pt>
                <c:pt idx="30">
                  <c:v>8.2826046339953194</c:v>
                </c:pt>
                <c:pt idx="31">
                  <c:v>8.6162541868608997</c:v>
                </c:pt>
                <c:pt idx="32">
                  <c:v>8.9499348854454706</c:v>
                </c:pt>
                <c:pt idx="33">
                  <c:v>9.1928822907461001</c:v>
                </c:pt>
                <c:pt idx="34">
                  <c:v>9.4359430664638602</c:v>
                </c:pt>
                <c:pt idx="35">
                  <c:v>9.7695926193294405</c:v>
                </c:pt>
                <c:pt idx="36">
                  <c:v>10.1032463249575</c:v>
                </c:pt>
                <c:pt idx="37">
                  <c:v>10.436891725060599</c:v>
                </c:pt>
                <c:pt idx="38">
                  <c:v>10.770608414253701</c:v>
                </c:pt>
                <c:pt idx="39">
                  <c:v>11.013707118535899</c:v>
                </c:pt>
                <c:pt idx="40">
                  <c:v>11.105170882749301</c:v>
                </c:pt>
                <c:pt idx="41">
                  <c:v>11.4389554003971</c:v>
                </c:pt>
                <c:pt idx="42">
                  <c:v>11.772677626607001</c:v>
                </c:pt>
                <c:pt idx="43">
                  <c:v>12.106545199505501</c:v>
                </c:pt>
                <c:pt idx="44">
                  <c:v>12.4402051342774</c:v>
                </c:pt>
                <c:pt idx="45">
                  <c:v>12.7739536613167</c:v>
                </c:pt>
                <c:pt idx="46">
                  <c:v>12.926088732419901</c:v>
                </c:pt>
                <c:pt idx="47">
                  <c:v>13.2598877847366</c:v>
                </c:pt>
                <c:pt idx="48">
                  <c:v>13.593543566746</c:v>
                </c:pt>
                <c:pt idx="49">
                  <c:v>13.9273903758318</c:v>
                </c:pt>
                <c:pt idx="50">
                  <c:v>14.261116754804201</c:v>
                </c:pt>
                <c:pt idx="51">
                  <c:v>14.5948099116764</c:v>
                </c:pt>
                <c:pt idx="52">
                  <c:v>14.9287231649628</c:v>
                </c:pt>
                <c:pt idx="53">
                  <c:v>15.2623768705909</c:v>
                </c:pt>
                <c:pt idx="54">
                  <c:v>15.596018117931401</c:v>
                </c:pt>
                <c:pt idx="55">
                  <c:v>15.929669747178201</c:v>
                </c:pt>
                <c:pt idx="56">
                  <c:v>16.263319300043801</c:v>
                </c:pt>
                <c:pt idx="57">
                  <c:v>16.6021167211631</c:v>
                </c:pt>
                <c:pt idx="58">
                  <c:v>16.931002536309201</c:v>
                </c:pt>
                <c:pt idx="59">
                  <c:v>17.264647936412199</c:v>
                </c:pt>
                <c:pt idx="60">
                  <c:v>17.598297489277801</c:v>
                </c:pt>
                <c:pt idx="61">
                  <c:v>17.931947042143399</c:v>
                </c:pt>
                <c:pt idx="62">
                  <c:v>18.265596595009001</c:v>
                </c:pt>
                <c:pt idx="63">
                  <c:v>18.599248224255799</c:v>
                </c:pt>
                <c:pt idx="64">
                  <c:v>18.932895700740101</c:v>
                </c:pt>
                <c:pt idx="65">
                  <c:v>19.266539024461899</c:v>
                </c:pt>
                <c:pt idx="66">
                  <c:v>19.600192730090001</c:v>
                </c:pt>
                <c:pt idx="67">
                  <c:v>19.933844359336899</c:v>
                </c:pt>
                <c:pt idx="68">
                  <c:v>20.2674939122025</c:v>
                </c:pt>
                <c:pt idx="69">
                  <c:v>20.601143465068098</c:v>
                </c:pt>
                <c:pt idx="70">
                  <c:v>20.9347930179336</c:v>
                </c:pt>
                <c:pt idx="71">
                  <c:v>21.268442570799198</c:v>
                </c:pt>
                <c:pt idx="72">
                  <c:v>21.6020921236648</c:v>
                </c:pt>
                <c:pt idx="73">
                  <c:v>21.905430201391699</c:v>
                </c:pt>
                <c:pt idx="74">
                  <c:v>21.916228537519899</c:v>
                </c:pt>
              </c:numCache>
            </c:numRef>
          </c:xVal>
          <c:yVal>
            <c:numRef>
              <c:f>CAPI!$AM$6:$AM$80</c:f>
              <c:numCache>
                <c:formatCode>General</c:formatCode>
                <c:ptCount val="75"/>
                <c:pt idx="0">
                  <c:v>1.00371987951807</c:v>
                </c:pt>
                <c:pt idx="1">
                  <c:v>1.0027304423172101</c:v>
                </c:pt>
                <c:pt idx="2">
                  <c:v>1.0013062524068801</c:v>
                </c:pt>
                <c:pt idx="3">
                  <c:v>1.0006316361335701</c:v>
                </c:pt>
                <c:pt idx="4">
                  <c:v>0.99047491335203797</c:v>
                </c:pt>
                <c:pt idx="5">
                  <c:v>0.94498578790045995</c:v>
                </c:pt>
                <c:pt idx="6">
                  <c:v>0.899526645394362</c:v>
                </c:pt>
                <c:pt idx="7">
                  <c:v>0.87750479658359404</c:v>
                </c:pt>
                <c:pt idx="8">
                  <c:v>0.86859423997359297</c:v>
                </c:pt>
                <c:pt idx="9">
                  <c:v>0.86713257138141597</c:v>
                </c:pt>
                <c:pt idx="10">
                  <c:v>0.85026716454860496</c:v>
                </c:pt>
                <c:pt idx="11">
                  <c:v>0.83739323733289295</c:v>
                </c:pt>
                <c:pt idx="12">
                  <c:v>0.82141607525994398</c:v>
                </c:pt>
                <c:pt idx="13">
                  <c:v>0.79296975573526896</c:v>
                </c:pt>
                <c:pt idx="14">
                  <c:v>0.765715258293447</c:v>
                </c:pt>
                <c:pt idx="15">
                  <c:v>0.76031832810694799</c:v>
                </c:pt>
                <c:pt idx="16">
                  <c:v>0.76031832810694799</c:v>
                </c:pt>
                <c:pt idx="17">
                  <c:v>0.76031832810694799</c:v>
                </c:pt>
                <c:pt idx="18">
                  <c:v>0.75252651015018901</c:v>
                </c:pt>
                <c:pt idx="19">
                  <c:v>0.72630642432744597</c:v>
                </c:pt>
                <c:pt idx="20">
                  <c:v>0.68734733454365404</c:v>
                </c:pt>
                <c:pt idx="21">
                  <c:v>0.68240014853936204</c:v>
                </c:pt>
                <c:pt idx="22">
                  <c:v>0.67857732299059204</c:v>
                </c:pt>
                <c:pt idx="23">
                  <c:v>0.67374257303185303</c:v>
                </c:pt>
                <c:pt idx="24">
                  <c:v>0.67374257303185303</c:v>
                </c:pt>
                <c:pt idx="25">
                  <c:v>0.66322980277273402</c:v>
                </c:pt>
                <c:pt idx="26">
                  <c:v>0.62014805798536599</c:v>
                </c:pt>
                <c:pt idx="27">
                  <c:v>0.57974603895032095</c:v>
                </c:pt>
                <c:pt idx="28">
                  <c:v>0.55939511470539605</c:v>
                </c:pt>
                <c:pt idx="29">
                  <c:v>0.55624690542993804</c:v>
                </c:pt>
                <c:pt idx="30">
                  <c:v>0.55624690542993804</c:v>
                </c:pt>
                <c:pt idx="31">
                  <c:v>0.55624690542993804</c:v>
                </c:pt>
                <c:pt idx="32">
                  <c:v>0.55456036474665704</c:v>
                </c:pt>
                <c:pt idx="33">
                  <c:v>0.53868439511470501</c:v>
                </c:pt>
                <c:pt idx="34">
                  <c:v>0.51666941739560901</c:v>
                </c:pt>
                <c:pt idx="35">
                  <c:v>0.51666941739560901</c:v>
                </c:pt>
                <c:pt idx="36">
                  <c:v>0.51644454530450501</c:v>
                </c:pt>
                <c:pt idx="37">
                  <c:v>0.51666941739560901</c:v>
                </c:pt>
                <c:pt idx="38">
                  <c:v>0.51303398525609201</c:v>
                </c:pt>
                <c:pt idx="39">
                  <c:v>0.488965175771579</c:v>
                </c:pt>
                <c:pt idx="40">
                  <c:v>0.46359960389503202</c:v>
                </c:pt>
                <c:pt idx="41">
                  <c:v>0.45629126093414701</c:v>
                </c:pt>
                <c:pt idx="42">
                  <c:v>0.45235599933982501</c:v>
                </c:pt>
                <c:pt idx="43">
                  <c:v>0.440550214556857</c:v>
                </c:pt>
                <c:pt idx="44">
                  <c:v>0.439988034329097</c:v>
                </c:pt>
                <c:pt idx="45">
                  <c:v>0.434628582824448</c:v>
                </c:pt>
                <c:pt idx="46">
                  <c:v>0.40884324971117297</c:v>
                </c:pt>
                <c:pt idx="47">
                  <c:v>0.40074785443142402</c:v>
                </c:pt>
                <c:pt idx="48">
                  <c:v>0.40041054629476802</c:v>
                </c:pt>
                <c:pt idx="49">
                  <c:v>0.38972912196732101</c:v>
                </c:pt>
                <c:pt idx="50">
                  <c:v>0.38556898828189401</c:v>
                </c:pt>
                <c:pt idx="51">
                  <c:v>0.38320783132530101</c:v>
                </c:pt>
                <c:pt idx="52">
                  <c:v>0.36892845354018799</c:v>
                </c:pt>
                <c:pt idx="53">
                  <c:v>0.36870358144908399</c:v>
                </c:pt>
                <c:pt idx="54">
                  <c:v>0.369153325631292</c:v>
                </c:pt>
                <c:pt idx="55">
                  <c:v>0.36904088958574</c:v>
                </c:pt>
                <c:pt idx="56">
                  <c:v>0.36904088958574</c:v>
                </c:pt>
                <c:pt idx="57">
                  <c:v>0.36402811588820999</c:v>
                </c:pt>
                <c:pt idx="58">
                  <c:v>0.34824022115860698</c:v>
                </c:pt>
                <c:pt idx="59">
                  <c:v>0.34846509324971098</c:v>
                </c:pt>
                <c:pt idx="60">
                  <c:v>0.34846509324971098</c:v>
                </c:pt>
                <c:pt idx="61">
                  <c:v>0.34846509324971098</c:v>
                </c:pt>
                <c:pt idx="62">
                  <c:v>0.34846509324971098</c:v>
                </c:pt>
                <c:pt idx="63">
                  <c:v>0.34835265720415898</c:v>
                </c:pt>
                <c:pt idx="64">
                  <c:v>0.34846509324971098</c:v>
                </c:pt>
                <c:pt idx="65">
                  <c:v>0.34880240138636698</c:v>
                </c:pt>
                <c:pt idx="66">
                  <c:v>0.34857752929526298</c:v>
                </c:pt>
                <c:pt idx="67">
                  <c:v>0.34846509324971098</c:v>
                </c:pt>
                <c:pt idx="68">
                  <c:v>0.34846509324971098</c:v>
                </c:pt>
                <c:pt idx="69">
                  <c:v>0.34846509324971098</c:v>
                </c:pt>
                <c:pt idx="70">
                  <c:v>0.34846509324971098</c:v>
                </c:pt>
                <c:pt idx="71">
                  <c:v>0.34846509324971098</c:v>
                </c:pt>
                <c:pt idx="72">
                  <c:v>0.34846509324971098</c:v>
                </c:pt>
                <c:pt idx="73">
                  <c:v>0.34736571858209098</c:v>
                </c:pt>
                <c:pt idx="74">
                  <c:v>0.310124401716454</c:v>
                </c:pt>
              </c:numCache>
            </c:numRef>
          </c:yVal>
          <c:smooth val="1"/>
          <c:extLst>
            <c:ext xmlns:c16="http://schemas.microsoft.com/office/drawing/2014/chart" uri="{C3380CC4-5D6E-409C-BE32-E72D297353CC}">
              <c16:uniqueId val="{00000002-9DCD-4404-8103-8F729A8E2752}"/>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PALB!$T$6:$T$21</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PALB!$AI$6:$AI$21</c:f>
              <c:numCache>
                <c:formatCode>0.00</c:formatCode>
                <c:ptCount val="16"/>
                <c:pt idx="0">
                  <c:v>1</c:v>
                </c:pt>
                <c:pt idx="1">
                  <c:v>0.9668303063500916</c:v>
                </c:pt>
                <c:pt idx="2">
                  <c:v>0.91737368543244568</c:v>
                </c:pt>
                <c:pt idx="3">
                  <c:v>0.86127527944753457</c:v>
                </c:pt>
                <c:pt idx="4">
                  <c:v>0.80213107877550593</c:v>
                </c:pt>
                <c:pt idx="5">
                  <c:v>0.74209849416356777</c:v>
                </c:pt>
                <c:pt idx="6">
                  <c:v>0.68262654832956471</c:v>
                </c:pt>
                <c:pt idx="7">
                  <c:v>0.62472622253792642</c:v>
                </c:pt>
                <c:pt idx="8">
                  <c:v>0.56910504960459896</c:v>
                </c:pt>
                <c:pt idx="9">
                  <c:v>0.51624709867513785</c:v>
                </c:pt>
                <c:pt idx="10">
                  <c:v>0.46646640138364015</c:v>
                </c:pt>
                <c:pt idx="11">
                  <c:v>0.41994554838626047</c:v>
                </c:pt>
                <c:pt idx="12">
                  <c:v>0.37676505532775328</c:v>
                </c:pt>
                <c:pt idx="13">
                  <c:v>0.33692646056796277</c:v>
                </c:pt>
                <c:pt idx="14">
                  <c:v>0.30037086447174194</c:v>
                </c:pt>
                <c:pt idx="15">
                  <c:v>0.26699397721753448</c:v>
                </c:pt>
              </c:numCache>
            </c:numRef>
          </c:yVal>
          <c:smooth val="1"/>
          <c:extLst>
            <c:ext xmlns:c16="http://schemas.microsoft.com/office/drawing/2014/chart" uri="{C3380CC4-5D6E-409C-BE32-E72D297353CC}">
              <c16:uniqueId val="{00000000-F221-4ED3-BA5A-316957A3832C}"/>
            </c:ext>
          </c:extLst>
        </c:ser>
        <c:ser>
          <c:idx val="1"/>
          <c:order val="1"/>
          <c:spPr>
            <a:ln w="19050" cap="rnd">
              <a:solidFill>
                <a:schemeClr val="accent2"/>
              </a:solidFill>
              <a:round/>
            </a:ln>
            <a:effectLst/>
          </c:spPr>
          <c:marker>
            <c:symbol val="circle"/>
            <c:size val="5"/>
            <c:spPr>
              <a:solidFill>
                <a:srgbClr val="C00000"/>
              </a:solidFill>
              <a:ln w="9525">
                <a:solidFill>
                  <a:srgbClr val="C00000"/>
                </a:solidFill>
              </a:ln>
              <a:effectLst/>
            </c:spPr>
          </c:marker>
          <c:xVal>
            <c:numRef>
              <c:f>PALB!$AK$6:$AK$153</c:f>
              <c:numCache>
                <c:formatCode>General</c:formatCode>
                <c:ptCount val="148"/>
                <c:pt idx="0">
                  <c:v>0</c:v>
                </c:pt>
                <c:pt idx="1">
                  <c:v>0.35294117647058826</c:v>
                </c:pt>
                <c:pt idx="2">
                  <c:v>0.52941176470588236</c:v>
                </c:pt>
                <c:pt idx="3">
                  <c:v>0.70588235294117652</c:v>
                </c:pt>
                <c:pt idx="4">
                  <c:v>0.88235294117647056</c:v>
                </c:pt>
                <c:pt idx="5">
                  <c:v>1.0588235294117647</c:v>
                </c:pt>
                <c:pt idx="6">
                  <c:v>1.2352941176470589</c:v>
                </c:pt>
                <c:pt idx="7">
                  <c:v>1.411764705882353</c:v>
                </c:pt>
                <c:pt idx="8">
                  <c:v>1.588235294117647</c:v>
                </c:pt>
                <c:pt idx="9">
                  <c:v>1.7647058823529411</c:v>
                </c:pt>
                <c:pt idx="10">
                  <c:v>1.9411764705882353</c:v>
                </c:pt>
                <c:pt idx="11">
                  <c:v>2.1176470588235294</c:v>
                </c:pt>
                <c:pt idx="12">
                  <c:v>2.2941176470588234</c:v>
                </c:pt>
                <c:pt idx="13">
                  <c:v>2.4705882352941178</c:v>
                </c:pt>
                <c:pt idx="14">
                  <c:v>2.6470588235294117</c:v>
                </c:pt>
                <c:pt idx="15">
                  <c:v>2.8235294117647061</c:v>
                </c:pt>
                <c:pt idx="16">
                  <c:v>3</c:v>
                </c:pt>
                <c:pt idx="17">
                  <c:v>3.1764705882352939</c:v>
                </c:pt>
                <c:pt idx="18">
                  <c:v>3.3529411764705883</c:v>
                </c:pt>
                <c:pt idx="19">
                  <c:v>3.5294117647058822</c:v>
                </c:pt>
                <c:pt idx="20">
                  <c:v>3.7058823529411766</c:v>
                </c:pt>
                <c:pt idx="21">
                  <c:v>3.8823529411764706</c:v>
                </c:pt>
                <c:pt idx="22">
                  <c:v>4.0588235294117645</c:v>
                </c:pt>
                <c:pt idx="23">
                  <c:v>4.2352941176470589</c:v>
                </c:pt>
                <c:pt idx="24">
                  <c:v>4.4117647058823533</c:v>
                </c:pt>
                <c:pt idx="25">
                  <c:v>4.5882352941176467</c:v>
                </c:pt>
                <c:pt idx="26">
                  <c:v>4.7647058823529411</c:v>
                </c:pt>
                <c:pt idx="27">
                  <c:v>4.9411764705882355</c:v>
                </c:pt>
                <c:pt idx="28">
                  <c:v>5.117647058823529</c:v>
                </c:pt>
                <c:pt idx="29">
                  <c:v>5.2941176470588234</c:v>
                </c:pt>
                <c:pt idx="30">
                  <c:v>5.4705882352941178</c:v>
                </c:pt>
                <c:pt idx="31">
                  <c:v>5.6470588235294121</c:v>
                </c:pt>
                <c:pt idx="32">
                  <c:v>5.8235294117647056</c:v>
                </c:pt>
                <c:pt idx="33">
                  <c:v>6</c:v>
                </c:pt>
                <c:pt idx="34">
                  <c:v>6.1764705882352944</c:v>
                </c:pt>
                <c:pt idx="35">
                  <c:v>6.3529411764705879</c:v>
                </c:pt>
                <c:pt idx="36">
                  <c:v>6.5294117647058822</c:v>
                </c:pt>
                <c:pt idx="37">
                  <c:v>6.7058823529411766</c:v>
                </c:pt>
                <c:pt idx="38">
                  <c:v>6.882352941176471</c:v>
                </c:pt>
                <c:pt idx="39">
                  <c:v>7.0588235294117645</c:v>
                </c:pt>
                <c:pt idx="40">
                  <c:v>7.2352941176470589</c:v>
                </c:pt>
                <c:pt idx="41">
                  <c:v>7.4117647058823533</c:v>
                </c:pt>
                <c:pt idx="42">
                  <c:v>7.5882352941176467</c:v>
                </c:pt>
                <c:pt idx="43">
                  <c:v>7.7647058823529411</c:v>
                </c:pt>
                <c:pt idx="44">
                  <c:v>7.9411764705882355</c:v>
                </c:pt>
                <c:pt idx="45">
                  <c:v>8.117647058823529</c:v>
                </c:pt>
                <c:pt idx="46">
                  <c:v>8.2941176470588243</c:v>
                </c:pt>
                <c:pt idx="47">
                  <c:v>8.4705882352941178</c:v>
                </c:pt>
                <c:pt idx="48">
                  <c:v>8.6470588235294112</c:v>
                </c:pt>
                <c:pt idx="49">
                  <c:v>8.8235294117647065</c:v>
                </c:pt>
                <c:pt idx="50">
                  <c:v>9</c:v>
                </c:pt>
                <c:pt idx="51">
                  <c:v>9.1764705882352935</c:v>
                </c:pt>
                <c:pt idx="52">
                  <c:v>9.3529411764705888</c:v>
                </c:pt>
                <c:pt idx="53">
                  <c:v>9.5294117647058822</c:v>
                </c:pt>
                <c:pt idx="54">
                  <c:v>9.7058823529411757</c:v>
                </c:pt>
                <c:pt idx="55">
                  <c:v>9.882352941176471</c:v>
                </c:pt>
                <c:pt idx="56">
                  <c:v>10.058823529411764</c:v>
                </c:pt>
                <c:pt idx="57">
                  <c:v>10.235294117647058</c:v>
                </c:pt>
                <c:pt idx="58">
                  <c:v>10.411764705882353</c:v>
                </c:pt>
                <c:pt idx="59">
                  <c:v>10.588235294117647</c:v>
                </c:pt>
                <c:pt idx="60">
                  <c:v>10.764705882352942</c:v>
                </c:pt>
                <c:pt idx="61">
                  <c:v>10.941176470588236</c:v>
                </c:pt>
                <c:pt idx="62">
                  <c:v>11.117647058823529</c:v>
                </c:pt>
                <c:pt idx="63">
                  <c:v>11.294117647058824</c:v>
                </c:pt>
                <c:pt idx="64">
                  <c:v>11.470588235294118</c:v>
                </c:pt>
                <c:pt idx="65">
                  <c:v>11.647058823529411</c:v>
                </c:pt>
                <c:pt idx="66">
                  <c:v>11.823529411764707</c:v>
                </c:pt>
                <c:pt idx="67">
                  <c:v>12</c:v>
                </c:pt>
                <c:pt idx="68">
                  <c:v>12.176470588235293</c:v>
                </c:pt>
                <c:pt idx="69">
                  <c:v>12.352941176470589</c:v>
                </c:pt>
                <c:pt idx="70">
                  <c:v>12.529411764705882</c:v>
                </c:pt>
                <c:pt idx="71">
                  <c:v>12.705882352941176</c:v>
                </c:pt>
                <c:pt idx="72">
                  <c:v>12.882352941176471</c:v>
                </c:pt>
                <c:pt idx="73">
                  <c:v>13.058823529411764</c:v>
                </c:pt>
                <c:pt idx="74">
                  <c:v>13.235294117647058</c:v>
                </c:pt>
                <c:pt idx="75">
                  <c:v>13.411764705882353</c:v>
                </c:pt>
                <c:pt idx="76">
                  <c:v>13.588235294117647</c:v>
                </c:pt>
                <c:pt idx="77">
                  <c:v>13.764705882352942</c:v>
                </c:pt>
                <c:pt idx="78">
                  <c:v>13.941176470588236</c:v>
                </c:pt>
                <c:pt idx="79">
                  <c:v>14.117647058823529</c:v>
                </c:pt>
                <c:pt idx="80">
                  <c:v>14.294117647058824</c:v>
                </c:pt>
                <c:pt idx="81">
                  <c:v>14.470588235294118</c:v>
                </c:pt>
                <c:pt idx="82">
                  <c:v>14.647058823529411</c:v>
                </c:pt>
              </c:numCache>
            </c:numRef>
          </c:xVal>
          <c:yVal>
            <c:numRef>
              <c:f>PALB!$AM$6:$AM$153</c:f>
              <c:numCache>
                <c:formatCode>General</c:formatCode>
                <c:ptCount val="148"/>
                <c:pt idx="0">
                  <c:v>1</c:v>
                </c:pt>
                <c:pt idx="1">
                  <c:v>0.99744957383334365</c:v>
                </c:pt>
                <c:pt idx="2">
                  <c:v>0.99670134029238178</c:v>
                </c:pt>
                <c:pt idx="3">
                  <c:v>0.99252174465614007</c:v>
                </c:pt>
                <c:pt idx="4">
                  <c:v>0.99092075864973073</c:v>
                </c:pt>
                <c:pt idx="5">
                  <c:v>0.98153899129560662</c:v>
                </c:pt>
                <c:pt idx="6">
                  <c:v>0.9696599377586792</c:v>
                </c:pt>
                <c:pt idx="7">
                  <c:v>0.96675127159608953</c:v>
                </c:pt>
                <c:pt idx="8">
                  <c:v>0.96573000621049432</c:v>
                </c:pt>
                <c:pt idx="9">
                  <c:v>0.9319217575754728</c:v>
                </c:pt>
                <c:pt idx="10">
                  <c:v>0.87438837109027423</c:v>
                </c:pt>
                <c:pt idx="11">
                  <c:v>0.82991012601313385</c:v>
                </c:pt>
                <c:pt idx="12">
                  <c:v>0.82400418896219207</c:v>
                </c:pt>
                <c:pt idx="13">
                  <c:v>0.82328806755846906</c:v>
                </c:pt>
                <c:pt idx="14">
                  <c:v>0.82243069619946763</c:v>
                </c:pt>
                <c:pt idx="15">
                  <c:v>0.8213476564241895</c:v>
                </c:pt>
                <c:pt idx="16">
                  <c:v>0.81828534385399676</c:v>
                </c:pt>
                <c:pt idx="17">
                  <c:v>0.81618265038952642</c:v>
                </c:pt>
                <c:pt idx="18">
                  <c:v>0.80976107950514886</c:v>
                </c:pt>
                <c:pt idx="19">
                  <c:v>0.80105989641755726</c:v>
                </c:pt>
                <c:pt idx="20">
                  <c:v>0.78077083170939221</c:v>
                </c:pt>
                <c:pt idx="21">
                  <c:v>0.76204645355476952</c:v>
                </c:pt>
                <c:pt idx="22">
                  <c:v>0.75435551680169133</c:v>
                </c:pt>
                <c:pt idx="23">
                  <c:v>0.74995462068226848</c:v>
                </c:pt>
                <c:pt idx="24">
                  <c:v>0.74742728074094911</c:v>
                </c:pt>
                <c:pt idx="25">
                  <c:v>0.74420662875132892</c:v>
                </c:pt>
                <c:pt idx="26">
                  <c:v>0.74419028509879515</c:v>
                </c:pt>
                <c:pt idx="27">
                  <c:v>0.74422652664017341</c:v>
                </c:pt>
                <c:pt idx="28">
                  <c:v>0.74366390892741951</c:v>
                </c:pt>
                <c:pt idx="29">
                  <c:v>0.73880838315548802</c:v>
                </c:pt>
                <c:pt idx="30">
                  <c:v>0.72377385979784015</c:v>
                </c:pt>
                <c:pt idx="31">
                  <c:v>0.69382315313364185</c:v>
                </c:pt>
                <c:pt idx="32">
                  <c:v>0.68103109390465033</c:v>
                </c:pt>
                <c:pt idx="33">
                  <c:v>0.67985179167263565</c:v>
                </c:pt>
                <c:pt idx="34">
                  <c:v>0.67965415550027641</c:v>
                </c:pt>
                <c:pt idx="35">
                  <c:v>0.68022912780459865</c:v>
                </c:pt>
                <c:pt idx="36">
                  <c:v>0.68025145011410237</c:v>
                </c:pt>
                <c:pt idx="37">
                  <c:v>0.67984314573642546</c:v>
                </c:pt>
                <c:pt idx="38">
                  <c:v>0.6765509617141604</c:v>
                </c:pt>
                <c:pt idx="39">
                  <c:v>0.67533177174280146</c:v>
                </c:pt>
                <c:pt idx="40">
                  <c:v>0.66860279125958155</c:v>
                </c:pt>
                <c:pt idx="41">
                  <c:v>0.6426413145194787</c:v>
                </c:pt>
                <c:pt idx="42">
                  <c:v>0.59780371366777318</c:v>
                </c:pt>
                <c:pt idx="43">
                  <c:v>0.57264122925941652</c:v>
                </c:pt>
                <c:pt idx="44">
                  <c:v>0.56712263545911168</c:v>
                </c:pt>
                <c:pt idx="45">
                  <c:v>0.56190000025768483</c:v>
                </c:pt>
                <c:pt idx="46">
                  <c:v>0.56237346288423229</c:v>
                </c:pt>
                <c:pt idx="47">
                  <c:v>0.56132763704401134</c:v>
                </c:pt>
                <c:pt idx="48">
                  <c:v>0.55775662100281875</c:v>
                </c:pt>
                <c:pt idx="49">
                  <c:v>0.55749085453735681</c:v>
                </c:pt>
                <c:pt idx="50">
                  <c:v>0.55543994558771748</c:v>
                </c:pt>
                <c:pt idx="51">
                  <c:v>0.55049728956683452</c:v>
                </c:pt>
                <c:pt idx="52">
                  <c:v>0.5352241588591542</c:v>
                </c:pt>
                <c:pt idx="53">
                  <c:v>0.51949490659934927</c:v>
                </c:pt>
                <c:pt idx="54">
                  <c:v>0.48082926757922595</c:v>
                </c:pt>
                <c:pt idx="55">
                  <c:v>0.47897991127977735</c:v>
                </c:pt>
                <c:pt idx="56">
                  <c:v>0.46975208947166824</c:v>
                </c:pt>
                <c:pt idx="57">
                  <c:v>0.45314973469793973</c:v>
                </c:pt>
                <c:pt idx="58">
                  <c:v>0.45288122351306748</c:v>
                </c:pt>
                <c:pt idx="59">
                  <c:v>0.45322347434923976</c:v>
                </c:pt>
                <c:pt idx="60">
                  <c:v>0.44898320402806902</c:v>
                </c:pt>
                <c:pt idx="61">
                  <c:v>0.43589600575037724</c:v>
                </c:pt>
                <c:pt idx="62">
                  <c:v>0.39759112860230239</c:v>
                </c:pt>
                <c:pt idx="63">
                  <c:v>0.33777643464943513</c:v>
                </c:pt>
                <c:pt idx="64">
                  <c:v>0.33674119775699018</c:v>
                </c:pt>
                <c:pt idx="65">
                  <c:v>0.33708467523256158</c:v>
                </c:pt>
                <c:pt idx="66">
                  <c:v>0.33828881017304857</c:v>
                </c:pt>
                <c:pt idx="67">
                  <c:v>0.33835884042666042</c:v>
                </c:pt>
                <c:pt idx="68">
                  <c:v>0.33834249677412653</c:v>
                </c:pt>
                <c:pt idx="69">
                  <c:v>0.33832615312159264</c:v>
                </c:pt>
                <c:pt idx="70">
                  <c:v>0.33830980946905875</c:v>
                </c:pt>
                <c:pt idx="71">
                  <c:v>0.33829346581652486</c:v>
                </c:pt>
                <c:pt idx="72">
                  <c:v>0.33816394122306942</c:v>
                </c:pt>
                <c:pt idx="73">
                  <c:v>0.33670246560792494</c:v>
                </c:pt>
                <c:pt idx="74">
                  <c:v>0.33755526621729404</c:v>
                </c:pt>
                <c:pt idx="75">
                  <c:v>0.33822505743472858</c:v>
                </c:pt>
                <c:pt idx="76">
                  <c:v>0.33805378063356806</c:v>
                </c:pt>
                <c:pt idx="77">
                  <c:v>0.33694670608171629</c:v>
                </c:pt>
                <c:pt idx="78">
                  <c:v>0.16446353185833651</c:v>
                </c:pt>
                <c:pt idx="79">
                  <c:v>0.1595916009100645</c:v>
                </c:pt>
                <c:pt idx="80">
                  <c:v>0.15957525725753063</c:v>
                </c:pt>
                <c:pt idx="81">
                  <c:v>0.1596836664923631</c:v>
                </c:pt>
                <c:pt idx="82">
                  <c:v>0.16007812211963615</c:v>
                </c:pt>
              </c:numCache>
            </c:numRef>
          </c:yVal>
          <c:smooth val="1"/>
          <c:extLst>
            <c:ext xmlns:c16="http://schemas.microsoft.com/office/drawing/2014/chart" uri="{C3380CC4-5D6E-409C-BE32-E72D297353CC}">
              <c16:uniqueId val="{00000001-F221-4ED3-BA5A-316957A3832C}"/>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v>Markov model</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PALB!$T$6:$T$106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PALB!$AI$6:$AI$106</c:f>
              <c:numCache>
                <c:formatCode>0.00</c:formatCode>
                <c:ptCount val="101"/>
                <c:pt idx="0">
                  <c:v>1</c:v>
                </c:pt>
                <c:pt idx="1">
                  <c:v>0.9668303063500916</c:v>
                </c:pt>
                <c:pt idx="2">
                  <c:v>0.91737368543244568</c:v>
                </c:pt>
                <c:pt idx="3">
                  <c:v>0.86127527944753457</c:v>
                </c:pt>
                <c:pt idx="4">
                  <c:v>0.80213107877550593</c:v>
                </c:pt>
                <c:pt idx="5">
                  <c:v>0.74209849416356777</c:v>
                </c:pt>
                <c:pt idx="6">
                  <c:v>0.68262654832956471</c:v>
                </c:pt>
                <c:pt idx="7">
                  <c:v>0.62472622253792642</c:v>
                </c:pt>
                <c:pt idx="8">
                  <c:v>0.56910504960459896</c:v>
                </c:pt>
                <c:pt idx="9">
                  <c:v>0.51624709867513785</c:v>
                </c:pt>
                <c:pt idx="10">
                  <c:v>0.46646640138364015</c:v>
                </c:pt>
                <c:pt idx="11">
                  <c:v>0.41994554838626047</c:v>
                </c:pt>
                <c:pt idx="12">
                  <c:v>0.37676505532775328</c:v>
                </c:pt>
                <c:pt idx="13">
                  <c:v>0.33692646056796277</c:v>
                </c:pt>
                <c:pt idx="14">
                  <c:v>0.30037086447174194</c:v>
                </c:pt>
                <c:pt idx="15">
                  <c:v>0.26699397721753448</c:v>
                </c:pt>
                <c:pt idx="16">
                  <c:v>0.23665839020078325</c:v>
                </c:pt>
                <c:pt idx="17">
                  <c:v>0.20920358206624345</c:v>
                </c:pt>
                <c:pt idx="18">
                  <c:v>0.18445404533546816</c:v>
                </c:pt>
                <c:pt idx="19">
                  <c:v>0.16222583850700684</c:v>
                </c:pt>
                <c:pt idx="20">
                  <c:v>0.14233181282043952</c:v>
                </c:pt>
                <c:pt idx="21">
                  <c:v>0.12458572238309243</c:v>
                </c:pt>
                <c:pt idx="22">
                  <c:v>0.10880539529592835</c:v>
                </c:pt>
                <c:pt idx="23">
                  <c:v>9.4815118457189873E-2</c:v>
                </c:pt>
                <c:pt idx="24">
                  <c:v>8.2447367916577918E-2</c:v>
                </c:pt>
                <c:pt idx="25">
                  <c:v>7.1543998834663003E-2</c:v>
                </c:pt>
                <c:pt idx="26">
                  <c:v>6.1956993565087631E-2</c:v>
                </c:pt>
                <c:pt idx="27">
                  <c:v>5.3548852681670395E-2</c:v>
                </c:pt>
                <c:pt idx="28">
                  <c:v>4.6192701635673891E-2</c:v>
                </c:pt>
                <c:pt idx="29">
                  <c:v>3.9772174957828775E-2</c:v>
                </c:pt>
                <c:pt idx="30">
                  <c:v>3.4181130374648268E-2</c:v>
                </c:pt>
                <c:pt idx="31">
                  <c:v>2.9323236777805243E-2</c:v>
                </c:pt>
                <c:pt idx="32">
                  <c:v>2.5111472573703695E-2</c:v>
                </c:pt>
                <c:pt idx="33">
                  <c:v>2.1467564461636304E-2</c:v>
                </c:pt>
                <c:pt idx="34">
                  <c:v>1.8321391062056342E-2</c:v>
                </c:pt>
                <c:pt idx="35">
                  <c:v>1.5610370963934576E-2</c:v>
                </c:pt>
                <c:pt idx="36">
                  <c:v>1.3278850607287737E-2</c:v>
                </c:pt>
                <c:pt idx="37">
                  <c:v>1.1277503892076841E-2</c:v>
                </c:pt>
                <c:pt idx="38">
                  <c:v>9.5627524394019045E-3</c:v>
                </c:pt>
                <c:pt idx="39">
                  <c:v>8.0962129605967569E-3</c:v>
                </c:pt>
                <c:pt idx="40">
                  <c:v>6.8441761538805025E-3</c:v>
                </c:pt>
                <c:pt idx="41">
                  <c:v>5.777119890463602E-3</c:v>
                </c:pt>
                <c:pt idx="42">
                  <c:v>4.8692581208475156E-3</c:v>
                </c:pt>
                <c:pt idx="43">
                  <c:v>4.0981258805560597E-3</c:v>
                </c:pt>
                <c:pt idx="44">
                  <c:v>3.4441999604053232E-3</c:v>
                </c:pt>
                <c:pt idx="45">
                  <c:v>2.8905541918885255E-3</c:v>
                </c:pt>
                <c:pt idx="46">
                  <c:v>2.422547849893408E-3</c:v>
                </c:pt>
                <c:pt idx="47">
                  <c:v>2.0275453634566029E-3</c:v>
                </c:pt>
                <c:pt idx="48">
                  <c:v>1.6946653250804701E-3</c:v>
                </c:pt>
                <c:pt idx="49">
                  <c:v>1.4145566783001818E-3</c:v>
                </c:pt>
                <c:pt idx="50">
                  <c:v>1.1791999228921621E-3</c:v>
                </c:pt>
                <c:pt idx="51">
                  <c:v>9.8173119144362789E-4</c:v>
                </c:pt>
                <c:pt idx="52">
                  <c:v>8.1628710660014924E-4</c:v>
                </c:pt>
                <c:pt idx="53">
                  <c:v>6.7786841408931393E-4</c:v>
                </c:pt>
                <c:pt idx="54">
                  <c:v>5.6222049347506755E-4</c:v>
                </c:pt>
                <c:pt idx="55">
                  <c:v>4.657289691434706E-4</c:v>
                </c:pt>
                <c:pt idx="56">
                  <c:v>3.8532877234323E-4</c:v>
                </c:pt>
                <c:pt idx="57">
                  <c:v>3.1842513655080154E-4</c:v>
                </c:pt>
                <c:pt idx="58">
                  <c:v>2.6282513940485393E-4</c:v>
                </c:pt>
                <c:pt idx="59">
                  <c:v>2.1667853225172223E-4</c:v>
                </c:pt>
                <c:pt idx="60">
                  <c:v>1.7842672098646346E-4</c:v>
                </c:pt>
                <c:pt idx="61">
                  <c:v>1.4675887798752278E-4</c:v>
                </c:pt>
                <c:pt idx="62">
                  <c:v>1.2057427363495936E-4</c:v>
                </c:pt>
                <c:pt idx="63">
                  <c:v>9.8950016665562437E-5</c:v>
                </c:pt>
                <c:pt idx="64">
                  <c:v>8.1113485249093803E-5</c:v>
                </c:pt>
                <c:pt idx="65">
                  <c:v>6.6418815194762388E-5</c:v>
                </c:pt>
                <c:pt idx="66">
                  <c:v>5.4326888317350533E-5</c:v>
                </c:pt>
                <c:pt idx="67">
                  <c:v>4.4388333034476504E-5</c:v>
                </c:pt>
                <c:pt idx="68">
                  <c:v>3.6229111143889856E-5</c:v>
                </c:pt>
                <c:pt idx="69">
                  <c:v>2.9538319911484311E-5</c:v>
                </c:pt>
                <c:pt idx="70">
                  <c:v>2.4057887586683646E-5</c:v>
                </c:pt>
                <c:pt idx="71">
                  <c:v>1.9573883763502223E-5</c:v>
                </c:pt>
                <c:pt idx="72">
                  <c:v>1.5909204131145834E-5</c:v>
                </c:pt>
                <c:pt idx="73">
                  <c:v>1.2917422601926925E-5</c:v>
                </c:pt>
                <c:pt idx="74">
                  <c:v>1.047763303905108E-5</c:v>
                </c:pt>
                <c:pt idx="75">
                  <c:v>8.4901282780485161E-6</c:v>
                </c:pt>
                <c:pt idx="76">
                  <c:v>6.8727862584238955E-6</c:v>
                </c:pt>
                <c:pt idx="77">
                  <c:v>5.5580522395906914E-6</c:v>
                </c:pt>
                <c:pt idx="78">
                  <c:v>4.4904226177520437E-6</c:v>
                </c:pt>
                <c:pt idx="79">
                  <c:v>3.6243501063319158E-6</c:v>
                </c:pt>
                <c:pt idx="80">
                  <c:v>2.9225022788050552E-6</c:v>
                </c:pt>
                <c:pt idx="81">
                  <c:v>2.354315956621324E-6</c:v>
                </c:pt>
                <c:pt idx="82">
                  <c:v>1.8947988857649499E-6</c:v>
                </c:pt>
                <c:pt idx="83">
                  <c:v>1.5235377868424204E-6</c:v>
                </c:pt>
                <c:pt idx="84">
                  <c:v>1.2238783651850922E-6</c:v>
                </c:pt>
                <c:pt idx="85">
                  <c:v>9.8224838731513159E-7</c:v>
                </c:pt>
                <c:pt idx="86">
                  <c:v>7.8759960668098075E-7</c:v>
                </c:pt>
                <c:pt idx="87">
                  <c:v>6.3094827560087179E-7</c:v>
                </c:pt>
                <c:pt idx="88">
                  <c:v>5.0499731689458192E-7</c:v>
                </c:pt>
                <c:pt idx="89">
                  <c:v>4.0382603875861092E-7</c:v>
                </c:pt>
                <c:pt idx="90">
                  <c:v>3.2263563870033842E-7</c:v>
                </c:pt>
                <c:pt idx="91">
                  <c:v>2.5754072453958725E-7</c:v>
                </c:pt>
                <c:pt idx="92">
                  <c:v>2.0539874080892804E-7</c:v>
                </c:pt>
                <c:pt idx="93">
                  <c:v>1.6367057719274921E-7</c:v>
                </c:pt>
                <c:pt idx="94">
                  <c:v>1.3030679453840704E-7</c:v>
                </c:pt>
                <c:pt idx="95">
                  <c:v>1.036548697604479E-7</c:v>
                </c:pt>
                <c:pt idx="96">
                  <c:v>8.2383664514145522E-8</c:v>
                </c:pt>
                <c:pt idx="97">
                  <c:v>6.5421990029219466E-8</c:v>
                </c:pt>
                <c:pt idx="98">
                  <c:v>5.1908694138530452E-8</c:v>
                </c:pt>
                <c:pt idx="99">
                  <c:v>4.1152155035479527E-8</c:v>
                </c:pt>
                <c:pt idx="100">
                  <c:v>3.2597445431396041E-8</c:v>
                </c:pt>
              </c:numCache>
            </c:numRef>
          </c:yVal>
          <c:smooth val="1"/>
          <c:extLst>
            <c:ext xmlns:c16="http://schemas.microsoft.com/office/drawing/2014/chart" uri="{C3380CC4-5D6E-409C-BE32-E72D297353CC}">
              <c16:uniqueId val="{00000000-CB15-4B6A-A21E-2BA572C7B095}"/>
            </c:ext>
          </c:extLst>
        </c:ser>
        <c:ser>
          <c:idx val="1"/>
          <c:order val="1"/>
          <c:tx>
            <c:v>KM</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PALB!$AK$6:$AK$80</c:f>
              <c:numCache>
                <c:formatCode>General</c:formatCode>
                <c:ptCount val="75"/>
                <c:pt idx="0">
                  <c:v>0</c:v>
                </c:pt>
                <c:pt idx="1">
                  <c:v>0.35294117647058826</c:v>
                </c:pt>
                <c:pt idx="2">
                  <c:v>0.52941176470588236</c:v>
                </c:pt>
                <c:pt idx="3">
                  <c:v>0.70588235294117652</c:v>
                </c:pt>
                <c:pt idx="4">
                  <c:v>0.88235294117647056</c:v>
                </c:pt>
                <c:pt idx="5">
                  <c:v>1.0588235294117647</c:v>
                </c:pt>
                <c:pt idx="6">
                  <c:v>1.2352941176470589</c:v>
                </c:pt>
                <c:pt idx="7">
                  <c:v>1.411764705882353</c:v>
                </c:pt>
                <c:pt idx="8">
                  <c:v>1.588235294117647</c:v>
                </c:pt>
                <c:pt idx="9">
                  <c:v>1.7647058823529411</c:v>
                </c:pt>
                <c:pt idx="10">
                  <c:v>1.9411764705882353</c:v>
                </c:pt>
                <c:pt idx="11">
                  <c:v>2.1176470588235294</c:v>
                </c:pt>
                <c:pt idx="12">
                  <c:v>2.2941176470588234</c:v>
                </c:pt>
                <c:pt idx="13">
                  <c:v>2.4705882352941178</c:v>
                </c:pt>
                <c:pt idx="14">
                  <c:v>2.6470588235294117</c:v>
                </c:pt>
                <c:pt idx="15">
                  <c:v>2.8235294117647061</c:v>
                </c:pt>
                <c:pt idx="16">
                  <c:v>3</c:v>
                </c:pt>
                <c:pt idx="17">
                  <c:v>3.1764705882352939</c:v>
                </c:pt>
                <c:pt idx="18">
                  <c:v>3.3529411764705883</c:v>
                </c:pt>
                <c:pt idx="19">
                  <c:v>3.5294117647058822</c:v>
                </c:pt>
                <c:pt idx="20">
                  <c:v>3.7058823529411766</c:v>
                </c:pt>
                <c:pt idx="21">
                  <c:v>3.8823529411764706</c:v>
                </c:pt>
                <c:pt idx="22">
                  <c:v>4.0588235294117645</c:v>
                </c:pt>
                <c:pt idx="23">
                  <c:v>4.2352941176470589</c:v>
                </c:pt>
                <c:pt idx="24">
                  <c:v>4.4117647058823533</c:v>
                </c:pt>
                <c:pt idx="25">
                  <c:v>4.5882352941176467</c:v>
                </c:pt>
                <c:pt idx="26">
                  <c:v>4.7647058823529411</c:v>
                </c:pt>
                <c:pt idx="27">
                  <c:v>4.9411764705882355</c:v>
                </c:pt>
                <c:pt idx="28">
                  <c:v>5.117647058823529</c:v>
                </c:pt>
                <c:pt idx="29">
                  <c:v>5.2941176470588234</c:v>
                </c:pt>
                <c:pt idx="30">
                  <c:v>5.4705882352941178</c:v>
                </c:pt>
                <c:pt idx="31">
                  <c:v>5.6470588235294121</c:v>
                </c:pt>
                <c:pt idx="32">
                  <c:v>5.8235294117647056</c:v>
                </c:pt>
                <c:pt idx="33">
                  <c:v>6</c:v>
                </c:pt>
                <c:pt idx="34">
                  <c:v>6.1764705882352944</c:v>
                </c:pt>
                <c:pt idx="35">
                  <c:v>6.3529411764705879</c:v>
                </c:pt>
                <c:pt idx="36">
                  <c:v>6.5294117647058822</c:v>
                </c:pt>
                <c:pt idx="37">
                  <c:v>6.7058823529411766</c:v>
                </c:pt>
                <c:pt idx="38">
                  <c:v>6.882352941176471</c:v>
                </c:pt>
                <c:pt idx="39">
                  <c:v>7.0588235294117645</c:v>
                </c:pt>
                <c:pt idx="40">
                  <c:v>7.2352941176470589</c:v>
                </c:pt>
                <c:pt idx="41">
                  <c:v>7.4117647058823533</c:v>
                </c:pt>
                <c:pt idx="42">
                  <c:v>7.5882352941176467</c:v>
                </c:pt>
                <c:pt idx="43">
                  <c:v>7.7647058823529411</c:v>
                </c:pt>
                <c:pt idx="44">
                  <c:v>7.9411764705882355</c:v>
                </c:pt>
                <c:pt idx="45">
                  <c:v>8.117647058823529</c:v>
                </c:pt>
                <c:pt idx="46">
                  <c:v>8.2941176470588243</c:v>
                </c:pt>
                <c:pt idx="47">
                  <c:v>8.4705882352941178</c:v>
                </c:pt>
                <c:pt idx="48">
                  <c:v>8.6470588235294112</c:v>
                </c:pt>
                <c:pt idx="49">
                  <c:v>8.8235294117647065</c:v>
                </c:pt>
                <c:pt idx="50">
                  <c:v>9</c:v>
                </c:pt>
                <c:pt idx="51">
                  <c:v>9.1764705882352935</c:v>
                </c:pt>
                <c:pt idx="52">
                  <c:v>9.3529411764705888</c:v>
                </c:pt>
                <c:pt idx="53">
                  <c:v>9.5294117647058822</c:v>
                </c:pt>
                <c:pt idx="54">
                  <c:v>9.7058823529411757</c:v>
                </c:pt>
                <c:pt idx="55">
                  <c:v>9.882352941176471</c:v>
                </c:pt>
                <c:pt idx="56">
                  <c:v>10.058823529411764</c:v>
                </c:pt>
                <c:pt idx="57">
                  <c:v>10.235294117647058</c:v>
                </c:pt>
                <c:pt idx="58">
                  <c:v>10.411764705882353</c:v>
                </c:pt>
                <c:pt idx="59">
                  <c:v>10.588235294117647</c:v>
                </c:pt>
                <c:pt idx="60">
                  <c:v>10.764705882352942</c:v>
                </c:pt>
                <c:pt idx="61">
                  <c:v>10.941176470588236</c:v>
                </c:pt>
                <c:pt idx="62">
                  <c:v>11.117647058823529</c:v>
                </c:pt>
                <c:pt idx="63">
                  <c:v>11.294117647058824</c:v>
                </c:pt>
                <c:pt idx="64">
                  <c:v>11.470588235294118</c:v>
                </c:pt>
                <c:pt idx="65">
                  <c:v>11.647058823529411</c:v>
                </c:pt>
                <c:pt idx="66">
                  <c:v>11.823529411764707</c:v>
                </c:pt>
                <c:pt idx="67">
                  <c:v>12</c:v>
                </c:pt>
                <c:pt idx="68">
                  <c:v>12.176470588235293</c:v>
                </c:pt>
                <c:pt idx="69">
                  <c:v>12.352941176470589</c:v>
                </c:pt>
                <c:pt idx="70">
                  <c:v>12.529411764705882</c:v>
                </c:pt>
                <c:pt idx="71">
                  <c:v>12.705882352941176</c:v>
                </c:pt>
                <c:pt idx="72">
                  <c:v>12.882352941176471</c:v>
                </c:pt>
                <c:pt idx="73">
                  <c:v>13.058823529411764</c:v>
                </c:pt>
                <c:pt idx="74">
                  <c:v>13.235294117647058</c:v>
                </c:pt>
              </c:numCache>
            </c:numRef>
          </c:xVal>
          <c:yVal>
            <c:numRef>
              <c:f>PALB!$AM$6:$AM$80</c:f>
              <c:numCache>
                <c:formatCode>General</c:formatCode>
                <c:ptCount val="75"/>
                <c:pt idx="0">
                  <c:v>1</c:v>
                </c:pt>
                <c:pt idx="1">
                  <c:v>0.99744957383334365</c:v>
                </c:pt>
                <c:pt idx="2">
                  <c:v>0.99670134029238178</c:v>
                </c:pt>
                <c:pt idx="3">
                  <c:v>0.99252174465614007</c:v>
                </c:pt>
                <c:pt idx="4">
                  <c:v>0.99092075864973073</c:v>
                </c:pt>
                <c:pt idx="5">
                  <c:v>0.98153899129560662</c:v>
                </c:pt>
                <c:pt idx="6">
                  <c:v>0.9696599377586792</c:v>
                </c:pt>
                <c:pt idx="7">
                  <c:v>0.96675127159608953</c:v>
                </c:pt>
                <c:pt idx="8">
                  <c:v>0.96573000621049432</c:v>
                </c:pt>
                <c:pt idx="9">
                  <c:v>0.9319217575754728</c:v>
                </c:pt>
                <c:pt idx="10">
                  <c:v>0.87438837109027423</c:v>
                </c:pt>
                <c:pt idx="11">
                  <c:v>0.82991012601313385</c:v>
                </c:pt>
                <c:pt idx="12">
                  <c:v>0.82400418896219207</c:v>
                </c:pt>
                <c:pt idx="13">
                  <c:v>0.82328806755846906</c:v>
                </c:pt>
                <c:pt idx="14">
                  <c:v>0.82243069619946763</c:v>
                </c:pt>
                <c:pt idx="15">
                  <c:v>0.8213476564241895</c:v>
                </c:pt>
                <c:pt idx="16">
                  <c:v>0.81828534385399676</c:v>
                </c:pt>
                <c:pt idx="17">
                  <c:v>0.81618265038952642</c:v>
                </c:pt>
                <c:pt idx="18">
                  <c:v>0.80976107950514886</c:v>
                </c:pt>
                <c:pt idx="19">
                  <c:v>0.80105989641755726</c:v>
                </c:pt>
                <c:pt idx="20">
                  <c:v>0.78077083170939221</c:v>
                </c:pt>
                <c:pt idx="21">
                  <c:v>0.76204645355476952</c:v>
                </c:pt>
                <c:pt idx="22">
                  <c:v>0.75435551680169133</c:v>
                </c:pt>
                <c:pt idx="23">
                  <c:v>0.74995462068226848</c:v>
                </c:pt>
                <c:pt idx="24">
                  <c:v>0.74742728074094911</c:v>
                </c:pt>
                <c:pt idx="25">
                  <c:v>0.74420662875132892</c:v>
                </c:pt>
                <c:pt idx="26">
                  <c:v>0.74419028509879515</c:v>
                </c:pt>
                <c:pt idx="27">
                  <c:v>0.74422652664017341</c:v>
                </c:pt>
                <c:pt idx="28">
                  <c:v>0.74366390892741951</c:v>
                </c:pt>
                <c:pt idx="29">
                  <c:v>0.73880838315548802</c:v>
                </c:pt>
                <c:pt idx="30">
                  <c:v>0.72377385979784015</c:v>
                </c:pt>
                <c:pt idx="31">
                  <c:v>0.69382315313364185</c:v>
                </c:pt>
                <c:pt idx="32">
                  <c:v>0.68103109390465033</c:v>
                </c:pt>
                <c:pt idx="33">
                  <c:v>0.67985179167263565</c:v>
                </c:pt>
                <c:pt idx="34">
                  <c:v>0.67965415550027641</c:v>
                </c:pt>
                <c:pt idx="35">
                  <c:v>0.68022912780459865</c:v>
                </c:pt>
                <c:pt idx="36">
                  <c:v>0.68025145011410237</c:v>
                </c:pt>
                <c:pt idx="37">
                  <c:v>0.67984314573642546</c:v>
                </c:pt>
                <c:pt idx="38">
                  <c:v>0.6765509617141604</c:v>
                </c:pt>
                <c:pt idx="39">
                  <c:v>0.67533177174280146</c:v>
                </c:pt>
                <c:pt idx="40">
                  <c:v>0.66860279125958155</c:v>
                </c:pt>
                <c:pt idx="41">
                  <c:v>0.6426413145194787</c:v>
                </c:pt>
                <c:pt idx="42">
                  <c:v>0.59780371366777318</c:v>
                </c:pt>
                <c:pt idx="43">
                  <c:v>0.57264122925941652</c:v>
                </c:pt>
                <c:pt idx="44">
                  <c:v>0.56712263545911168</c:v>
                </c:pt>
                <c:pt idx="45">
                  <c:v>0.56190000025768483</c:v>
                </c:pt>
                <c:pt idx="46">
                  <c:v>0.56237346288423229</c:v>
                </c:pt>
                <c:pt idx="47">
                  <c:v>0.56132763704401134</c:v>
                </c:pt>
                <c:pt idx="48">
                  <c:v>0.55775662100281875</c:v>
                </c:pt>
                <c:pt idx="49">
                  <c:v>0.55749085453735681</c:v>
                </c:pt>
                <c:pt idx="50">
                  <c:v>0.55543994558771748</c:v>
                </c:pt>
                <c:pt idx="51">
                  <c:v>0.55049728956683452</c:v>
                </c:pt>
                <c:pt idx="52">
                  <c:v>0.5352241588591542</c:v>
                </c:pt>
                <c:pt idx="53">
                  <c:v>0.51949490659934927</c:v>
                </c:pt>
                <c:pt idx="54">
                  <c:v>0.48082926757922595</c:v>
                </c:pt>
                <c:pt idx="55">
                  <c:v>0.47897991127977735</c:v>
                </c:pt>
                <c:pt idx="56">
                  <c:v>0.46975208947166824</c:v>
                </c:pt>
                <c:pt idx="57">
                  <c:v>0.45314973469793973</c:v>
                </c:pt>
                <c:pt idx="58">
                  <c:v>0.45288122351306748</c:v>
                </c:pt>
                <c:pt idx="59">
                  <c:v>0.45322347434923976</c:v>
                </c:pt>
                <c:pt idx="60">
                  <c:v>0.44898320402806902</c:v>
                </c:pt>
                <c:pt idx="61">
                  <c:v>0.43589600575037724</c:v>
                </c:pt>
                <c:pt idx="62">
                  <c:v>0.39759112860230239</c:v>
                </c:pt>
                <c:pt idx="63">
                  <c:v>0.33777643464943513</c:v>
                </c:pt>
                <c:pt idx="64">
                  <c:v>0.33674119775699018</c:v>
                </c:pt>
                <c:pt idx="65">
                  <c:v>0.33708467523256158</c:v>
                </c:pt>
                <c:pt idx="66">
                  <c:v>0.33828881017304857</c:v>
                </c:pt>
                <c:pt idx="67">
                  <c:v>0.33835884042666042</c:v>
                </c:pt>
                <c:pt idx="68">
                  <c:v>0.33834249677412653</c:v>
                </c:pt>
                <c:pt idx="69">
                  <c:v>0.33832615312159264</c:v>
                </c:pt>
                <c:pt idx="70">
                  <c:v>0.33830980946905875</c:v>
                </c:pt>
                <c:pt idx="71">
                  <c:v>0.33829346581652486</c:v>
                </c:pt>
                <c:pt idx="72">
                  <c:v>0.33816394122306942</c:v>
                </c:pt>
                <c:pt idx="73">
                  <c:v>0.33670246560792494</c:v>
                </c:pt>
                <c:pt idx="74">
                  <c:v>0.33755526621729404</c:v>
                </c:pt>
              </c:numCache>
            </c:numRef>
          </c:yVal>
          <c:smooth val="1"/>
          <c:extLst>
            <c:ext xmlns:c16="http://schemas.microsoft.com/office/drawing/2014/chart" uri="{C3380CC4-5D6E-409C-BE32-E72D297353CC}">
              <c16:uniqueId val="{00000001-CB15-4B6A-A21E-2BA572C7B095}"/>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CAPI</c:v>
          </c:tx>
          <c:spPr>
            <a:ln w="19050" cap="rnd">
              <a:noFill/>
              <a:round/>
            </a:ln>
            <a:effectLst/>
          </c:spPr>
          <c:marker>
            <c:symbol val="circle"/>
            <c:size val="5"/>
            <c:spPr>
              <a:solidFill>
                <a:schemeClr val="accent1"/>
              </a:solidFill>
              <a:ln w="9525">
                <a:solidFill>
                  <a:schemeClr val="accent1"/>
                </a:solidFill>
              </a:ln>
              <a:effectLst/>
            </c:spPr>
          </c:marker>
          <c:xVal>
            <c:numRef>
              <c:f>Simulaton!$AD$4:$AD$104</c:f>
              <c:numCache>
                <c:formatCode>0.000_ </c:formatCode>
                <c:ptCount val="101"/>
                <c:pt idx="0">
                  <c:v>1.7038317523083935</c:v>
                </c:pt>
              </c:numCache>
            </c:numRef>
          </c:xVal>
          <c:yVal>
            <c:numRef>
              <c:f>Simulaton!$AK$4:$AK$104</c:f>
              <c:numCache>
                <c:formatCode>[$£-809]#,##0.00</c:formatCode>
                <c:ptCount val="101"/>
                <c:pt idx="0">
                  <c:v>102822.09670897595</c:v>
                </c:pt>
              </c:numCache>
            </c:numRef>
          </c:yVal>
          <c:smooth val="0"/>
          <c:extLst>
            <c:ext xmlns:c16="http://schemas.microsoft.com/office/drawing/2014/chart" uri="{C3380CC4-5D6E-409C-BE32-E72D297353CC}">
              <c16:uniqueId val="{00000000-F8D2-4038-AA53-FD4E60FF9E3D}"/>
            </c:ext>
          </c:extLst>
        </c:ser>
        <c:ser>
          <c:idx val="1"/>
          <c:order val="1"/>
          <c:tx>
            <c:v>PALB</c:v>
          </c:tx>
          <c:spPr>
            <a:ln w="25400" cap="rnd">
              <a:noFill/>
              <a:round/>
            </a:ln>
            <a:effectLst/>
          </c:spPr>
          <c:marker>
            <c:symbol val="circle"/>
            <c:size val="5"/>
            <c:spPr>
              <a:solidFill>
                <a:schemeClr val="accent2"/>
              </a:solidFill>
              <a:ln w="9525">
                <a:solidFill>
                  <a:schemeClr val="accent2"/>
                </a:solidFill>
              </a:ln>
              <a:effectLst/>
            </c:spPr>
          </c:marker>
          <c:xVal>
            <c:numRef>
              <c:f>Simulaton!$AG$4:$AG$104</c:f>
              <c:numCache>
                <c:formatCode>0.000_ </c:formatCode>
                <c:ptCount val="101"/>
                <c:pt idx="0">
                  <c:v>1.3994192120722295</c:v>
                </c:pt>
              </c:numCache>
            </c:numRef>
          </c:xVal>
          <c:yVal>
            <c:numRef>
              <c:f>Simulaton!$AJ$4:$AJ$104</c:f>
              <c:numCache>
                <c:formatCode>[$£-809]#,##0.00</c:formatCode>
                <c:ptCount val="101"/>
                <c:pt idx="0">
                  <c:v>67097.898066340349</c:v>
                </c:pt>
              </c:numCache>
            </c:numRef>
          </c:yVal>
          <c:smooth val="0"/>
          <c:extLst>
            <c:ext xmlns:c16="http://schemas.microsoft.com/office/drawing/2014/chart" uri="{C3380CC4-5D6E-409C-BE32-E72D297353CC}">
              <c16:uniqueId val="{00000004-F8D2-4038-AA53-FD4E60FF9E3D}"/>
            </c:ext>
          </c:extLst>
        </c:ser>
        <c:dLbls>
          <c:showLegendKey val="0"/>
          <c:showVal val="0"/>
          <c:showCatName val="0"/>
          <c:showSerName val="0"/>
          <c:showPercent val="0"/>
          <c:showBubbleSize val="0"/>
        </c:dLbls>
        <c:axId val="1066830447"/>
        <c:axId val="1066834191"/>
      </c:scatterChart>
      <c:valAx>
        <c:axId val="1066830447"/>
        <c:scaling>
          <c:orientation val="minMax"/>
          <c:min val="1.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QALY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0_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6834191"/>
        <c:crosses val="autoZero"/>
        <c:crossBetween val="midCat"/>
      </c:valAx>
      <c:valAx>
        <c:axId val="1066834191"/>
        <c:scaling>
          <c:orientation val="minMax"/>
          <c:min val="6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COST</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809]#,##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683044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42</xdr:col>
      <xdr:colOff>9524</xdr:colOff>
      <xdr:row>31</xdr:row>
      <xdr:rowOff>123824</xdr:rowOff>
    </xdr:from>
    <xdr:to>
      <xdr:col>55</xdr:col>
      <xdr:colOff>38100</xdr:colOff>
      <xdr:row>63</xdr:row>
      <xdr:rowOff>30645</xdr:rowOff>
    </xdr:to>
    <xdr:graphicFrame macro="">
      <xdr:nvGraphicFramePr>
        <xdr:cNvPr id="3" name="Chart 2">
          <a:extLst>
            <a:ext uri="{FF2B5EF4-FFF2-40B4-BE49-F238E27FC236}">
              <a16:creationId xmlns:a16="http://schemas.microsoft.com/office/drawing/2014/main" id="{349D553E-7E4F-460D-8DBD-D8673EF1D6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xdr:col>
      <xdr:colOff>576676</xdr:colOff>
      <xdr:row>31</xdr:row>
      <xdr:rowOff>51144</xdr:rowOff>
    </xdr:from>
    <xdr:to>
      <xdr:col>69</xdr:col>
      <xdr:colOff>9524</xdr:colOff>
      <xdr:row>62</xdr:row>
      <xdr:rowOff>142875</xdr:rowOff>
    </xdr:to>
    <xdr:graphicFrame macro="">
      <xdr:nvGraphicFramePr>
        <xdr:cNvPr id="4" name="Chart 3">
          <a:extLst>
            <a:ext uri="{FF2B5EF4-FFF2-40B4-BE49-F238E27FC236}">
              <a16:creationId xmlns:a16="http://schemas.microsoft.com/office/drawing/2014/main" id="{2C28A2B0-1C29-4B16-8253-5DCB8133FBB9}"/>
            </a:ext>
            <a:ext uri="{147F2762-F138-4A5C-976F-8EAC2B608ADB}">
              <a16:predDERef xmlns:a16="http://schemas.microsoft.com/office/drawing/2014/main" pred="{349D553E-7E4F-460D-8DBD-D8673EF1D6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414131</xdr:colOff>
      <xdr:row>4</xdr:row>
      <xdr:rowOff>115956</xdr:rowOff>
    </xdr:from>
    <xdr:ext cx="2343975" cy="264560"/>
    <xdr:sp macro="" textlink="">
      <xdr:nvSpPr>
        <xdr:cNvPr id="5" name="TextBox 4">
          <a:extLst>
            <a:ext uri="{FF2B5EF4-FFF2-40B4-BE49-F238E27FC236}">
              <a16:creationId xmlns:a16="http://schemas.microsoft.com/office/drawing/2014/main" id="{877C0626-9918-455D-BAD5-5ED9EDC7319E}"/>
            </a:ext>
          </a:extLst>
        </xdr:cNvPr>
        <xdr:cNvSpPr txBox="1"/>
      </xdr:nvSpPr>
      <xdr:spPr>
        <a:xfrm>
          <a:off x="1060174" y="819978"/>
          <a:ext cx="23439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Figure 1. Three</a:t>
          </a:r>
          <a:r>
            <a:rPr lang="en-US" sz="1100" b="1" baseline="0"/>
            <a:t> state Markov model. </a:t>
          </a:r>
          <a:endParaRPr lang="en-US" sz="1100" b="1"/>
        </a:p>
      </xdr:txBody>
    </xdr:sp>
    <xdr:clientData/>
  </xdr:oneCellAnchor>
  <xdr:twoCellAnchor editAs="oneCell">
    <xdr:from>
      <xdr:col>0</xdr:col>
      <xdr:colOff>0</xdr:colOff>
      <xdr:row>6</xdr:row>
      <xdr:rowOff>122464</xdr:rowOff>
    </xdr:from>
    <xdr:to>
      <xdr:col>10</xdr:col>
      <xdr:colOff>427058</xdr:colOff>
      <xdr:row>20</xdr:row>
      <xdr:rowOff>123213</xdr:rowOff>
    </xdr:to>
    <xdr:pic>
      <xdr:nvPicPr>
        <xdr:cNvPr id="6" name="图片 5">
          <a:extLst>
            <a:ext uri="{FF2B5EF4-FFF2-40B4-BE49-F238E27FC236}">
              <a16:creationId xmlns:a16="http://schemas.microsoft.com/office/drawing/2014/main" id="{77FF2C23-7501-4824-92D4-339415DAFDA5}"/>
            </a:ext>
          </a:extLst>
        </xdr:cNvPr>
        <xdr:cNvPicPr>
          <a:picLocks noChangeAspect="1"/>
        </xdr:cNvPicPr>
      </xdr:nvPicPr>
      <xdr:blipFill>
        <a:blip xmlns:r="http://schemas.openxmlformats.org/officeDocument/2006/relationships" r:embed="rId3"/>
        <a:stretch>
          <a:fillRect/>
        </a:stretch>
      </xdr:blipFill>
      <xdr:spPr>
        <a:xfrm>
          <a:off x="0" y="1700893"/>
          <a:ext cx="6030026" cy="24804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40</xdr:col>
      <xdr:colOff>352424</xdr:colOff>
      <xdr:row>2</xdr:row>
      <xdr:rowOff>180974</xdr:rowOff>
    </xdr:from>
    <xdr:to>
      <xdr:col>53</xdr:col>
      <xdr:colOff>381000</xdr:colOff>
      <xdr:row>31</xdr:row>
      <xdr:rowOff>49695</xdr:rowOff>
    </xdr:to>
    <xdr:graphicFrame macro="">
      <xdr:nvGraphicFramePr>
        <xdr:cNvPr id="2" name="Chart 2">
          <a:extLst>
            <a:ext uri="{FF2B5EF4-FFF2-40B4-BE49-F238E27FC236}">
              <a16:creationId xmlns:a16="http://schemas.microsoft.com/office/drawing/2014/main" id="{F2500955-F508-494F-801A-62628D872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53</xdr:col>
      <xdr:colOff>433801</xdr:colOff>
      <xdr:row>2</xdr:row>
      <xdr:rowOff>117819</xdr:rowOff>
    </xdr:from>
    <xdr:to>
      <xdr:col>67</xdr:col>
      <xdr:colOff>476249</xdr:colOff>
      <xdr:row>31</xdr:row>
      <xdr:rowOff>47625</xdr:rowOff>
    </xdr:to>
    <xdr:graphicFrame macro="">
      <xdr:nvGraphicFramePr>
        <xdr:cNvPr id="3" name="Chart 3">
          <a:extLst>
            <a:ext uri="{FF2B5EF4-FFF2-40B4-BE49-F238E27FC236}">
              <a16:creationId xmlns:a16="http://schemas.microsoft.com/office/drawing/2014/main" id="{2551C9EF-12F4-4E39-A872-85C030CFF568}"/>
            </a:ext>
            <a:ext uri="{147F2762-F138-4A5C-976F-8EAC2B608ADB}">
              <a16:predDERef xmlns:a16="http://schemas.microsoft.com/office/drawing/2014/main" pred="{F2500955-F508-494F-801A-62628D872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414131</xdr:colOff>
      <xdr:row>4</xdr:row>
      <xdr:rowOff>115956</xdr:rowOff>
    </xdr:from>
    <xdr:ext cx="184731" cy="264560"/>
    <xdr:sp macro="" textlink="">
      <xdr:nvSpPr>
        <xdr:cNvPr id="4" name="TextBox 4">
          <a:extLst>
            <a:ext uri="{FF2B5EF4-FFF2-40B4-BE49-F238E27FC236}">
              <a16:creationId xmlns:a16="http://schemas.microsoft.com/office/drawing/2014/main" id="{535DE449-5769-44C9-A3C4-DE64D4F49C41}"/>
            </a:ext>
          </a:extLst>
        </xdr:cNvPr>
        <xdr:cNvSpPr txBox="1"/>
      </xdr:nvSpPr>
      <xdr:spPr>
        <a:xfrm>
          <a:off x="1167848" y="803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b="1"/>
        </a:p>
      </xdr:txBody>
    </xdr:sp>
    <xdr:clientData/>
  </xdr:oneCellAnchor>
  <xdr:twoCellAnchor editAs="oneCell">
    <xdr:from>
      <xdr:col>2</xdr:col>
      <xdr:colOff>55493</xdr:colOff>
      <xdr:row>10</xdr:row>
      <xdr:rowOff>6014</xdr:rowOff>
    </xdr:from>
    <xdr:to>
      <xdr:col>12</xdr:col>
      <xdr:colOff>10502</xdr:colOff>
      <xdr:row>23</xdr:row>
      <xdr:rowOff>125895</xdr:rowOff>
    </xdr:to>
    <xdr:pic>
      <xdr:nvPicPr>
        <xdr:cNvPr id="6" name="图片 5">
          <a:extLst>
            <a:ext uri="{FF2B5EF4-FFF2-40B4-BE49-F238E27FC236}">
              <a16:creationId xmlns:a16="http://schemas.microsoft.com/office/drawing/2014/main" id="{C580C2A4-A06E-4F64-9007-7854D3B91871}"/>
            </a:ext>
            <a:ext uri="{147F2762-F138-4A5C-976F-8EAC2B608ADB}">
              <a16:predDERef xmlns:a16="http://schemas.microsoft.com/office/drawing/2014/main" pred="{535DE449-5769-44C9-A3C4-DE64D4F49C41}"/>
            </a:ext>
          </a:extLst>
        </xdr:cNvPr>
        <xdr:cNvPicPr>
          <a:picLocks noChangeAspect="1"/>
        </xdr:cNvPicPr>
      </xdr:nvPicPr>
      <xdr:blipFill>
        <a:blip xmlns:r="http://schemas.openxmlformats.org/officeDocument/2006/relationships" r:embed="rId3"/>
        <a:stretch>
          <a:fillRect/>
        </a:stretch>
      </xdr:blipFill>
      <xdr:spPr>
        <a:xfrm>
          <a:off x="455543" y="2463464"/>
          <a:ext cx="5266784" cy="25932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1</xdr:col>
      <xdr:colOff>3316329</xdr:colOff>
      <xdr:row>12</xdr:row>
      <xdr:rowOff>88605</xdr:rowOff>
    </xdr:to>
    <xdr:pic>
      <xdr:nvPicPr>
        <xdr:cNvPr id="2" name="Picture 1">
          <a:extLst>
            <a:ext uri="{FF2B5EF4-FFF2-40B4-BE49-F238E27FC236}">
              <a16:creationId xmlns:a16="http://schemas.microsoft.com/office/drawing/2014/main" id="{9432D943-9891-554D-B4C1-42D47E837A2F}"/>
            </a:ext>
          </a:extLst>
        </xdr:cNvPr>
        <xdr:cNvPicPr>
          <a:picLocks noChangeAspect="1"/>
        </xdr:cNvPicPr>
      </xdr:nvPicPr>
      <xdr:blipFill>
        <a:blip xmlns:r="http://schemas.openxmlformats.org/officeDocument/2006/relationships" r:embed="rId1"/>
        <a:stretch>
          <a:fillRect/>
        </a:stretch>
      </xdr:blipFill>
      <xdr:spPr>
        <a:xfrm>
          <a:off x="0" y="2433970"/>
          <a:ext cx="4180224" cy="896088"/>
        </a:xfrm>
        <a:prstGeom prst="rect">
          <a:avLst/>
        </a:prstGeom>
      </xdr:spPr>
    </xdr:pic>
    <xdr:clientData/>
  </xdr:twoCellAnchor>
  <xdr:twoCellAnchor>
    <xdr:from>
      <xdr:col>2</xdr:col>
      <xdr:colOff>1052612</xdr:colOff>
      <xdr:row>6</xdr:row>
      <xdr:rowOff>125857</xdr:rowOff>
    </xdr:from>
    <xdr:to>
      <xdr:col>3</xdr:col>
      <xdr:colOff>3947297</xdr:colOff>
      <xdr:row>23</xdr:row>
      <xdr:rowOff>91532</xdr:rowOff>
    </xdr:to>
    <xdr:sp macro="" textlink="">
      <xdr:nvSpPr>
        <xdr:cNvPr id="6" name="TextBox 5">
          <a:extLst>
            <a:ext uri="{FF2B5EF4-FFF2-40B4-BE49-F238E27FC236}">
              <a16:creationId xmlns:a16="http://schemas.microsoft.com/office/drawing/2014/main" id="{B82C71A8-3729-A0B0-71E9-8C193F7D822D}"/>
            </a:ext>
          </a:extLst>
        </xdr:cNvPr>
        <xdr:cNvSpPr txBox="1"/>
      </xdr:nvSpPr>
      <xdr:spPr>
        <a:xfrm>
          <a:off x="5995315" y="2231082"/>
          <a:ext cx="7025045" cy="32722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i="0" u="none" strike="noStrike" baseline="0">
              <a:solidFill>
                <a:schemeClr val="dk1"/>
              </a:solidFill>
              <a:latin typeface="+mn-lt"/>
              <a:cs typeface="+mn-cs"/>
            </a:rPr>
            <a:t>Explanation for the utilities:</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i="0" u="none" strike="noStrike" baseline="0">
              <a:solidFill>
                <a:srgbClr val="000000"/>
              </a:solidFill>
              <a:latin typeface="Calibri" pitchFamily="2" charset="0"/>
              <a:cs typeface="Calibri" pitchFamily="2" charset="0"/>
            </a:rPr>
            <a:t>Progression-free state: </a:t>
          </a:r>
          <a:r>
            <a:rPr lang="en-US" sz="1100" b="0" i="0" u="none" strike="noStrike" baseline="0">
              <a:solidFill>
                <a:srgbClr val="000000"/>
              </a:solidFill>
              <a:latin typeface="Calibri" pitchFamily="2" charset="0"/>
              <a:cs typeface="Calibri" pitchFamily="2" charset="0"/>
            </a:rPr>
            <a:t>NICE prefers health state utility (HSU) values derived from EQ-5D trial data, therefore data from Lloyd et al. (2006) likely not preferred, if data from trials are available. Most previous NICE reports redacts HSU values for PFS, but a recent publication by Mistry et al. (2018) used EQ-5D data from MONALEESA-2 trial (abemaciclib + AI in 1L patients) and derived HSU for PFS of 0.83 using the latest UK value set</a:t>
          </a:r>
          <a:endParaRPr lang="en-US">
            <a:effectLst/>
          </a:endParaRPr>
        </a:p>
        <a:p>
          <a:pPr marL="628650" lvl="1" indent="-171450">
            <a:buFont typeface="Wingdings" pitchFamily="2" charset="2"/>
            <a:buChar char="§"/>
          </a:pPr>
          <a:r>
            <a:rPr lang="en-US" sz="1100">
              <a:solidFill>
                <a:schemeClr val="dk1"/>
              </a:solidFill>
              <a:effectLst/>
              <a:latin typeface="+mn-lt"/>
              <a:ea typeface="+mn-ea"/>
              <a:cs typeface="+mn-cs"/>
            </a:rPr>
            <a:t>HSU value also used by Wang </a:t>
          </a:r>
          <a:r>
            <a:rPr lang="en-US" sz="1100" i="1">
              <a:solidFill>
                <a:schemeClr val="dk1"/>
              </a:solidFill>
              <a:effectLst/>
              <a:latin typeface="+mn-lt"/>
              <a:ea typeface="+mn-ea"/>
              <a:cs typeface="+mn-cs"/>
            </a:rPr>
            <a:t>et. al. </a:t>
          </a:r>
          <a:r>
            <a:rPr lang="en-US" sz="1100">
              <a:solidFill>
                <a:schemeClr val="dk1"/>
              </a:solidFill>
              <a:effectLst/>
              <a:latin typeface="+mn-lt"/>
              <a:ea typeface="+mn-ea"/>
              <a:cs typeface="+mn-cs"/>
            </a:rPr>
            <a:t>(2021)</a:t>
          </a:r>
        </a:p>
        <a:p>
          <a:pPr marL="628650" lvl="1" indent="-171450">
            <a:buFont typeface="Wingdings" pitchFamily="2" charset="2"/>
            <a:buChar char="§"/>
          </a:pPr>
          <a:r>
            <a:rPr lang="en-US" sz="1100">
              <a:solidFill>
                <a:schemeClr val="dk1"/>
              </a:solidFill>
              <a:effectLst/>
              <a:latin typeface="+mn-lt"/>
              <a:ea typeface="+mn-ea"/>
              <a:cs typeface="+mn-cs"/>
            </a:rPr>
            <a:t>HSU value slightly higher than Lloyd </a:t>
          </a:r>
          <a:r>
            <a:rPr lang="en-US" sz="1100" i="1">
              <a:solidFill>
                <a:schemeClr val="dk1"/>
              </a:solidFill>
              <a:effectLst/>
              <a:latin typeface="+mn-lt"/>
              <a:ea typeface="+mn-ea"/>
              <a:cs typeface="+mn-cs"/>
            </a:rPr>
            <a:t> et al.</a:t>
          </a:r>
          <a:r>
            <a:rPr lang="en-US" sz="1100">
              <a:solidFill>
                <a:schemeClr val="dk1"/>
              </a:solidFill>
              <a:effectLst/>
              <a:latin typeface="+mn-lt"/>
              <a:ea typeface="+mn-ea"/>
              <a:cs typeface="+mn-cs"/>
            </a:rPr>
            <a:t> (2006) and than those that have been historically considered by NICE (e.g., for eribulin, fulvestrant, everolimus + exemestane, ribociclib)</a:t>
          </a:r>
        </a:p>
        <a:p>
          <a:pPr marL="628650" lvl="1" indent="-171450">
            <a:buFont typeface="Wingdings" pitchFamily="2" charset="2"/>
            <a:buChar char="§"/>
          </a:pPr>
          <a:r>
            <a:rPr lang="en-US" sz="1100" u="sng">
              <a:solidFill>
                <a:schemeClr val="dk1"/>
              </a:solidFill>
              <a:effectLst/>
              <a:latin typeface="+mn-lt"/>
              <a:ea typeface="+mn-ea"/>
              <a:cs typeface="+mn-cs"/>
            </a:rPr>
            <a:t>Limitation:</a:t>
          </a:r>
          <a:r>
            <a:rPr lang="en-US" sz="1100">
              <a:solidFill>
                <a:schemeClr val="dk1"/>
              </a:solidFill>
              <a:effectLst/>
              <a:latin typeface="+mn-lt"/>
              <a:ea typeface="+mn-ea"/>
              <a:cs typeface="+mn-cs"/>
            </a:rPr>
            <a:t> HSU value may be overestimating the HSU of patients as it covers first-line patients and there is likely a lower utility in second-line</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rgbClr val="000000"/>
            </a:solidFill>
            <a:latin typeface="Calibri" pitchFamily="2" charset="0"/>
            <a:cs typeface="Calibri"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Progression state:</a:t>
          </a:r>
          <a:r>
            <a:rPr lang="en-US" sz="1100">
              <a:solidFill>
                <a:schemeClr val="dk1"/>
              </a:solidFill>
              <a:effectLst/>
              <a:latin typeface="+mn-lt"/>
              <a:ea typeface="+mn-ea"/>
              <a:cs typeface="+mn-cs"/>
            </a:rPr>
            <a:t> No EQ-5D data available from the trials, as they typically stop collecting this data once patients progress. Available data: </a:t>
          </a:r>
          <a:endParaRPr lang="en-US">
            <a:effectLst/>
          </a:endParaRPr>
        </a:p>
        <a:p>
          <a:pPr marL="628650" lvl="1" indent="-171450">
            <a:buFont typeface="Wingdings" pitchFamily="2" charset="2"/>
            <a:buChar char="§"/>
          </a:pPr>
          <a:r>
            <a:rPr lang="en-US" sz="1100" u="sng">
              <a:solidFill>
                <a:schemeClr val="dk1"/>
              </a:solidFill>
              <a:effectLst/>
              <a:latin typeface="+mn-lt"/>
              <a:ea typeface="+mn-ea"/>
              <a:cs typeface="+mn-cs"/>
            </a:rPr>
            <a:t>Lloyd </a:t>
          </a:r>
          <a:r>
            <a:rPr lang="en-US" sz="1100" i="1" u="sng">
              <a:solidFill>
                <a:schemeClr val="dk1"/>
              </a:solidFill>
              <a:effectLst/>
              <a:latin typeface="+mn-lt"/>
              <a:ea typeface="+mn-ea"/>
              <a:cs typeface="+mn-cs"/>
            </a:rPr>
            <a:t>et al. </a:t>
          </a:r>
          <a:r>
            <a:rPr lang="en-US" sz="1100" u="sng">
              <a:solidFill>
                <a:schemeClr val="dk1"/>
              </a:solidFill>
              <a:effectLst/>
              <a:latin typeface="+mn-lt"/>
              <a:ea typeface="+mn-ea"/>
              <a:cs typeface="+mn-cs"/>
            </a:rPr>
            <a:t>(2006): 0.56</a:t>
          </a:r>
          <a:r>
            <a:rPr lang="en-US" sz="1100">
              <a:solidFill>
                <a:schemeClr val="dk1"/>
              </a:solidFill>
              <a:effectLst/>
              <a:latin typeface="+mn-lt"/>
              <a:ea typeface="+mn-ea"/>
              <a:cs typeface="+mn-cs"/>
            </a:rPr>
            <a:t> —&gt; Previously taken by NICE, but mentioned that it is likely underestimating the utility since treatment of metastatic breast cancer has improved over the last 15+ years</a:t>
          </a:r>
        </a:p>
        <a:p>
          <a:pPr marL="628650" lvl="1" indent="-171450">
            <a:buFont typeface="Wingdings" pitchFamily="2" charset="2"/>
            <a:buChar char="§"/>
          </a:pPr>
          <a:r>
            <a:rPr lang="en-US" sz="1100" u="sng">
              <a:solidFill>
                <a:schemeClr val="dk1"/>
              </a:solidFill>
              <a:effectLst/>
              <a:latin typeface="+mn-lt"/>
              <a:ea typeface="+mn-ea"/>
              <a:cs typeface="+mn-cs"/>
            </a:rPr>
            <a:t>Mitra </a:t>
          </a:r>
          <a:r>
            <a:rPr lang="en-US" sz="1100" i="1" u="sng">
              <a:solidFill>
                <a:schemeClr val="dk1"/>
              </a:solidFill>
              <a:effectLst/>
              <a:latin typeface="+mn-lt"/>
              <a:ea typeface="+mn-ea"/>
              <a:cs typeface="+mn-cs"/>
            </a:rPr>
            <a:t>et al. </a:t>
          </a:r>
          <a:r>
            <a:rPr lang="en-US" sz="1100" u="sng">
              <a:solidFill>
                <a:schemeClr val="dk1"/>
              </a:solidFill>
              <a:effectLst/>
              <a:latin typeface="+mn-lt"/>
              <a:ea typeface="+mn-ea"/>
              <a:cs typeface="+mn-cs"/>
            </a:rPr>
            <a:t>(2016): 0.69</a:t>
          </a:r>
          <a:r>
            <a:rPr lang="en-US" sz="1100">
              <a:solidFill>
                <a:schemeClr val="dk1"/>
              </a:solidFill>
              <a:effectLst/>
              <a:latin typeface="+mn-lt"/>
              <a:ea typeface="+mn-ea"/>
              <a:cs typeface="+mn-cs"/>
            </a:rPr>
            <a:t> —&gt; Previously considered by NICE, but weaknesses mentioned (lack of transparency of the methodology - only abstract available)</a:t>
          </a:r>
          <a:endParaRPr lang="en-US" sz="1100" b="0" i="0" u="none" strike="noStrike" baseline="0">
            <a:solidFill>
              <a:srgbClr val="000000"/>
            </a:solidFill>
            <a:latin typeface="Calibri" pitchFamily="2" charset="0"/>
            <a:cs typeface="Calibri" pitchFamily="2" charset="0"/>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43</xdr:col>
      <xdr:colOff>559323</xdr:colOff>
      <xdr:row>2</xdr:row>
      <xdr:rowOff>12010</xdr:rowOff>
    </xdr:from>
    <xdr:to>
      <xdr:col>54</xdr:col>
      <xdr:colOff>356939</xdr:colOff>
      <xdr:row>36</xdr:row>
      <xdr:rowOff>137381</xdr:rowOff>
    </xdr:to>
    <xdr:graphicFrame macro="">
      <xdr:nvGraphicFramePr>
        <xdr:cNvPr id="5" name="图表 4">
          <a:extLst>
            <a:ext uri="{FF2B5EF4-FFF2-40B4-BE49-F238E27FC236}">
              <a16:creationId xmlns:a16="http://schemas.microsoft.com/office/drawing/2014/main" id="{2E0BE913-BE5F-464A-AA63-5FB74FFDB1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Yue,H (pgt)" id="{18F8182F-5D23-4388-B4D2-D375B177F032}" userId="S::h.yue@lse.ac.uk::85a639c6-158f-4ce9-952e-5c2a9bbb9686" providerId="AD"/>
  <person displayName="Liedtke,P (pgt)" id="{FAA84DCF-5F32-7A40-BE5B-0F6F8FD23EEA}" userId="S::P.Liedtke@lse.ac.uk::ed3fb28d-0b6c-48eb-a367-7d436ee3ee85" providerId="AD"/>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4" dT="2023-11-13T10:50:27.25" personId="{FAA84DCF-5F32-7A40-BE5B-0F6F8FD23EEA}" id="{320479A2-E451-0742-AFB6-A1BC251F4E32}">
    <text>What is the rationale + source for this?</text>
  </threadedComment>
  <threadedComment ref="H25" dT="2023-11-13T10:52:18.25" personId="{FAA84DCF-5F32-7A40-BE5B-0F6F8FD23EEA}" id="{05FAF98F-8F6E-47CA-A768-440EF02F5AF1}">
    <text>Does this include costs for Fulvestrant? Let’s add the sources for all of these so we can qc</text>
  </threadedComment>
  <threadedComment ref="H26" dT="2023-11-13T10:52:18.25" personId="{FAA84DCF-5F32-7A40-BE5B-0F6F8FD23EEA}" id="{13337009-F61C-664F-9419-67836057FCC7}">
    <text>Does this include costs for Fulvestrant? Let’s add the sources for all of these so we can qc</text>
  </threadedComment>
  <threadedComment ref="H27" dT="2023-11-13T10:52:18.25" personId="{FAA84DCF-5F32-7A40-BE5B-0F6F8FD23EEA}" id="{E1EA9FF7-D481-475A-A3BD-2D59E07AFE33}">
    <text>Does this include costs for Fulvestrant? Let’s add the sources for all of these so we can qc</text>
  </threadedComment>
</ThreadedComments>
</file>

<file path=xl/threadedComments/threadedComment2.xml><?xml version="1.0" encoding="utf-8"?>
<ThreadedComments xmlns="http://schemas.microsoft.com/office/spreadsheetml/2018/threadedcomments" xmlns:x="http://schemas.openxmlformats.org/spreadsheetml/2006/main">
  <threadedComment ref="K2" dT="2023-11-12T13:04:28.49" personId="{18F8182F-5D23-4388-B4D2-D375B177F032}" id="{15A8186C-BD32-1F4F-B5E0-23F1DBB023DB}">
    <text>Sorry I forgot last time we discussed this, but do we need to know the extra cost of each treatment-related adverse event? I've seen other articles that take this into account.</text>
  </threadedComment>
</ThreadedComments>
</file>

<file path=xl/threadedComments/threadedComment3.xml><?xml version="1.0" encoding="utf-8"?>
<ThreadedComments xmlns="http://schemas.microsoft.com/office/spreadsheetml/2018/threadedcomments" xmlns:x="http://schemas.openxmlformats.org/spreadsheetml/2006/main">
  <threadedComment ref="K2" dT="2023-11-12T13:04:28.49" personId="{18F8182F-5D23-4388-B4D2-D375B177F032}" id="{BF969F20-5D19-49B7-86A9-6A942E931974}">
    <text>Sorry I forgot last time we discussed this, but do we need to know the extra cost of each treatment-related adverse event? I've seen other articles that take this into account.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hyperlink" Target="https://pubmed.ncbi.nlm.nih.gov/26850287/" TargetMode="External"/><Relationship Id="rId7" Type="http://schemas.microsoft.com/office/2017/10/relationships/threadedComment" Target="../threadedComments/threadedComment2.xml"/><Relationship Id="rId2" Type="http://schemas.openxmlformats.org/officeDocument/2006/relationships/hyperlink" Target="https://www.ncbi.nlm.nih.gov/pmc/articles/PMC5960988/pdf/jmcp-023-06-653.pdf" TargetMode="External"/><Relationship Id="rId1" Type="http://schemas.openxmlformats.org/officeDocument/2006/relationships/hyperlink" Target="https://pubmed.ncbi.nlm.nih.gov/26850287/" TargetMode="External"/><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hyperlink" Target="https://www.frontiersin.org/articles/10.3389/fmed.2021.658747/full"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www.pssru.ac.uk/unitcostsreport/" TargetMode="External"/><Relationship Id="rId18" Type="http://schemas.openxmlformats.org/officeDocument/2006/relationships/hyperlink" Target="https://www.nice.org.uk/guidance/ta816" TargetMode="External"/><Relationship Id="rId26" Type="http://schemas.openxmlformats.org/officeDocument/2006/relationships/hyperlink" Target="https://recist.eortc.org/" TargetMode="External"/><Relationship Id="rId39" Type="http://schemas.openxmlformats.org/officeDocument/2006/relationships/hyperlink" Target="https://www.pssru.ac.uk/unitcostsreport/" TargetMode="External"/><Relationship Id="rId21" Type="http://schemas.openxmlformats.org/officeDocument/2006/relationships/hyperlink" Target="https://www.nice.org.uk/guidance/ta816" TargetMode="External"/><Relationship Id="rId34" Type="http://schemas.openxmlformats.org/officeDocument/2006/relationships/hyperlink" Target="https://www.nice.org.uk/guidance/ta816" TargetMode="External"/><Relationship Id="rId42" Type="http://schemas.openxmlformats.org/officeDocument/2006/relationships/hyperlink" Target="https://www.nice.org.uk/guidance/ta816" TargetMode="External"/><Relationship Id="rId47" Type="http://schemas.openxmlformats.org/officeDocument/2006/relationships/hyperlink" Target="https://www.england.nhs.uk/puhttps:/www.england.nhs.uk/publication/2021-22-national-cost-collection-data-publication/" TargetMode="External"/><Relationship Id="rId50" Type="http://schemas.openxmlformats.org/officeDocument/2006/relationships/hyperlink" Target="https://www.nice.org.uk/guidance/ta836/documents/committee-papers-2" TargetMode="External"/><Relationship Id="rId55" Type="http://schemas.openxmlformats.org/officeDocument/2006/relationships/hyperlink" Target="https://www.england.nhs.uk/wp-content/uploads/2021/02/20-21_National-Tariff-Payment-System.pdf" TargetMode="External"/><Relationship Id="rId7" Type="http://schemas.openxmlformats.org/officeDocument/2006/relationships/hyperlink" Target="https://www.medicines.org.uk/emc/product/11961/smpc" TargetMode="External"/><Relationship Id="rId2" Type="http://schemas.openxmlformats.org/officeDocument/2006/relationships/hyperlink" Target="https://bnf.nice.org.uk/drugs/fulvestrant/medicinal-forms/" TargetMode="External"/><Relationship Id="rId16" Type="http://schemas.openxmlformats.org/officeDocument/2006/relationships/hyperlink" Target="https://www.nice.org.uk/guidance/ta836/documents/committee-papers-2" TargetMode="External"/><Relationship Id="rId29" Type="http://schemas.openxmlformats.org/officeDocument/2006/relationships/hyperlink" Target="https://www.pssru.ac.uk/unitcostsreport/" TargetMode="External"/><Relationship Id="rId11" Type="http://schemas.openxmlformats.org/officeDocument/2006/relationships/hyperlink" Target="https://www.medicines.org.uk/emc/product/11683/smpc" TargetMode="External"/><Relationship Id="rId24" Type="http://schemas.openxmlformats.org/officeDocument/2006/relationships/hyperlink" Target="https://www.nice.org.uk/guidance/ta816" TargetMode="External"/><Relationship Id="rId32" Type="http://schemas.openxmlformats.org/officeDocument/2006/relationships/hyperlink" Target="https://www.england.nhs.uk/puhttps:/www.england.nhs.uk/publication/2021-22-national-cost-collection-data-publication/" TargetMode="External"/><Relationship Id="rId37" Type="http://schemas.openxmlformats.org/officeDocument/2006/relationships/hyperlink" Target="https://www.england.nhs.uk/puhttps:/www.england.nhs.uk/publication/2021-22-national-cost-collection-data-publication/" TargetMode="External"/><Relationship Id="rId40" Type="http://schemas.openxmlformats.org/officeDocument/2006/relationships/hyperlink" Target="https://www.england.nhs.uk/puhttps:/www.england.nhs.uk/publication/2021-22-national-cost-collection-data-publication/" TargetMode="External"/><Relationship Id="rId45" Type="http://schemas.openxmlformats.org/officeDocument/2006/relationships/hyperlink" Target="https://www.england.nhs.uk/puhttps:/www.england.nhs.uk/publication/2021-22-national-cost-collection-data-publication/" TargetMode="External"/><Relationship Id="rId53" Type="http://schemas.openxmlformats.org/officeDocument/2006/relationships/hyperlink" Target="https://www.england.nhs.uk/puhttps:/www.england.nhs.uk/publication/2021-22-national-cost-collection-data-publication/" TargetMode="External"/><Relationship Id="rId5" Type="http://schemas.openxmlformats.org/officeDocument/2006/relationships/hyperlink" Target="https://www.medicines.org.uk/emc/product/11961/smpc" TargetMode="External"/><Relationship Id="rId10" Type="http://schemas.openxmlformats.org/officeDocument/2006/relationships/hyperlink" Target="https://www.medicines.org.uk/emc/product/11683/smpc" TargetMode="External"/><Relationship Id="rId19" Type="http://schemas.openxmlformats.org/officeDocument/2006/relationships/hyperlink" Target="https://www.nice.org.uk/guidance/ta836/documents/committee-papers-2" TargetMode="External"/><Relationship Id="rId31" Type="http://schemas.openxmlformats.org/officeDocument/2006/relationships/hyperlink" Target="https://www.nice.org.uk/guidance/ta816" TargetMode="External"/><Relationship Id="rId44" Type="http://schemas.openxmlformats.org/officeDocument/2006/relationships/hyperlink" Target="https://www.england.nhs.uk/puhttps:/www.england.nhs.uk/publication/2021-22-national-cost-collection-data-publication/" TargetMode="External"/><Relationship Id="rId52" Type="http://schemas.openxmlformats.org/officeDocument/2006/relationships/hyperlink" Target="https://www.pssru.ac.uk/unitcostsreport/" TargetMode="External"/><Relationship Id="rId4" Type="http://schemas.openxmlformats.org/officeDocument/2006/relationships/hyperlink" Target="https://bnf.nice.org.uk/drugs/fulvestrant/medicinal-forms/" TargetMode="External"/><Relationship Id="rId9" Type="http://schemas.openxmlformats.org/officeDocument/2006/relationships/hyperlink" Target="https://bnf.nice.org.uk/drugs/alpelisib-specialist-drug/medicinal-forms/" TargetMode="External"/><Relationship Id="rId14" Type="http://schemas.openxmlformats.org/officeDocument/2006/relationships/hyperlink" Target="https://www.nice.org.uk/guidance/ta836/documents/committee-papers-2" TargetMode="External"/><Relationship Id="rId22" Type="http://schemas.openxmlformats.org/officeDocument/2006/relationships/hyperlink" Target="https://www.england.nhs.uk/puhttps:/www.england.nhs.uk/publication/2021-22-national-cost-collection-data-publication/" TargetMode="External"/><Relationship Id="rId27" Type="http://schemas.openxmlformats.org/officeDocument/2006/relationships/hyperlink" Target="https://www.england.nhs.uk/puhttps:/www.england.nhs.uk/publication/2021-22-national-cost-collection-data-publication/" TargetMode="External"/><Relationship Id="rId30" Type="http://schemas.openxmlformats.org/officeDocument/2006/relationships/hyperlink" Target="https://www.england.nhs.uk/puhttps:/www.england.nhs.uk/publication/2021-22-national-cost-collection-data-publication/" TargetMode="External"/><Relationship Id="rId35" Type="http://schemas.openxmlformats.org/officeDocument/2006/relationships/hyperlink" Target="https://www.nice.org.uk/guidance/ta816" TargetMode="External"/><Relationship Id="rId43" Type="http://schemas.openxmlformats.org/officeDocument/2006/relationships/hyperlink" Target="https://www.england.nhs.uk/puhttps:/www.england.nhs.uk/publication/2021-22-national-cost-collection-data-publication/" TargetMode="External"/><Relationship Id="rId48" Type="http://schemas.openxmlformats.org/officeDocument/2006/relationships/hyperlink" Target="https://www.nice.org.uk/guidance/ta816" TargetMode="External"/><Relationship Id="rId56" Type="http://schemas.openxmlformats.org/officeDocument/2006/relationships/hyperlink" Target="https://www.nice.org.uk/guidance/ta836/documents/committee-papers-2" TargetMode="External"/><Relationship Id="rId8" Type="http://schemas.openxmlformats.org/officeDocument/2006/relationships/hyperlink" Target="https://bnf.nice.org.uk/drugs/palbociclib-specialist-drug/medicinal-forms/" TargetMode="External"/><Relationship Id="rId51" Type="http://schemas.openxmlformats.org/officeDocument/2006/relationships/hyperlink" Target="https://www.nice.org.uk/guidance/ta836/documents/committee-papers-2" TargetMode="External"/><Relationship Id="rId3" Type="http://schemas.openxmlformats.org/officeDocument/2006/relationships/hyperlink" Target="https://bnf.nice.org.uk/drugs/fulvestrant/medicinal-forms/" TargetMode="External"/><Relationship Id="rId12" Type="http://schemas.openxmlformats.org/officeDocument/2006/relationships/hyperlink" Target="https://www.medicines.org.uk/emc/product/11683/smpc" TargetMode="External"/><Relationship Id="rId17" Type="http://schemas.openxmlformats.org/officeDocument/2006/relationships/hyperlink" Target="https://www.england.nhs.uk/wp-content/uploads/2020/11/22-23-National-tariff-payment-system.pdf" TargetMode="External"/><Relationship Id="rId25" Type="http://schemas.openxmlformats.org/officeDocument/2006/relationships/hyperlink" Target="https://www.nice.org.uk/guidance/ta816" TargetMode="External"/><Relationship Id="rId33" Type="http://schemas.openxmlformats.org/officeDocument/2006/relationships/hyperlink" Target="https://www.nice.org.uk/guidance/ta816" TargetMode="External"/><Relationship Id="rId38" Type="http://schemas.openxmlformats.org/officeDocument/2006/relationships/hyperlink" Target="https://www.england.nhs.uk/puhttps:/www.england.nhs.uk/publication/2021-22-national-cost-collection-data-publication/" TargetMode="External"/><Relationship Id="rId46" Type="http://schemas.openxmlformats.org/officeDocument/2006/relationships/hyperlink" Target="https://www.nice.org.uk/guidance/ta816" TargetMode="External"/><Relationship Id="rId20" Type="http://schemas.openxmlformats.org/officeDocument/2006/relationships/hyperlink" Target="https://www.england.nhs.uk/puhttps:/www.england.nhs.uk/publication/2021-22-national-cost-collection-data-publication/" TargetMode="External"/><Relationship Id="rId41" Type="http://schemas.openxmlformats.org/officeDocument/2006/relationships/hyperlink" Target="https://www.nice.org.uk/guidance/ta816" TargetMode="External"/><Relationship Id="rId54" Type="http://schemas.openxmlformats.org/officeDocument/2006/relationships/hyperlink" Target="https://www.england.nhs.uk/wp-content/uploads/2020/11/21-22-National-tariff-payment-system.pdf" TargetMode="External"/><Relationship Id="rId1" Type="http://schemas.openxmlformats.org/officeDocument/2006/relationships/hyperlink" Target="https://bnf.nice.org.uk/drugs/fulvestrant/medicinal-forms/" TargetMode="External"/><Relationship Id="rId6" Type="http://schemas.openxmlformats.org/officeDocument/2006/relationships/hyperlink" Target="https://www.medicines.org.uk/emc/product/11961/smpc" TargetMode="External"/><Relationship Id="rId15" Type="http://schemas.openxmlformats.org/officeDocument/2006/relationships/hyperlink" Target="https://www.nice.org.uk/guidance/ta836/documents/committee-papers-2" TargetMode="External"/><Relationship Id="rId23" Type="http://schemas.openxmlformats.org/officeDocument/2006/relationships/hyperlink" Target="https://www.nice.org.uk/guidance/ta816" TargetMode="External"/><Relationship Id="rId28" Type="http://schemas.openxmlformats.org/officeDocument/2006/relationships/hyperlink" Target="https://www.england.nhs.uk/puhttps:/www.england.nhs.uk/publication/2021-22-national-cost-collection-data-publication/" TargetMode="External"/><Relationship Id="rId36" Type="http://schemas.openxmlformats.org/officeDocument/2006/relationships/hyperlink" Target="https://recist.eortc.org/" TargetMode="External"/><Relationship Id="rId49" Type="http://schemas.openxmlformats.org/officeDocument/2006/relationships/hyperlink" Target="https://www.nice.org.uk/guidance/ta816"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england.nhs.uk/publication/2021-22-national-cost-collection-data-publication/" TargetMode="External"/><Relationship Id="rId13" Type="http://schemas.openxmlformats.org/officeDocument/2006/relationships/vmlDrawing" Target="../drawings/vmlDrawing4.vml"/><Relationship Id="rId3" Type="http://schemas.openxmlformats.org/officeDocument/2006/relationships/hyperlink" Target="https://www.nice.org.uk/guidance/ta819/evidence/appraisal-consultation-committee-papers-pdf-11191563901" TargetMode="External"/><Relationship Id="rId7" Type="http://schemas.openxmlformats.org/officeDocument/2006/relationships/hyperlink" Target="https://www.nejm.org/doi/pdf/10.1056/NEJMoa2214131?articleTools=true" TargetMode="External"/><Relationship Id="rId12" Type="http://schemas.openxmlformats.org/officeDocument/2006/relationships/hyperlink" Target="https://www.nice.org.uk/guidance/ta836/documents/committee-papers-2" TargetMode="External"/><Relationship Id="rId2" Type="http://schemas.openxmlformats.org/officeDocument/2006/relationships/hyperlink" Target="https://www.nice.org.uk/guidance/ta819/evidence/appraisal-consultation-committee-papers-pdf-11191563901" TargetMode="External"/><Relationship Id="rId1" Type="http://schemas.openxmlformats.org/officeDocument/2006/relationships/hyperlink" Target="https://www.ncbi.nlm.nih.gov/pmc/articles/PMC5960988/pdf/jmcp-023-06-653.pdf" TargetMode="External"/><Relationship Id="rId6" Type="http://schemas.openxmlformats.org/officeDocument/2006/relationships/hyperlink" Target="https://www.england.nhs.uk/puhttps:/www.england.nhs.uk/publication/2021-22-national-cost-collection-data-publication/" TargetMode="External"/><Relationship Id="rId11" Type="http://schemas.openxmlformats.org/officeDocument/2006/relationships/hyperlink" Target="https://www.pssru.ac.uk/unitcostsreport/" TargetMode="External"/><Relationship Id="rId5" Type="http://schemas.openxmlformats.org/officeDocument/2006/relationships/hyperlink" Target="https://www.frontiersin.org/articles/10.3389/fmed.2021.658747/full" TargetMode="External"/><Relationship Id="rId15" Type="http://schemas.microsoft.com/office/2017/10/relationships/threadedComment" Target="../threadedComments/threadedComment3.xml"/><Relationship Id="rId10" Type="http://schemas.openxmlformats.org/officeDocument/2006/relationships/hyperlink" Target="https://www.england.nhs.uk/publication/2021-22-national-cost-collection-data-publication/" TargetMode="External"/><Relationship Id="rId4" Type="http://schemas.openxmlformats.org/officeDocument/2006/relationships/hyperlink" Target="https://www.nice.org.uk/guidance/ta819/evidence/appraisal-consultation-committee-papers-pdf-11191563901" TargetMode="External"/><Relationship Id="rId9" Type="http://schemas.openxmlformats.org/officeDocument/2006/relationships/hyperlink" Target="https://www.england.nhs.uk/puhttps:/www.england.nhs.uk/publication/2021-22-national-cost-collection-data-publication/" TargetMode="External"/><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9687-175A-425C-9BE3-21CE2C47355B}">
  <sheetPr codeName="Sheet4"/>
  <dimension ref="A1:E47"/>
  <sheetViews>
    <sheetView tabSelected="1" zoomScaleNormal="100" workbookViewId="0">
      <pane xSplit="2" ySplit="1" topLeftCell="C35" activePane="bottomRight" state="frozen"/>
      <selection pane="topRight" activeCell="C1" sqref="C1"/>
      <selection pane="bottomLeft" activeCell="A2" sqref="A2"/>
      <selection pane="bottomRight" activeCell="G19" sqref="G19"/>
    </sheetView>
  </sheetViews>
  <sheetFormatPr defaultColWidth="8.83203125" defaultRowHeight="14"/>
  <cols>
    <col min="1" max="1" width="18.08203125" customWidth="1"/>
    <col min="2" max="2" width="26.6640625" style="92" customWidth="1"/>
    <col min="3" max="3" width="29.9140625" customWidth="1"/>
    <col min="4" max="4" width="24.75" customWidth="1"/>
    <col min="5" max="5" width="16.25" customWidth="1"/>
    <col min="6" max="6" width="35.08203125" customWidth="1"/>
    <col min="7" max="7" width="34.08203125" customWidth="1"/>
    <col min="8" max="8" width="110.08203125" customWidth="1"/>
    <col min="9" max="9" width="11.83203125" bestFit="1" customWidth="1"/>
    <col min="10" max="10" width="68.08203125" bestFit="1" customWidth="1"/>
    <col min="11" max="11" width="14" customWidth="1"/>
    <col min="12" max="12" width="11.58203125" bestFit="1" customWidth="1"/>
  </cols>
  <sheetData>
    <row r="1" spans="1:5" s="226" customFormat="1">
      <c r="A1" s="231" t="s">
        <v>0</v>
      </c>
      <c r="B1" s="231" t="s">
        <v>1</v>
      </c>
      <c r="C1" s="231" t="s">
        <v>293</v>
      </c>
      <c r="D1" s="231" t="s">
        <v>291</v>
      </c>
      <c r="E1" s="231" t="s">
        <v>292</v>
      </c>
    </row>
    <row r="2" spans="1:5" s="227" customFormat="1">
      <c r="A2" s="329" t="s">
        <v>2</v>
      </c>
      <c r="B2" s="233" t="s">
        <v>3</v>
      </c>
      <c r="C2" s="232">
        <f>D2*E2</f>
        <v>660</v>
      </c>
      <c r="D2" s="245">
        <v>1</v>
      </c>
      <c r="E2" s="232">
        <v>660</v>
      </c>
    </row>
    <row r="3" spans="1:5" s="227" customFormat="1">
      <c r="A3" s="329"/>
      <c r="B3" s="233" t="s">
        <v>4</v>
      </c>
      <c r="C3" s="232">
        <f t="shared" ref="C3:C28" si="0">D3*E3</f>
        <v>2.9555555555555559E-3</v>
      </c>
      <c r="D3" s="245">
        <v>1</v>
      </c>
      <c r="E3" s="234">
        <f>3.5%*30.4/360</f>
        <v>2.9555555555555559E-3</v>
      </c>
    </row>
    <row r="4" spans="1:5" s="227" customFormat="1">
      <c r="A4" s="274" t="s">
        <v>5</v>
      </c>
      <c r="B4" s="233" t="s">
        <v>6</v>
      </c>
      <c r="C4" s="232">
        <f t="shared" si="0"/>
        <v>1.75353156090075E-4</v>
      </c>
      <c r="D4" s="245">
        <v>1</v>
      </c>
      <c r="E4" s="244">
        <v>1.75353156090075E-4</v>
      </c>
    </row>
    <row r="5" spans="1:5" s="227" customFormat="1">
      <c r="A5" s="274"/>
      <c r="B5" s="233" t="s">
        <v>7</v>
      </c>
      <c r="C5" s="232">
        <f t="shared" si="0"/>
        <v>6.2957827273940503E-2</v>
      </c>
      <c r="D5" s="245">
        <v>1</v>
      </c>
      <c r="E5" s="244">
        <v>6.2957827273940503E-2</v>
      </c>
    </row>
    <row r="6" spans="1:5" s="227" customFormat="1">
      <c r="A6" s="274"/>
      <c r="B6" s="233" t="s">
        <v>8</v>
      </c>
      <c r="C6" s="232">
        <f t="shared" si="0"/>
        <v>3.7754785557038019E-2</v>
      </c>
      <c r="D6" s="245">
        <v>1</v>
      </c>
      <c r="E6" s="242">
        <v>3.7754785557038019E-2</v>
      </c>
    </row>
    <row r="7" spans="1:5" s="227" customFormat="1">
      <c r="A7" s="274"/>
      <c r="B7" s="233" t="s">
        <v>9</v>
      </c>
      <c r="C7" s="232">
        <f t="shared" si="0"/>
        <v>1.1721972745676115</v>
      </c>
      <c r="D7" s="245">
        <v>1</v>
      </c>
      <c r="E7" s="242">
        <v>1.1721972745676115</v>
      </c>
    </row>
    <row r="8" spans="1:5" s="227" customFormat="1">
      <c r="A8" s="274"/>
      <c r="B8" s="233" t="s">
        <v>10</v>
      </c>
      <c r="C8" s="232">
        <f t="shared" si="0"/>
        <v>3.3732283571206043E-2</v>
      </c>
      <c r="D8" s="245">
        <v>1</v>
      </c>
      <c r="E8" s="242">
        <v>3.3732283571206043E-2</v>
      </c>
    </row>
    <row r="9" spans="1:5" s="227" customFormat="1">
      <c r="A9" s="274"/>
      <c r="B9" s="233" t="s">
        <v>11</v>
      </c>
      <c r="C9" s="232">
        <f t="shared" si="0"/>
        <v>1.3542335655231825</v>
      </c>
      <c r="D9" s="245">
        <v>1</v>
      </c>
      <c r="E9" s="242">
        <v>1.3542335655231825</v>
      </c>
    </row>
    <row r="10" spans="1:5" s="228" customFormat="1" ht="16.5" customHeight="1">
      <c r="A10" s="272" t="s">
        <v>12</v>
      </c>
      <c r="B10" s="235" t="s">
        <v>13</v>
      </c>
      <c r="C10" s="232">
        <f t="shared" si="0"/>
        <v>0.83</v>
      </c>
      <c r="D10" s="245">
        <v>1</v>
      </c>
      <c r="E10" s="236">
        <f>Utilities!D3</f>
        <v>0.83</v>
      </c>
    </row>
    <row r="11" spans="1:5" s="228" customFormat="1">
      <c r="A11" s="272"/>
      <c r="B11" s="235" t="s">
        <v>14</v>
      </c>
      <c r="C11" s="232">
        <f t="shared" si="0"/>
        <v>0.55563640561139738</v>
      </c>
      <c r="D11" s="245">
        <v>1</v>
      </c>
      <c r="E11" s="236">
        <f>Utilities!B4</f>
        <v>0.55563640561139738</v>
      </c>
    </row>
    <row r="12" spans="1:5" s="229" customFormat="1">
      <c r="A12" s="273" t="s">
        <v>15</v>
      </c>
      <c r="B12" s="237" t="s">
        <v>16</v>
      </c>
      <c r="C12" s="232">
        <f t="shared" si="0"/>
        <v>-5.7000000000000002E-2</v>
      </c>
      <c r="D12" s="245">
        <v>1</v>
      </c>
      <c r="E12" s="238">
        <f>AdverseEvent!F5</f>
        <v>-5.7000000000000002E-2</v>
      </c>
    </row>
    <row r="13" spans="1:5" s="229" customFormat="1">
      <c r="A13" s="273"/>
      <c r="B13" s="237" t="s">
        <v>17</v>
      </c>
      <c r="C13" s="232">
        <f t="shared" si="0"/>
        <v>-0.10299999999999999</v>
      </c>
      <c r="D13" s="245">
        <v>1</v>
      </c>
      <c r="E13" s="238">
        <f>AdverseEvent!F6</f>
        <v>-0.10299999999999999</v>
      </c>
    </row>
    <row r="14" spans="1:5" s="229" customFormat="1">
      <c r="A14" s="273"/>
      <c r="B14" s="237" t="s">
        <v>18</v>
      </c>
      <c r="C14" s="232">
        <f t="shared" si="0"/>
        <v>-0.06</v>
      </c>
      <c r="D14" s="245">
        <v>1</v>
      </c>
      <c r="E14" s="238">
        <f>AdverseEvent!F7</f>
        <v>-0.06</v>
      </c>
    </row>
    <row r="15" spans="1:5" s="229" customFormat="1">
      <c r="A15" s="273"/>
      <c r="B15" s="237" t="s">
        <v>19</v>
      </c>
      <c r="C15" s="232">
        <f t="shared" si="0"/>
        <v>-0.124</v>
      </c>
      <c r="D15" s="245">
        <v>1</v>
      </c>
      <c r="E15" s="238">
        <f>AdverseEvent!F2</f>
        <v>-0.124</v>
      </c>
    </row>
    <row r="16" spans="1:5" s="229" customFormat="1">
      <c r="A16" s="273"/>
      <c r="B16" s="237" t="s">
        <v>20</v>
      </c>
      <c r="C16" s="232">
        <f t="shared" si="0"/>
        <v>-3.0000000000000001E-3</v>
      </c>
      <c r="D16" s="245">
        <v>1</v>
      </c>
      <c r="E16" s="238">
        <f>AdverseEvent!F3</f>
        <v>-3.0000000000000001E-3</v>
      </c>
    </row>
    <row r="17" spans="1:5" s="229" customFormat="1">
      <c r="A17" s="273"/>
      <c r="B17" s="237" t="s">
        <v>21</v>
      </c>
      <c r="C17" s="232">
        <f t="shared" si="0"/>
        <v>-0.2303</v>
      </c>
      <c r="D17" s="245">
        <v>1</v>
      </c>
      <c r="E17" s="238">
        <f>AdverseEvent!F4</f>
        <v>-0.2303</v>
      </c>
    </row>
    <row r="18" spans="1:5" s="229" customFormat="1">
      <c r="A18" s="273"/>
      <c r="B18" s="237" t="s">
        <v>22</v>
      </c>
      <c r="C18" s="232">
        <f t="shared" si="0"/>
        <v>0.121</v>
      </c>
      <c r="D18" s="245">
        <v>1</v>
      </c>
      <c r="E18" s="239">
        <f>AdverseEvent!D5</f>
        <v>0.121</v>
      </c>
    </row>
    <row r="19" spans="1:5" s="229" customFormat="1">
      <c r="A19" s="273"/>
      <c r="B19" s="237" t="s">
        <v>23</v>
      </c>
      <c r="C19" s="232">
        <f t="shared" si="0"/>
        <v>9.2999999999999999E-2</v>
      </c>
      <c r="D19" s="245">
        <v>1</v>
      </c>
      <c r="E19" s="239">
        <f>AdverseEvent!D6</f>
        <v>9.2999999999999999E-2</v>
      </c>
    </row>
    <row r="20" spans="1:5" s="229" customFormat="1">
      <c r="A20" s="273"/>
      <c r="B20" s="237" t="s">
        <v>24</v>
      </c>
      <c r="C20" s="232">
        <f t="shared" si="0"/>
        <v>2.3E-2</v>
      </c>
      <c r="D20" s="245">
        <v>1</v>
      </c>
      <c r="E20" s="239">
        <f>AdverseEvent!D7</f>
        <v>2.3E-2</v>
      </c>
    </row>
    <row r="21" spans="1:5" s="229" customFormat="1">
      <c r="A21" s="273"/>
      <c r="B21" s="237" t="s">
        <v>25</v>
      </c>
      <c r="C21" s="232">
        <f t="shared" si="0"/>
        <v>0.69569999999999999</v>
      </c>
      <c r="D21" s="245">
        <v>1</v>
      </c>
      <c r="E21" s="239">
        <f>AdverseEvent!D2</f>
        <v>0.69569999999999999</v>
      </c>
    </row>
    <row r="22" spans="1:5" s="229" customFormat="1">
      <c r="A22" s="273"/>
      <c r="B22" s="237" t="s">
        <v>26</v>
      </c>
      <c r="C22" s="232">
        <f t="shared" si="0"/>
        <v>0.3826</v>
      </c>
      <c r="D22" s="245">
        <v>1</v>
      </c>
      <c r="E22" s="239">
        <f>AdverseEvent!D3</f>
        <v>0.3826</v>
      </c>
    </row>
    <row r="23" spans="1:5" s="229" customFormat="1">
      <c r="A23" s="273"/>
      <c r="B23" s="237" t="s">
        <v>27</v>
      </c>
      <c r="C23" s="232">
        <f t="shared" si="0"/>
        <v>5.2200000000000003E-2</v>
      </c>
      <c r="D23" s="245">
        <v>1</v>
      </c>
      <c r="E23" s="239">
        <f>AdverseEvent!D4</f>
        <v>5.2200000000000003E-2</v>
      </c>
    </row>
    <row r="24" spans="1:5" s="230" customFormat="1">
      <c r="A24" s="271" t="s">
        <v>28</v>
      </c>
      <c r="B24" s="240" t="s">
        <v>274</v>
      </c>
      <c r="C24" s="330">
        <f>SUM(C25:C28)</f>
        <v>6628.0466822468661</v>
      </c>
      <c r="D24" s="245"/>
      <c r="E24" s="328" t="s">
        <v>290</v>
      </c>
    </row>
    <row r="25" spans="1:5" s="230" customFormat="1">
      <c r="A25" s="271"/>
      <c r="B25" s="240" t="s">
        <v>270</v>
      </c>
      <c r="C25" s="330">
        <f>D25*E25</f>
        <v>5999.2677142857137</v>
      </c>
      <c r="D25" s="245">
        <v>1</v>
      </c>
      <c r="E25" s="241">
        <f>CostDeterministic!B14</f>
        <v>5999.2677142857137</v>
      </c>
    </row>
    <row r="26" spans="1:5" s="230" customFormat="1">
      <c r="A26" s="271"/>
      <c r="B26" s="240" t="s">
        <v>271</v>
      </c>
      <c r="C26" s="330">
        <f t="shared" si="0"/>
        <v>143.7046833</v>
      </c>
      <c r="D26" s="245">
        <v>1</v>
      </c>
      <c r="E26" s="241">
        <f>CostDeterministic!C14</f>
        <v>143.7046833</v>
      </c>
    </row>
    <row r="27" spans="1:5" s="230" customFormat="1">
      <c r="A27" s="271"/>
      <c r="B27" s="240" t="s">
        <v>272</v>
      </c>
      <c r="C27" s="330">
        <f t="shared" si="0"/>
        <v>403.7442483866667</v>
      </c>
      <c r="D27" s="245">
        <v>1</v>
      </c>
      <c r="E27" s="241">
        <f>CostDeterministic!D14</f>
        <v>403.7442483866667</v>
      </c>
    </row>
    <row r="28" spans="1:5" s="230" customFormat="1">
      <c r="A28" s="271"/>
      <c r="B28" s="240" t="s">
        <v>273</v>
      </c>
      <c r="C28" s="330">
        <f t="shared" si="0"/>
        <v>81.330036274484996</v>
      </c>
      <c r="D28" s="245">
        <v>1</v>
      </c>
      <c r="E28" s="241">
        <f>CostDeterministic!E14</f>
        <v>81.330036274484996</v>
      </c>
    </row>
    <row r="29" spans="1:5" s="230" customFormat="1">
      <c r="A29" s="271"/>
      <c r="B29" s="240" t="s">
        <v>275</v>
      </c>
      <c r="C29" s="330">
        <f>SUM(C30:C33)</f>
        <v>5345.0816915363321</v>
      </c>
      <c r="D29" s="245"/>
      <c r="E29" s="328" t="s">
        <v>290</v>
      </c>
    </row>
    <row r="30" spans="1:5" s="230" customFormat="1">
      <c r="A30" s="271"/>
      <c r="B30" s="240" t="s">
        <v>276</v>
      </c>
      <c r="C30" s="330">
        <f>D30*E30</f>
        <v>4954.4477142857131</v>
      </c>
      <c r="D30" s="245">
        <v>1</v>
      </c>
      <c r="E30" s="241">
        <f>CostDeterministic!B15</f>
        <v>4954.4477142857131</v>
      </c>
    </row>
    <row r="31" spans="1:5" s="230" customFormat="1">
      <c r="A31" s="271"/>
      <c r="B31" s="240" t="s">
        <v>277</v>
      </c>
      <c r="C31" s="330">
        <f t="shared" ref="C31:C33" si="1">D31*E31</f>
        <v>134.27245830000001</v>
      </c>
      <c r="D31" s="245">
        <v>1</v>
      </c>
      <c r="E31" s="241">
        <f>CostDeterministic!C15</f>
        <v>134.27245830000001</v>
      </c>
    </row>
    <row r="32" spans="1:5" s="230" customFormat="1">
      <c r="A32" s="271"/>
      <c r="B32" s="240" t="s">
        <v>278</v>
      </c>
      <c r="C32" s="330">
        <f t="shared" si="1"/>
        <v>256.36151895061937</v>
      </c>
      <c r="D32" s="245">
        <v>1</v>
      </c>
      <c r="E32" s="241">
        <f>CostDeterministic!D15</f>
        <v>256.36151895061937</v>
      </c>
    </row>
    <row r="33" spans="1:5" s="230" customFormat="1">
      <c r="A33" s="271"/>
      <c r="B33" s="240" t="s">
        <v>279</v>
      </c>
      <c r="C33" s="330">
        <f t="shared" si="1"/>
        <v>0</v>
      </c>
      <c r="D33" s="245">
        <v>1</v>
      </c>
      <c r="E33" s="241">
        <f>CostDeterministic!E15</f>
        <v>0</v>
      </c>
    </row>
    <row r="34" spans="1:5" s="230" customFormat="1" ht="15" customHeight="1">
      <c r="A34" s="271"/>
      <c r="B34" s="240" t="s">
        <v>280</v>
      </c>
      <c r="C34" s="330">
        <f>SUM(C35:C38)</f>
        <v>5287.7039545278094</v>
      </c>
      <c r="D34" s="245"/>
      <c r="E34" s="328" t="s">
        <v>290</v>
      </c>
    </row>
    <row r="35" spans="1:5" s="230" customFormat="1">
      <c r="A35" s="271"/>
      <c r="B35" s="240" t="s">
        <v>281</v>
      </c>
      <c r="C35" s="330">
        <f>D35*E35</f>
        <v>4770.0871428571427</v>
      </c>
      <c r="D35" s="245">
        <v>1</v>
      </c>
      <c r="E35" s="241">
        <f>CostDeterministic!B6</f>
        <v>4770.0871428571427</v>
      </c>
    </row>
    <row r="36" spans="1:5" s="230" customFormat="1">
      <c r="A36" s="271"/>
      <c r="B36" s="240" t="s">
        <v>282</v>
      </c>
      <c r="C36" s="330">
        <f t="shared" ref="C36:C38" si="2">D36*E36</f>
        <v>143.7046833</v>
      </c>
      <c r="D36" s="245">
        <v>1</v>
      </c>
      <c r="E36" s="241">
        <f>CostDeterministic!C6</f>
        <v>143.7046833</v>
      </c>
    </row>
    <row r="37" spans="1:5" s="230" customFormat="1">
      <c r="A37" s="271"/>
      <c r="B37" s="240" t="s">
        <v>283</v>
      </c>
      <c r="C37" s="330">
        <f t="shared" si="2"/>
        <v>334.35425866666668</v>
      </c>
      <c r="D37" s="245">
        <v>1</v>
      </c>
      <c r="E37" s="241">
        <f>CostDeterministic!D6</f>
        <v>334.35425866666668</v>
      </c>
    </row>
    <row r="38" spans="1:5" s="230" customFormat="1">
      <c r="A38" s="271"/>
      <c r="B38" s="240" t="s">
        <v>284</v>
      </c>
      <c r="C38" s="330">
        <f t="shared" si="2"/>
        <v>39.557869704000005</v>
      </c>
      <c r="D38" s="245">
        <v>1</v>
      </c>
      <c r="E38" s="241">
        <f>CostDeterministic!E6</f>
        <v>39.557869704000005</v>
      </c>
    </row>
    <row r="39" spans="1:5" s="230" customFormat="1">
      <c r="A39" s="271"/>
      <c r="B39" s="240" t="s">
        <v>285</v>
      </c>
      <c r="C39" s="330">
        <f>SUM(C40:C43)</f>
        <v>4092.349753187762</v>
      </c>
      <c r="D39" s="245"/>
      <c r="E39" s="328" t="s">
        <v>290</v>
      </c>
    </row>
    <row r="40" spans="1:5" s="230" customFormat="1">
      <c r="A40" s="271"/>
      <c r="B40" s="240" t="s">
        <v>286</v>
      </c>
      <c r="C40" s="330">
        <f>D40*E40</f>
        <v>3725.2671428571425</v>
      </c>
      <c r="D40" s="245">
        <v>1</v>
      </c>
      <c r="E40" s="241">
        <f>CostDeterministic!B7</f>
        <v>3725.2671428571425</v>
      </c>
    </row>
    <row r="41" spans="1:5" s="230" customFormat="1">
      <c r="A41" s="271"/>
      <c r="B41" s="240" t="s">
        <v>287</v>
      </c>
      <c r="C41" s="330">
        <f t="shared" ref="C41:C43" si="3">D41*E41</f>
        <v>134.27245830000001</v>
      </c>
      <c r="D41" s="245">
        <v>1</v>
      </c>
      <c r="E41" s="241">
        <f>CostDeterministic!C7</f>
        <v>134.27245830000001</v>
      </c>
    </row>
    <row r="42" spans="1:5" s="230" customFormat="1">
      <c r="A42" s="271"/>
      <c r="B42" s="240" t="s">
        <v>288</v>
      </c>
      <c r="C42" s="330">
        <f t="shared" si="3"/>
        <v>232.81015203061935</v>
      </c>
      <c r="D42" s="245">
        <v>1</v>
      </c>
      <c r="E42" s="241">
        <f>CostDeterministic!D7</f>
        <v>232.81015203061935</v>
      </c>
    </row>
    <row r="43" spans="1:5" s="230" customFormat="1">
      <c r="A43" s="271"/>
      <c r="B43" s="240" t="s">
        <v>289</v>
      </c>
      <c r="C43" s="330">
        <f t="shared" si="3"/>
        <v>0</v>
      </c>
      <c r="D43" s="245">
        <v>1</v>
      </c>
      <c r="E43" s="241">
        <f>CostDeterministic!E7</f>
        <v>0</v>
      </c>
    </row>
    <row r="44" spans="1:5" s="230" customFormat="1" ht="15" customHeight="1">
      <c r="A44" s="271"/>
      <c r="B44" s="240" t="s">
        <v>33</v>
      </c>
      <c r="C44" s="330">
        <f>D44*E44</f>
        <v>1500</v>
      </c>
      <c r="D44" s="245">
        <v>1</v>
      </c>
      <c r="E44" s="241">
        <v>1500</v>
      </c>
    </row>
    <row r="45" spans="1:5" s="1" customFormat="1">
      <c r="B45" s="225"/>
    </row>
    <row r="47" spans="1:5">
      <c r="B47"/>
    </row>
  </sheetData>
  <mergeCells count="5">
    <mergeCell ref="A2:A3"/>
    <mergeCell ref="A24:A44"/>
    <mergeCell ref="A10:A11"/>
    <mergeCell ref="A12:A23"/>
    <mergeCell ref="A4:A9"/>
  </mergeCells>
  <phoneticPr fontId="6" type="noConversion"/>
  <conditionalFormatting sqref="D2:D44">
    <cfRule type="colorScale" priority="4">
      <colorScale>
        <cfvo type="num" val="0"/>
        <cfvo type="num" val="1"/>
        <color theme="0"/>
        <color rgb="FFFF0000"/>
      </colorScale>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AN487"/>
  <sheetViews>
    <sheetView topLeftCell="AD22" zoomScale="55" zoomScaleNormal="115" workbookViewId="0">
      <selection activeCell="L68" sqref="L68"/>
    </sheetView>
  </sheetViews>
  <sheetFormatPr defaultColWidth="9.08203125" defaultRowHeight="14"/>
  <cols>
    <col min="1" max="2" width="3" style="1" customWidth="1"/>
    <col min="3" max="3" width="3.58203125" style="1" customWidth="1"/>
    <col min="4" max="11" width="9.08203125" style="1"/>
    <col min="12" max="12" width="2.83203125" style="1" customWidth="1"/>
    <col min="13" max="13" width="3" style="1" customWidth="1"/>
    <col min="14" max="14" width="26.33203125" style="1" customWidth="1"/>
    <col min="15" max="15" width="10.25" style="1" bestFit="1" customWidth="1"/>
    <col min="16" max="16" width="9.08203125" style="1"/>
    <col min="17" max="17" width="35.58203125" style="1" customWidth="1"/>
    <col min="18" max="18" width="9.08203125" style="1"/>
    <col min="19" max="19" width="2.08203125" style="1" customWidth="1"/>
    <col min="20" max="20" width="9.08203125" style="1"/>
    <col min="21" max="21" width="10.08203125" style="1" customWidth="1"/>
    <col min="22" max="23" width="15.08203125" style="1" customWidth="1"/>
    <col min="24" max="24" width="12.08203125" style="1" customWidth="1"/>
    <col min="25" max="25" width="11.08203125" style="1" customWidth="1"/>
    <col min="26" max="26" width="16" style="1" customWidth="1"/>
    <col min="27" max="28" width="10.08203125" style="1" customWidth="1"/>
    <col min="29" max="32" width="11.08203125" style="1" customWidth="1"/>
    <col min="33" max="33" width="17.58203125" style="1" customWidth="1"/>
    <col min="34" max="34" width="2.83203125" style="1" customWidth="1"/>
    <col min="35" max="35" width="9.08203125" style="1"/>
    <col min="36" max="36" width="2.83203125" style="1" customWidth="1"/>
    <col min="37" max="37" width="16.08203125" style="1" customWidth="1"/>
    <col min="38" max="38" width="2.83203125" style="1" customWidth="1"/>
    <col min="39" max="39" width="11.58203125" style="1" customWidth="1"/>
    <col min="40" max="40" width="2" style="1" customWidth="1"/>
    <col min="41" max="16384" width="9.08203125" style="1"/>
  </cols>
  <sheetData>
    <row r="1" spans="3:40" s="10" customFormat="1" ht="5.25" customHeight="1"/>
    <row r="2" spans="3:40" s="10" customFormat="1" ht="25">
      <c r="C2" s="15" t="s">
        <v>34</v>
      </c>
    </row>
    <row r="3" spans="3:40" s="10" customFormat="1" ht="9" customHeight="1"/>
    <row r="4" spans="3:40">
      <c r="S4" s="10"/>
      <c r="T4" s="10"/>
      <c r="U4" s="10"/>
      <c r="V4" s="10"/>
      <c r="W4" s="275" t="s">
        <v>35</v>
      </c>
      <c r="X4" s="275"/>
      <c r="Y4" s="275"/>
      <c r="Z4" s="275"/>
      <c r="AA4" s="10"/>
      <c r="AB4" s="10"/>
      <c r="AC4" s="10"/>
      <c r="AD4" s="10"/>
      <c r="AE4" s="10"/>
      <c r="AF4" s="10"/>
      <c r="AG4" s="10"/>
      <c r="AH4" s="10"/>
      <c r="AI4" s="10"/>
      <c r="AJ4" s="10"/>
      <c r="AK4" s="10"/>
      <c r="AL4" s="10"/>
      <c r="AM4" s="10"/>
      <c r="AN4" s="10"/>
    </row>
    <row r="5" spans="3:40" ht="56">
      <c r="S5" s="10"/>
      <c r="T5" s="14" t="s">
        <v>36</v>
      </c>
      <c r="U5" s="14" t="s">
        <v>37</v>
      </c>
      <c r="V5" s="14" t="s">
        <v>38</v>
      </c>
      <c r="W5" s="26" t="s">
        <v>39</v>
      </c>
      <c r="X5" s="26" t="s">
        <v>40</v>
      </c>
      <c r="Y5" s="26" t="s">
        <v>41</v>
      </c>
      <c r="Z5" s="26" t="s">
        <v>42</v>
      </c>
      <c r="AA5" s="14" t="s">
        <v>43</v>
      </c>
      <c r="AB5" s="14" t="s">
        <v>44</v>
      </c>
      <c r="AC5" s="14" t="s">
        <v>45</v>
      </c>
      <c r="AD5" s="14" t="s">
        <v>28</v>
      </c>
      <c r="AE5" s="14" t="s">
        <v>46</v>
      </c>
      <c r="AF5" s="14" t="s">
        <v>47</v>
      </c>
      <c r="AG5" s="14" t="s">
        <v>48</v>
      </c>
      <c r="AH5" s="10"/>
      <c r="AI5" s="16" t="s">
        <v>49</v>
      </c>
      <c r="AJ5" s="10"/>
      <c r="AK5" s="11" t="s">
        <v>50</v>
      </c>
      <c r="AL5" s="11"/>
      <c r="AM5" s="11" t="s">
        <v>51</v>
      </c>
      <c r="AN5" s="10"/>
    </row>
    <row r="6" spans="3:40">
      <c r="S6" s="10"/>
      <c r="T6" s="12">
        <v>0</v>
      </c>
      <c r="U6" s="13">
        <v>0</v>
      </c>
      <c r="V6" s="13">
        <f>SUM(W6:Z6)</f>
        <v>659.99999999999989</v>
      </c>
      <c r="W6" s="13">
        <f>MAX(cohortSize-SUM(X6:Z6),0)</f>
        <v>503.58</v>
      </c>
      <c r="X6" s="13">
        <f>cohortSize*fAE1_CAPI</f>
        <v>79.86</v>
      </c>
      <c r="Y6" s="13">
        <f>cohortSize*fAE2_CAPI</f>
        <v>61.38</v>
      </c>
      <c r="Z6" s="13">
        <f>cohortSize*fAE3_CAPI</f>
        <v>15.18</v>
      </c>
      <c r="AA6" s="13">
        <v>0</v>
      </c>
      <c r="AB6" s="13">
        <v>0</v>
      </c>
      <c r="AC6" s="13">
        <f>V6+AA6+AB6</f>
        <v>659.99999999999989</v>
      </c>
      <c r="AD6" s="13">
        <f>(V6*cPFS_CAPI_1st+AA6*cP)/AC6/(1+rdis_Month)^T6</f>
        <v>6628.0466822468661</v>
      </c>
      <c r="AE6" s="13">
        <f t="shared" ref="AE6:AE69" si="0">(V6+AA6)/AC6/12/(1+rdis_Month)^T6</f>
        <v>8.3333333333333329E-2</v>
      </c>
      <c r="AF6" s="13">
        <f>(V6*uS+AA6*uP)/AC6/12</f>
        <v>6.9166666666666654E-2</v>
      </c>
      <c r="AG6" s="13">
        <f>(W6*uS/12+X6*(uS+duAE1_CAPI)/12+Y6*(uS+duAE2_CAPI)/12+Z6*(uS+duAE3_CAPI)/12+AA6*uP/12)/AC6/(1+rdis_Month)^T6</f>
        <v>6.7678666666666665E-2</v>
      </c>
      <c r="AH6" s="10"/>
      <c r="AI6" s="13">
        <f t="shared" ref="AI6:AI69" si="1">EXP(-lambda_capi*(T6^gamma_capi))</f>
        <v>1</v>
      </c>
      <c r="AJ6" s="10"/>
      <c r="AK6" s="18">
        <v>0.18788916147266599</v>
      </c>
      <c r="AL6" s="10"/>
      <c r="AM6" s="18">
        <v>1.00371987951807</v>
      </c>
      <c r="AN6" s="10"/>
    </row>
    <row r="7" spans="3:40">
      <c r="S7" s="10"/>
      <c r="T7" s="12">
        <v>1</v>
      </c>
      <c r="U7" s="13">
        <f t="shared" ref="U7:U70" si="2">gamma_capi*lambda_capi*T7^(gamma_capi-1)</f>
        <v>4.4256056731844587E-2</v>
      </c>
      <c r="V7" s="13">
        <f t="shared" ref="V7:V70" si="3">SUM(W7:Z7)</f>
        <v>630.675269473963</v>
      </c>
      <c r="W7" s="13">
        <f>(1-($Q$13+U7))*V6</f>
        <v>630.675269473963</v>
      </c>
      <c r="X7" s="13">
        <v>0</v>
      </c>
      <c r="Y7" s="13">
        <v>0</v>
      </c>
      <c r="Z7" s="13">
        <v>0</v>
      </c>
      <c r="AA7" s="13">
        <f>(1-$Q$17)*AA6+(U7*W6)</f>
        <v>22.286465049022297</v>
      </c>
      <c r="AB7" s="13">
        <f>(AB6*1)+(AA6*$Q$17)+(W6*$Q$13)</f>
        <v>8.8304342343839964E-2</v>
      </c>
      <c r="AC7" s="13">
        <f t="shared" ref="AC7:AC70" si="4">V7+AA7+AB7</f>
        <v>653.05003886532916</v>
      </c>
      <c r="AD7" s="13">
        <f t="shared" ref="AD7:AD70" si="5">(V7*cPFS_CAPI_after+AA7*cP)/AC7/(1+rdis_Month)^T6</f>
        <v>5213.1388578718288</v>
      </c>
      <c r="AE7" s="13">
        <f t="shared" si="0"/>
        <v>8.3076527844905726E-2</v>
      </c>
      <c r="AF7" s="13">
        <f t="shared" ref="AF7:AF70" si="6">(SUM(W7:Z7)*uS+AA7*uP)/AC7/12</f>
        <v>6.8377052944778596E-2</v>
      </c>
      <c r="AG7" s="13">
        <f t="shared" ref="AG7:AG70" si="7">(W7*uS/12+X7*(uS+duAE1_CAPI)/12+Y7*(uS+duAE2_CAPI)/12+Z7*(uS+duAE3_CAPI)/12+AA7*uP/12)/AC7/(1+rdis_Month)^T6</f>
        <v>6.8377052944778596E-2</v>
      </c>
      <c r="AH7" s="10"/>
      <c r="AI7" s="13">
        <f t="shared" si="1"/>
        <v>0.96294904095512224</v>
      </c>
      <c r="AJ7" s="10"/>
      <c r="AK7" s="18">
        <v>0.50942427548009395</v>
      </c>
      <c r="AL7" s="10"/>
      <c r="AM7" s="18">
        <v>1.0027304423172101</v>
      </c>
      <c r="AN7" s="10"/>
    </row>
    <row r="8" spans="3:40">
      <c r="N8" s="1" t="s">
        <v>52</v>
      </c>
      <c r="S8" s="10"/>
      <c r="T8" s="12">
        <v>2</v>
      </c>
      <c r="U8" s="13">
        <f t="shared" si="2"/>
        <v>4.9866542791920446E-2</v>
      </c>
      <c r="V8" s="13">
        <f t="shared" si="3"/>
        <v>599.11508326196338</v>
      </c>
      <c r="W8" s="13">
        <f t="shared" ref="W8:W71" si="8">(1-($Q$13+U8))*V7</f>
        <v>599.11508326196338</v>
      </c>
      <c r="X8" s="13">
        <v>0</v>
      </c>
      <c r="Y8" s="13">
        <v>0</v>
      </c>
      <c r="Z8" s="13">
        <v>0</v>
      </c>
      <c r="AA8" s="13">
        <f t="shared" ref="AA8:AA12" si="9">(1-$Q$17)*AA7+(U8*W7)</f>
        <v>52.332952944948573</v>
      </c>
      <c r="AB8" s="13">
        <f t="shared" ref="AB8:AB12" si="10">(AB7*1)+(AA7*$Q$17)+(W7*$Q$13)</f>
        <v>1.6020026584171156</v>
      </c>
      <c r="AC8" s="13">
        <f t="shared" si="4"/>
        <v>653.05003886532904</v>
      </c>
      <c r="AD8" s="13">
        <f t="shared" si="5"/>
        <v>5009.0348833840435</v>
      </c>
      <c r="AE8" s="13">
        <f t="shared" si="0"/>
        <v>8.2639693325047364E-2</v>
      </c>
      <c r="AF8" s="13">
        <f t="shared" si="6"/>
        <v>6.7164788511881665E-2</v>
      </c>
      <c r="AG8" s="13">
        <f t="shared" si="7"/>
        <v>6.6966864224285452E-2</v>
      </c>
      <c r="AH8" s="10"/>
      <c r="AI8" s="13">
        <f t="shared" si="1"/>
        <v>0.91843681507504915</v>
      </c>
      <c r="AJ8" s="10"/>
      <c r="AK8" s="18">
        <v>0.84310012917504396</v>
      </c>
      <c r="AL8" s="10"/>
      <c r="AM8" s="18">
        <v>1.0013062524068801</v>
      </c>
      <c r="AN8" s="10"/>
    </row>
    <row r="9" spans="3:40">
      <c r="N9" s="5" t="s">
        <v>53</v>
      </c>
      <c r="O9" s="5"/>
      <c r="P9" s="5"/>
      <c r="Q9" s="6" t="s">
        <v>54</v>
      </c>
      <c r="S9" s="10"/>
      <c r="T9" s="12">
        <v>3</v>
      </c>
      <c r="U9" s="13">
        <f t="shared" si="2"/>
        <v>5.3472648452750321E-2</v>
      </c>
      <c r="V9" s="13">
        <f t="shared" si="3"/>
        <v>566.97375631124498</v>
      </c>
      <c r="W9" s="13">
        <f t="shared" si="8"/>
        <v>566.97375631124498</v>
      </c>
      <c r="X9" s="13">
        <v>0</v>
      </c>
      <c r="Y9" s="13">
        <v>0</v>
      </c>
      <c r="Z9" s="13">
        <v>0</v>
      </c>
      <c r="AA9" s="13">
        <f t="shared" si="9"/>
        <v>81.074454162712442</v>
      </c>
      <c r="AB9" s="13">
        <f t="shared" si="10"/>
        <v>5.0018283913715971</v>
      </c>
      <c r="AC9" s="13">
        <f t="shared" si="4"/>
        <v>653.05003886532904</v>
      </c>
      <c r="AD9" s="13">
        <f t="shared" si="5"/>
        <v>4798.3802352771136</v>
      </c>
      <c r="AE9" s="13">
        <f t="shared" si="0"/>
        <v>8.1966151598201822E-2</v>
      </c>
      <c r="AF9" s="13">
        <f t="shared" si="6"/>
        <v>6.5798446437086197E-2</v>
      </c>
      <c r="AG9" s="13">
        <f t="shared" si="7"/>
        <v>6.5411222048431097E-2</v>
      </c>
      <c r="AH9" s="10"/>
      <c r="AI9" s="13">
        <f t="shared" si="1"/>
        <v>0.87209898675054554</v>
      </c>
      <c r="AJ9" s="10"/>
      <c r="AK9" s="18">
        <v>1.17676214032822</v>
      </c>
      <c r="AL9" s="10"/>
      <c r="AM9" s="18">
        <v>1.0006316361335701</v>
      </c>
      <c r="AN9" s="10"/>
    </row>
    <row r="10" spans="3:40">
      <c r="N10" s="3" t="s">
        <v>55</v>
      </c>
      <c r="Q10" s="7"/>
      <c r="S10" s="10"/>
      <c r="T10" s="12">
        <v>4</v>
      </c>
      <c r="U10" s="13">
        <f t="shared" si="2"/>
        <v>5.6188288646808887E-2</v>
      </c>
      <c r="V10" s="13">
        <f t="shared" si="3"/>
        <v>535.01705059887388</v>
      </c>
      <c r="W10" s="13">
        <f t="shared" si="8"/>
        <v>535.01705059887388</v>
      </c>
      <c r="X10" s="13">
        <v>0</v>
      </c>
      <c r="Y10" s="13">
        <v>0</v>
      </c>
      <c r="Z10" s="13">
        <v>0</v>
      </c>
      <c r="AA10" s="13">
        <f t="shared" si="9"/>
        <v>107.8274677559891</v>
      </c>
      <c r="AB10" s="13">
        <f t="shared" si="10"/>
        <v>10.205520510466076</v>
      </c>
      <c r="AC10" s="13">
        <f t="shared" si="4"/>
        <v>653.05003886532904</v>
      </c>
      <c r="AD10" s="13">
        <f t="shared" si="5"/>
        <v>4585.8942641225576</v>
      </c>
      <c r="AE10" s="13">
        <f t="shared" si="0"/>
        <v>8.1068378381167872E-2</v>
      </c>
      <c r="AF10" s="13">
        <f t="shared" si="6"/>
        <v>6.4310668990852957E-2</v>
      </c>
      <c r="AG10" s="13">
        <f t="shared" si="7"/>
        <v>6.37438018368328E-2</v>
      </c>
      <c r="AH10" s="10"/>
      <c r="AI10" s="13">
        <f t="shared" si="1"/>
        <v>0.82552425856309219</v>
      </c>
      <c r="AJ10" s="10"/>
      <c r="AK10" s="18">
        <v>1.5105992596348199</v>
      </c>
      <c r="AL10" s="10"/>
      <c r="AM10" s="18">
        <v>0.99047491335203797</v>
      </c>
      <c r="AN10" s="10"/>
    </row>
    <row r="11" spans="3:40">
      <c r="N11" s="2" t="s">
        <v>56</v>
      </c>
      <c r="O11" s="2" t="s">
        <v>57</v>
      </c>
      <c r="P11" s="2" t="s">
        <v>56</v>
      </c>
      <c r="Q11" s="8" t="s">
        <v>58</v>
      </c>
      <c r="S11" s="10"/>
      <c r="T11" s="12">
        <v>5</v>
      </c>
      <c r="U11" s="13">
        <f t="shared" si="2"/>
        <v>5.8389323683920309E-2</v>
      </c>
      <c r="V11" s="13">
        <f t="shared" si="3"/>
        <v>503.68394992665532</v>
      </c>
      <c r="W11" s="13">
        <f t="shared" si="8"/>
        <v>503.68394992665532</v>
      </c>
      <c r="X11" s="13">
        <v>0</v>
      </c>
      <c r="Y11" s="13">
        <v>0</v>
      </c>
      <c r="Z11" s="13">
        <v>0</v>
      </c>
      <c r="AA11" s="13">
        <f t="shared" si="9"/>
        <v>132.27816840945516</v>
      </c>
      <c r="AB11" s="13">
        <f t="shared" si="10"/>
        <v>17.087920529218543</v>
      </c>
      <c r="AC11" s="13">
        <f t="shared" si="4"/>
        <v>653.05003886532904</v>
      </c>
      <c r="AD11" s="13">
        <f t="shared" si="5"/>
        <v>4374.4369768268662</v>
      </c>
      <c r="AE11" s="13">
        <f t="shared" si="0"/>
        <v>7.9964108513193743E-2</v>
      </c>
      <c r="AF11" s="13">
        <f t="shared" si="6"/>
        <v>6.2725699311021788E-2</v>
      </c>
      <c r="AG11" s="13">
        <f t="shared" si="7"/>
        <v>6.1989589216234674E-2</v>
      </c>
      <c r="AH11" s="10"/>
      <c r="AI11" s="13">
        <f t="shared" si="1"/>
        <v>0.77953375513688528</v>
      </c>
      <c r="AJ11" s="10"/>
      <c r="AK11" s="18">
        <v>1.72039156258218</v>
      </c>
      <c r="AL11" s="10"/>
      <c r="AM11" s="18">
        <v>0.94498578790045995</v>
      </c>
      <c r="AN11" s="10"/>
    </row>
    <row r="12" spans="3:40">
      <c r="N12" s="2" t="s">
        <v>56</v>
      </c>
      <c r="O12" s="2" t="s">
        <v>57</v>
      </c>
      <c r="P12" s="2" t="s">
        <v>43</v>
      </c>
      <c r="Q12" s="8" t="s">
        <v>59</v>
      </c>
      <c r="S12" s="10"/>
      <c r="T12" s="12">
        <v>6</v>
      </c>
      <c r="U12" s="13">
        <f t="shared" si="2"/>
        <v>6.0251552198226158E-2</v>
      </c>
      <c r="V12" s="13">
        <f t="shared" si="3"/>
        <v>473.24788755594915</v>
      </c>
      <c r="W12" s="13">
        <f t="shared" si="8"/>
        <v>473.24788755594915</v>
      </c>
      <c r="X12" s="13">
        <v>0</v>
      </c>
      <c r="Y12" s="13">
        <v>0</v>
      </c>
      <c r="Z12" s="13">
        <v>0</v>
      </c>
      <c r="AA12" s="13">
        <f t="shared" si="9"/>
        <v>154.29796213103407</v>
      </c>
      <c r="AB12" s="13">
        <f t="shared" si="10"/>
        <v>25.50418917834579</v>
      </c>
      <c r="AC12" s="13">
        <f t="shared" si="4"/>
        <v>653.05003886532904</v>
      </c>
      <c r="AD12" s="13">
        <f t="shared" si="5"/>
        <v>4165.9188634236079</v>
      </c>
      <c r="AE12" s="13">
        <f t="shared" si="0"/>
        <v>7.8673346846727985E-2</v>
      </c>
      <c r="AF12" s="13">
        <f t="shared" si="6"/>
        <v>6.1063379943356665E-2</v>
      </c>
      <c r="AG12" s="13">
        <f t="shared" si="7"/>
        <v>6.0168945142649012E-2</v>
      </c>
      <c r="AH12" s="10"/>
      <c r="AI12" s="13">
        <f t="shared" si="1"/>
        <v>0.73461910833825039</v>
      </c>
      <c r="AJ12" s="10"/>
      <c r="AK12" s="18">
        <v>1.8459283742355399</v>
      </c>
      <c r="AL12" s="10"/>
      <c r="AM12" s="18">
        <v>0.899526645394362</v>
      </c>
      <c r="AN12" s="10"/>
    </row>
    <row r="13" spans="3:40">
      <c r="N13" s="2" t="s">
        <v>56</v>
      </c>
      <c r="O13" s="2" t="s">
        <v>57</v>
      </c>
      <c r="P13" s="2" t="s">
        <v>44</v>
      </c>
      <c r="Q13" s="19">
        <f>tpPFS2D</f>
        <v>1.75353156090075E-4</v>
      </c>
      <c r="S13" s="10"/>
      <c r="T13" s="12">
        <v>7</v>
      </c>
      <c r="U13" s="13">
        <f t="shared" si="2"/>
        <v>6.1872304827954416E-2</v>
      </c>
      <c r="V13" s="13">
        <f t="shared" si="3"/>
        <v>443.88396448720607</v>
      </c>
      <c r="W13" s="13">
        <f t="shared" si="8"/>
        <v>443.88396448720607</v>
      </c>
      <c r="X13" s="13">
        <v>0</v>
      </c>
      <c r="Y13" s="13">
        <v>0</v>
      </c>
      <c r="Z13" s="13">
        <v>0</v>
      </c>
      <c r="AA13" s="13">
        <f t="shared" ref="AA13:AA76" si="11">(1-$Q$17)*AA12+(U13*W12)</f>
        <v>173.86463524051459</v>
      </c>
      <c r="AB13" s="13">
        <f t="shared" ref="AB13:AB76" si="12">(AB12*1)+(AA12*$Q$17)+(W12*$Q$13)</f>
        <v>35.301439137608348</v>
      </c>
      <c r="AC13" s="13">
        <f t="shared" si="4"/>
        <v>653.05003886532893</v>
      </c>
      <c r="AD13" s="13">
        <f t="shared" si="5"/>
        <v>3961.6772161958288</v>
      </c>
      <c r="AE13" s="13">
        <f t="shared" si="0"/>
        <v>7.7216879258514795E-2</v>
      </c>
      <c r="AF13" s="13">
        <f t="shared" si="6"/>
        <v>5.9340681397138557E-2</v>
      </c>
      <c r="AG13" s="13">
        <f t="shared" si="7"/>
        <v>5.8299173629179017E-2</v>
      </c>
      <c r="AH13" s="10"/>
      <c r="AI13" s="13">
        <f t="shared" si="1"/>
        <v>0.69109202302096606</v>
      </c>
      <c r="AJ13" s="10"/>
      <c r="AK13" s="18">
        <v>1.8690838897273101</v>
      </c>
      <c r="AL13" s="10"/>
      <c r="AM13" s="18">
        <v>0.87750479658359404</v>
      </c>
      <c r="AN13" s="10"/>
    </row>
    <row r="14" spans="3:40">
      <c r="N14" s="2"/>
      <c r="O14" s="2"/>
      <c r="P14" s="2"/>
      <c r="Q14" s="8"/>
      <c r="S14" s="10"/>
      <c r="T14" s="12">
        <v>8</v>
      </c>
      <c r="U14" s="13">
        <f t="shared" si="2"/>
        <v>6.3311463043085492E-2</v>
      </c>
      <c r="V14" s="13">
        <f t="shared" si="3"/>
        <v>415.70318482004546</v>
      </c>
      <c r="W14" s="13">
        <f t="shared" si="8"/>
        <v>415.70318482004546</v>
      </c>
      <c r="X14" s="13">
        <v>0</v>
      </c>
      <c r="Y14" s="13">
        <v>0</v>
      </c>
      <c r="Z14" s="13">
        <v>0</v>
      </c>
      <c r="AA14" s="13">
        <f t="shared" si="11"/>
        <v>191.02143877904564</v>
      </c>
      <c r="AB14" s="13">
        <f t="shared" si="12"/>
        <v>46.32541526623794</v>
      </c>
      <c r="AC14" s="13">
        <f t="shared" si="4"/>
        <v>653.05003886532904</v>
      </c>
      <c r="AD14" s="13">
        <f t="shared" si="5"/>
        <v>3762.6668313241107</v>
      </c>
      <c r="AE14" s="13">
        <f t="shared" si="0"/>
        <v>7.5615426907944788E-2</v>
      </c>
      <c r="AF14" s="13">
        <f t="shared" si="6"/>
        <v>5.7572427096915547E-2</v>
      </c>
      <c r="AG14" s="13">
        <f t="shared" si="7"/>
        <v>5.6395275171475925E-2</v>
      </c>
      <c r="AH14" s="10"/>
      <c r="AI14" s="13">
        <f t="shared" si="1"/>
        <v>0.6491526207156626</v>
      </c>
      <c r="AJ14" s="10"/>
      <c r="AK14" s="18">
        <v>2.21048094019153</v>
      </c>
      <c r="AL14" s="10"/>
      <c r="AM14" s="18">
        <v>0.86859423997359297</v>
      </c>
      <c r="AN14" s="10"/>
    </row>
    <row r="15" spans="3:40">
      <c r="N15" s="4" t="s">
        <v>60</v>
      </c>
      <c r="O15" s="2"/>
      <c r="P15" s="2"/>
      <c r="Q15" s="8"/>
      <c r="S15" s="10"/>
      <c r="T15" s="12">
        <v>9</v>
      </c>
      <c r="U15" s="13">
        <f t="shared" si="2"/>
        <v>6.4608651192684885E-2</v>
      </c>
      <c r="V15" s="13">
        <f t="shared" si="3"/>
        <v>388.77226788686403</v>
      </c>
      <c r="W15" s="13">
        <f t="shared" si="8"/>
        <v>388.77226788686403</v>
      </c>
      <c r="X15" s="13">
        <v>0</v>
      </c>
      <c r="Y15" s="13">
        <v>0</v>
      </c>
      <c r="Z15" s="13">
        <v>0</v>
      </c>
      <c r="AA15" s="13">
        <f t="shared" si="11"/>
        <v>205.85316609850145</v>
      </c>
      <c r="AB15" s="13">
        <f t="shared" si="12"/>
        <v>58.424604879963589</v>
      </c>
      <c r="AC15" s="13">
        <f t="shared" si="4"/>
        <v>653.05003886532904</v>
      </c>
      <c r="AD15" s="13">
        <f t="shared" si="5"/>
        <v>3569.5702368750067</v>
      </c>
      <c r="AE15" s="13">
        <f t="shared" si="0"/>
        <v>7.3889134683926813E-2</v>
      </c>
      <c r="AF15" s="13">
        <f t="shared" si="6"/>
        <v>5.5771695586066768E-2</v>
      </c>
      <c r="AG15" s="13">
        <f t="shared" si="7"/>
        <v>5.4470372022208023E-2</v>
      </c>
      <c r="AH15" s="10"/>
      <c r="AI15" s="13">
        <f t="shared" si="1"/>
        <v>0.60892630927968183</v>
      </c>
      <c r="AJ15" s="10"/>
      <c r="AK15" s="18">
        <v>2.5441574860135701</v>
      </c>
      <c r="AL15" s="10"/>
      <c r="AM15" s="18">
        <v>0.86713257138141597</v>
      </c>
      <c r="AN15" s="10"/>
    </row>
    <row r="16" spans="3:40">
      <c r="N16" s="2" t="s">
        <v>43</v>
      </c>
      <c r="O16" s="2" t="s">
        <v>57</v>
      </c>
      <c r="P16" s="2" t="s">
        <v>43</v>
      </c>
      <c r="Q16" s="8" t="s">
        <v>61</v>
      </c>
      <c r="S16" s="10"/>
      <c r="T16" s="12">
        <v>10</v>
      </c>
      <c r="U16" s="13">
        <f t="shared" si="2"/>
        <v>6.579153054050571E-2</v>
      </c>
      <c r="V16" s="13">
        <f t="shared" si="3"/>
        <v>363.12617290670948</v>
      </c>
      <c r="W16" s="13">
        <f t="shared" si="8"/>
        <v>363.12617290670948</v>
      </c>
      <c r="X16" s="13">
        <v>0</v>
      </c>
      <c r="Y16" s="13">
        <v>0</v>
      </c>
      <c r="Z16" s="13">
        <v>0</v>
      </c>
      <c r="AA16" s="13">
        <f t="shared" si="11"/>
        <v>218.47102055945851</v>
      </c>
      <c r="AB16" s="13">
        <f t="shared" si="12"/>
        <v>71.452845399161077</v>
      </c>
      <c r="AC16" s="13">
        <f t="shared" si="4"/>
        <v>653.05003886532904</v>
      </c>
      <c r="AD16" s="13">
        <f t="shared" si="5"/>
        <v>3382.8675987609336</v>
      </c>
      <c r="AE16" s="13">
        <f t="shared" si="0"/>
        <v>7.2057254863477208E-2</v>
      </c>
      <c r="AF16" s="13">
        <f t="shared" si="6"/>
        <v>5.3950074132280777E-2</v>
      </c>
      <c r="AG16" s="13">
        <f t="shared" si="7"/>
        <v>5.2535981534332185E-2</v>
      </c>
      <c r="AH16" s="10"/>
      <c r="AI16" s="13">
        <f t="shared" si="1"/>
        <v>0.5704859668398391</v>
      </c>
      <c r="AJ16" s="10"/>
      <c r="AK16" s="18">
        <v>2.8781184960690398</v>
      </c>
      <c r="AL16" s="10"/>
      <c r="AM16" s="18">
        <v>0.85026716454860496</v>
      </c>
      <c r="AN16" s="10"/>
    </row>
    <row r="17" spans="14:40">
      <c r="N17" s="2" t="s">
        <v>43</v>
      </c>
      <c r="O17" s="2" t="s">
        <v>57</v>
      </c>
      <c r="P17" s="2" t="s">
        <v>44</v>
      </c>
      <c r="Q17" s="19">
        <f>tpP2D</f>
        <v>6.2957827273940503E-2</v>
      </c>
      <c r="S17" s="10"/>
      <c r="T17" s="12">
        <v>11</v>
      </c>
      <c r="U17" s="13">
        <f t="shared" si="2"/>
        <v>6.6880220656296355E-2</v>
      </c>
      <c r="V17" s="13">
        <f t="shared" si="3"/>
        <v>338.77653901615423</v>
      </c>
      <c r="W17" s="13">
        <f t="shared" si="8"/>
        <v>338.77653901615423</v>
      </c>
      <c r="X17" s="13">
        <v>0</v>
      </c>
      <c r="Y17" s="13">
        <v>0</v>
      </c>
      <c r="Z17" s="13">
        <v>0</v>
      </c>
      <c r="AA17" s="13">
        <f t="shared" si="11"/>
        <v>229.00251835279178</v>
      </c>
      <c r="AB17" s="13">
        <f t="shared" si="12"/>
        <v>85.270981496383072</v>
      </c>
      <c r="AC17" s="13">
        <f t="shared" si="4"/>
        <v>653.05003886532916</v>
      </c>
      <c r="AD17" s="13">
        <f t="shared" si="5"/>
        <v>3202.8841949947341</v>
      </c>
      <c r="AE17" s="13">
        <f t="shared" si="0"/>
        <v>7.0137953843901812E-2</v>
      </c>
      <c r="AF17" s="13">
        <f t="shared" si="6"/>
        <v>5.2117836721280758E-2</v>
      </c>
      <c r="AG17" s="13">
        <f t="shared" si="7"/>
        <v>5.0602211495492683E-2</v>
      </c>
      <c r="AH17" s="10"/>
      <c r="AI17" s="13">
        <f t="shared" si="1"/>
        <v>0.53386635631054902</v>
      </c>
      <c r="AJ17" s="10"/>
      <c r="AK17" s="18">
        <v>3.2120057945895799</v>
      </c>
      <c r="AL17" s="10"/>
      <c r="AM17" s="18">
        <v>0.83739323733289295</v>
      </c>
      <c r="AN17" s="10"/>
    </row>
    <row r="18" spans="14:40">
      <c r="N18" s="2"/>
      <c r="O18" s="2"/>
      <c r="P18" s="2"/>
      <c r="Q18" s="8"/>
      <c r="S18" s="10"/>
      <c r="T18" s="12">
        <v>12</v>
      </c>
      <c r="U18" s="13">
        <f t="shared" si="2"/>
        <v>6.7889839896435003E-2</v>
      </c>
      <c r="V18" s="13">
        <f t="shared" si="3"/>
        <v>315.71764848635337</v>
      </c>
      <c r="W18" s="13">
        <f t="shared" si="8"/>
        <v>315.71764848635337</v>
      </c>
      <c r="X18" s="13">
        <v>0</v>
      </c>
      <c r="Y18" s="13">
        <v>0</v>
      </c>
      <c r="Z18" s="13">
        <v>0</v>
      </c>
      <c r="AA18" s="13">
        <f t="shared" si="11"/>
        <v>237.5845023515144</v>
      </c>
      <c r="AB18" s="13">
        <f t="shared" si="12"/>
        <v>99.747888027461286</v>
      </c>
      <c r="AC18" s="13">
        <f t="shared" si="4"/>
        <v>653.05003886532904</v>
      </c>
      <c r="AD18" s="13">
        <f t="shared" si="5"/>
        <v>3029.8243693891459</v>
      </c>
      <c r="AE18" s="13">
        <f t="shared" si="0"/>
        <v>6.8148200512402501E-2</v>
      </c>
      <c r="AF18" s="13">
        <f t="shared" si="6"/>
        <v>5.0284080303646145E-2</v>
      </c>
      <c r="AG18" s="13">
        <f t="shared" si="7"/>
        <v>4.8677911797645815E-2</v>
      </c>
      <c r="AH18" s="10"/>
      <c r="AI18" s="13">
        <f t="shared" si="1"/>
        <v>0.49907403374968756</v>
      </c>
      <c r="AJ18" s="10"/>
      <c r="AK18" s="18">
        <v>3.4549550686333501</v>
      </c>
      <c r="AL18" s="10"/>
      <c r="AM18" s="18">
        <v>0.82141607525994398</v>
      </c>
      <c r="AN18" s="10"/>
    </row>
    <row r="19" spans="14:40">
      <c r="N19" s="4" t="s">
        <v>62</v>
      </c>
      <c r="O19" s="2"/>
      <c r="P19" s="2"/>
      <c r="Q19" s="8"/>
      <c r="S19" s="10"/>
      <c r="T19" s="12">
        <v>13</v>
      </c>
      <c r="U19" s="13">
        <f t="shared" si="2"/>
        <v>6.8832053211065947E-2</v>
      </c>
      <c r="V19" s="13">
        <f t="shared" si="3"/>
        <v>293.9307924199727</v>
      </c>
      <c r="W19" s="13">
        <f t="shared" si="8"/>
        <v>293.9307924199727</v>
      </c>
      <c r="X19" s="13">
        <v>0</v>
      </c>
      <c r="Y19" s="13">
        <v>0</v>
      </c>
      <c r="Z19" s="13">
        <v>0</v>
      </c>
      <c r="AA19" s="13">
        <f t="shared" si="11"/>
        <v>244.35819226978793</v>
      </c>
      <c r="AB19" s="13">
        <f t="shared" si="12"/>
        <v>114.76105417556846</v>
      </c>
      <c r="AC19" s="13">
        <f t="shared" si="4"/>
        <v>653.05003886532904</v>
      </c>
      <c r="AD19" s="13">
        <f t="shared" si="5"/>
        <v>2863.7967988980226</v>
      </c>
      <c r="AE19" s="13">
        <f t="shared" si="0"/>
        <v>6.6103710605699084E-2</v>
      </c>
      <c r="AF19" s="13">
        <f t="shared" si="6"/>
        <v>4.845683622279693E-2</v>
      </c>
      <c r="AG19" s="13">
        <f t="shared" si="7"/>
        <v>4.6770799647466339E-2</v>
      </c>
      <c r="AH19" s="10"/>
      <c r="AI19" s="13">
        <f t="shared" si="1"/>
        <v>0.46609445207255606</v>
      </c>
      <c r="AJ19" s="10"/>
      <c r="AK19" s="18">
        <v>3.6496037693063399</v>
      </c>
      <c r="AL19" s="10"/>
      <c r="AM19" s="18">
        <v>0.79296975573526896</v>
      </c>
      <c r="AN19" s="10"/>
    </row>
    <row r="20" spans="14:40">
      <c r="N20" s="6" t="s">
        <v>63</v>
      </c>
      <c r="O20" s="6" t="s">
        <v>64</v>
      </c>
      <c r="P20" s="6" t="s">
        <v>44</v>
      </c>
      <c r="Q20" s="9">
        <v>1</v>
      </c>
      <c r="S20" s="10"/>
      <c r="T20" s="12">
        <v>14</v>
      </c>
      <c r="U20" s="13">
        <f t="shared" si="2"/>
        <v>6.9716060674647862E-2</v>
      </c>
      <c r="V20" s="13">
        <f t="shared" si="3"/>
        <v>273.38755376935165</v>
      </c>
      <c r="W20" s="13">
        <f t="shared" si="8"/>
        <v>273.38755376935165</v>
      </c>
      <c r="X20" s="13">
        <v>0</v>
      </c>
      <c r="Y20" s="13">
        <v>0</v>
      </c>
      <c r="Z20" s="13">
        <v>0</v>
      </c>
      <c r="AA20" s="13">
        <f t="shared" si="11"/>
        <v>249.46562836639242</v>
      </c>
      <c r="AB20" s="13">
        <f t="shared" si="12"/>
        <v>130.19685672958502</v>
      </c>
      <c r="AC20" s="13">
        <f t="shared" si="4"/>
        <v>653.05003886532904</v>
      </c>
      <c r="AD20" s="13">
        <f t="shared" si="5"/>
        <v>2704.8338821907519</v>
      </c>
      <c r="AE20" s="13">
        <f t="shared" si="0"/>
        <v>6.4018930263106358E-2</v>
      </c>
      <c r="AF20" s="13">
        <f t="shared" si="6"/>
        <v>4.6643165779040534E-2</v>
      </c>
      <c r="AG20" s="13">
        <f t="shared" si="7"/>
        <v>4.4887567454755063E-2</v>
      </c>
      <c r="AH20" s="10"/>
      <c r="AI20" s="13">
        <f t="shared" si="1"/>
        <v>0.43489721885244204</v>
      </c>
      <c r="AJ20" s="10"/>
      <c r="AK20" s="18">
        <v>3.9716239259775001</v>
      </c>
      <c r="AL20" s="10"/>
      <c r="AM20" s="18">
        <v>0.765715258293447</v>
      </c>
      <c r="AN20" s="10"/>
    </row>
    <row r="21" spans="14:40">
      <c r="N21" s="1" t="s">
        <v>65</v>
      </c>
      <c r="S21" s="10"/>
      <c r="T21" s="12">
        <v>15</v>
      </c>
      <c r="U21" s="13">
        <f t="shared" si="2"/>
        <v>7.0549253804112796E-2</v>
      </c>
      <c r="V21" s="13">
        <f t="shared" si="3"/>
        <v>254.05232648120293</v>
      </c>
      <c r="W21" s="13">
        <f t="shared" si="8"/>
        <v>254.05232648120293</v>
      </c>
      <c r="X21" s="13">
        <v>0</v>
      </c>
      <c r="Y21" s="13">
        <v>0</v>
      </c>
      <c r="Z21" s="13">
        <v>0</v>
      </c>
      <c r="AA21" s="13">
        <f t="shared" si="11"/>
        <v>253.04710234267557</v>
      </c>
      <c r="AB21" s="13">
        <f t="shared" si="12"/>
        <v>145.9506100414506</v>
      </c>
      <c r="AC21" s="13">
        <f t="shared" si="4"/>
        <v>653.05003886532904</v>
      </c>
      <c r="AD21" s="13">
        <f t="shared" si="5"/>
        <v>2552.9069743955956</v>
      </c>
      <c r="AE21" s="13">
        <f t="shared" si="0"/>
        <v>6.190704728824379E-2</v>
      </c>
      <c r="AF21" s="13">
        <f t="shared" si="6"/>
        <v>4.4849244884068884E-2</v>
      </c>
      <c r="AG21" s="13">
        <f t="shared" si="7"/>
        <v>4.3033978488290048E-2</v>
      </c>
      <c r="AH21" s="10"/>
      <c r="AI21" s="13">
        <f t="shared" si="1"/>
        <v>0.40544008317378216</v>
      </c>
      <c r="AJ21" s="10"/>
      <c r="AK21" s="18">
        <v>4.3053731451438502</v>
      </c>
      <c r="AL21" s="10"/>
      <c r="AM21" s="18">
        <v>0.76031832810694799</v>
      </c>
      <c r="AN21" s="10"/>
    </row>
    <row r="22" spans="14:40">
      <c r="S22" s="10"/>
      <c r="T22" s="12">
        <v>16</v>
      </c>
      <c r="U22" s="13">
        <f t="shared" si="2"/>
        <v>7.1337665716281376E-2</v>
      </c>
      <c r="V22" s="13">
        <f t="shared" si="3"/>
        <v>235.88427766298278</v>
      </c>
      <c r="W22" s="13">
        <f t="shared" si="8"/>
        <v>235.88427766298278</v>
      </c>
      <c r="X22" s="13">
        <v>0</v>
      </c>
      <c r="Y22" s="13">
        <v>0</v>
      </c>
      <c r="Z22" s="13">
        <v>0</v>
      </c>
      <c r="AA22" s="13">
        <f t="shared" si="11"/>
        <v>255.23930652217388</v>
      </c>
      <c r="AB22" s="13">
        <f t="shared" si="12"/>
        <v>161.92645468017241</v>
      </c>
      <c r="AC22" s="13">
        <f t="shared" si="4"/>
        <v>653.05003886532904</v>
      </c>
      <c r="AD22" s="13">
        <f t="shared" si="5"/>
        <v>2407.9385793896458</v>
      </c>
      <c r="AE22" s="13">
        <f t="shared" si="0"/>
        <v>5.9780022003034575E-2</v>
      </c>
      <c r="AF22" s="13">
        <f t="shared" si="6"/>
        <v>4.3080440652193054E-2</v>
      </c>
      <c r="AG22" s="13">
        <f t="shared" si="7"/>
        <v>4.1214953255806555E-2</v>
      </c>
      <c r="AH22" s="10"/>
      <c r="AI22" s="13">
        <f t="shared" si="1"/>
        <v>0.37767201458603855</v>
      </c>
      <c r="AJ22" s="10"/>
      <c r="AK22" s="18">
        <v>4.6390226980094296</v>
      </c>
      <c r="AL22" s="10"/>
      <c r="AM22" s="18">
        <v>0.76031832810694799</v>
      </c>
      <c r="AN22" s="10"/>
    </row>
    <row r="23" spans="14:40">
      <c r="N23" s="1" t="s">
        <v>66</v>
      </c>
      <c r="S23" s="10"/>
      <c r="T23" s="12">
        <v>17</v>
      </c>
      <c r="U23" s="13">
        <f t="shared" si="2"/>
        <v>7.2086288547795058E-2</v>
      </c>
      <c r="V23" s="13">
        <f t="shared" si="3"/>
        <v>218.83889250692056</v>
      </c>
      <c r="W23" s="13">
        <f t="shared" si="8"/>
        <v>218.83889250692056</v>
      </c>
      <c r="X23" s="13">
        <v>0</v>
      </c>
      <c r="Y23" s="13">
        <v>0</v>
      </c>
      <c r="Z23" s="13">
        <v>0</v>
      </c>
      <c r="AA23" s="13">
        <f t="shared" si="11"/>
        <v>256.17401645213249</v>
      </c>
      <c r="AB23" s="13">
        <f t="shared" si="12"/>
        <v>178.03712990627602</v>
      </c>
      <c r="AC23" s="13">
        <f t="shared" si="4"/>
        <v>653.05003886532904</v>
      </c>
      <c r="AD23" s="13">
        <f t="shared" si="5"/>
        <v>2269.8122456219508</v>
      </c>
      <c r="AE23" s="13">
        <f t="shared" si="0"/>
        <v>5.7648631812564313E-2</v>
      </c>
      <c r="AF23" s="13">
        <f t="shared" si="6"/>
        <v>4.1341381621147574E-2</v>
      </c>
      <c r="AG23" s="13">
        <f t="shared" si="7"/>
        <v>3.9434648397656938E-2</v>
      </c>
      <c r="AH23" s="10"/>
      <c r="AI23" s="13">
        <f t="shared" si="1"/>
        <v>0.35153561356223767</v>
      </c>
      <c r="AJ23" s="10"/>
      <c r="AK23" s="18">
        <v>4.9726722508750099</v>
      </c>
      <c r="AL23" s="10"/>
      <c r="AM23" s="18">
        <v>0.76031832810694799</v>
      </c>
      <c r="AN23" s="10"/>
    </row>
    <row r="24" spans="14:40">
      <c r="N24" s="1" t="s">
        <v>67</v>
      </c>
      <c r="O24" s="243">
        <f>lambda_capi</f>
        <v>3.7754785557038019E-2</v>
      </c>
      <c r="S24" s="10"/>
      <c r="T24" s="12">
        <v>18</v>
      </c>
      <c r="U24" s="13">
        <f t="shared" si="2"/>
        <v>7.2799302679626657E-2</v>
      </c>
      <c r="V24" s="13">
        <f t="shared" si="3"/>
        <v>202.86919964275862</v>
      </c>
      <c r="W24" s="13">
        <f t="shared" si="8"/>
        <v>202.86919964275862</v>
      </c>
      <c r="X24" s="13">
        <v>0</v>
      </c>
      <c r="Y24" s="13">
        <v>0</v>
      </c>
      <c r="Z24" s="13">
        <v>0</v>
      </c>
      <c r="AA24" s="13">
        <f t="shared" si="11"/>
        <v>255.97717574595313</v>
      </c>
      <c r="AB24" s="13">
        <f t="shared" si="12"/>
        <v>194.20366347661732</v>
      </c>
      <c r="AC24" s="13">
        <f t="shared" si="4"/>
        <v>653.05003886532904</v>
      </c>
      <c r="AD24" s="13">
        <f t="shared" si="5"/>
        <v>2138.3806844049072</v>
      </c>
      <c r="AE24" s="13">
        <f t="shared" si="0"/>
        <v>5.5522525138580796E-2</v>
      </c>
      <c r="AF24" s="13">
        <f t="shared" si="6"/>
        <v>3.963602264603569E-2</v>
      </c>
      <c r="AG24" s="13">
        <f t="shared" si="7"/>
        <v>3.7696529226146386E-2</v>
      </c>
      <c r="AH24" s="10"/>
      <c r="AI24" s="13">
        <f t="shared" si="1"/>
        <v>0.32696901729188077</v>
      </c>
      <c r="AJ24" s="10"/>
      <c r="AK24" s="18">
        <v>5.2912998081957099</v>
      </c>
      <c r="AL24" s="10"/>
      <c r="AM24" s="18">
        <v>0.75252651015018901</v>
      </c>
      <c r="AN24" s="10"/>
    </row>
    <row r="25" spans="14:40">
      <c r="N25" s="1" t="s">
        <v>68</v>
      </c>
      <c r="O25" s="1">
        <f>gamma_capi</f>
        <v>1.1721972745676115</v>
      </c>
      <c r="S25" s="10"/>
      <c r="T25" s="12">
        <v>19</v>
      </c>
      <c r="U25" s="13">
        <f t="shared" si="2"/>
        <v>7.3480245745414313E-2</v>
      </c>
      <c r="V25" s="13">
        <f t="shared" si="3"/>
        <v>187.92674724440238</v>
      </c>
      <c r="W25" s="13">
        <f t="shared" si="8"/>
        <v>187.92674724440238</v>
      </c>
      <c r="X25" s="13">
        <v>0</v>
      </c>
      <c r="Y25" s="13">
        <v>0</v>
      </c>
      <c r="Z25" s="13">
        <v>0</v>
      </c>
      <c r="AA25" s="13">
        <f t="shared" si="11"/>
        <v>254.7682875731937</v>
      </c>
      <c r="AB25" s="13">
        <f t="shared" si="12"/>
        <v>210.35500404773299</v>
      </c>
      <c r="AC25" s="13">
        <f t="shared" si="4"/>
        <v>653.05003886532904</v>
      </c>
      <c r="AD25" s="13">
        <f t="shared" si="5"/>
        <v>2013.4724831883536</v>
      </c>
      <c r="AE25" s="13">
        <f t="shared" si="0"/>
        <v>5.3410281472761584E-2</v>
      </c>
      <c r="AF25" s="13">
        <f t="shared" si="6"/>
        <v>3.7967705136955555E-2</v>
      </c>
      <c r="AG25" s="13">
        <f t="shared" si="7"/>
        <v>3.600343666382276E-2</v>
      </c>
      <c r="AH25" s="10"/>
      <c r="AI25" s="13">
        <f t="shared" si="1"/>
        <v>0.30390741656048764</v>
      </c>
      <c r="AJ25" s="10"/>
      <c r="AK25" s="18">
        <v>5.5041064630395704</v>
      </c>
      <c r="AL25" s="10"/>
      <c r="AM25" s="18">
        <v>0.72630642432744597</v>
      </c>
      <c r="AN25" s="10"/>
    </row>
    <row r="26" spans="14:40">
      <c r="S26" s="10"/>
      <c r="T26" s="12">
        <v>20</v>
      </c>
      <c r="U26" s="13">
        <f t="shared" si="2"/>
        <v>7.4132139537939484E-2</v>
      </c>
      <c r="V26" s="13">
        <f t="shared" si="3"/>
        <v>173.9623818465262</v>
      </c>
      <c r="W26" s="13">
        <f t="shared" si="8"/>
        <v>173.9623818465262</v>
      </c>
      <c r="X26" s="13">
        <v>0</v>
      </c>
      <c r="Y26" s="13">
        <v>0</v>
      </c>
      <c r="Z26" s="13">
        <v>0</v>
      </c>
      <c r="AA26" s="13">
        <f t="shared" si="11"/>
        <v>252.66004157891609</v>
      </c>
      <c r="AB26" s="13">
        <f t="shared" si="12"/>
        <v>226.42761543988678</v>
      </c>
      <c r="AC26" s="13">
        <f t="shared" si="4"/>
        <v>653.05003886532904</v>
      </c>
      <c r="AD26" s="13">
        <f t="shared" si="5"/>
        <v>1894.897688752457</v>
      </c>
      <c r="AE26" s="13">
        <f t="shared" si="0"/>
        <v>5.1319475097610694E-2</v>
      </c>
      <c r="AF26" s="13">
        <f t="shared" si="6"/>
        <v>3.6339213093577093E-2</v>
      </c>
      <c r="AG26" s="13">
        <f t="shared" si="7"/>
        <v>3.4357649112254099E-2</v>
      </c>
      <c r="AH26" s="10"/>
      <c r="AI26" s="13">
        <f t="shared" si="1"/>
        <v>0.28228426779706006</v>
      </c>
      <c r="AJ26" s="10"/>
      <c r="AK26" s="18">
        <v>5.6716507055810199</v>
      </c>
      <c r="AL26" s="10"/>
      <c r="AM26" s="18">
        <v>0.68734733454365404</v>
      </c>
      <c r="AN26" s="10"/>
    </row>
    <row r="27" spans="14:40">
      <c r="S27" s="10"/>
      <c r="T27" s="12">
        <v>21</v>
      </c>
      <c r="U27" s="13">
        <f t="shared" si="2"/>
        <v>7.475758685581195E-2</v>
      </c>
      <c r="V27" s="13">
        <f t="shared" si="3"/>
        <v>160.92686912329287</v>
      </c>
      <c r="W27" s="13">
        <f t="shared" si="8"/>
        <v>160.92686912329287</v>
      </c>
      <c r="X27" s="13">
        <v>0</v>
      </c>
      <c r="Y27" s="13">
        <v>0</v>
      </c>
      <c r="Z27" s="13">
        <v>0</v>
      </c>
      <c r="AA27" s="13">
        <f t="shared" si="11"/>
        <v>249.75812219269966</v>
      </c>
      <c r="AB27" s="13">
        <f t="shared" si="12"/>
        <v>242.36504754933654</v>
      </c>
      <c r="AC27" s="13">
        <f t="shared" si="4"/>
        <v>653.05003886532904</v>
      </c>
      <c r="AD27" s="13">
        <f t="shared" si="5"/>
        <v>1782.452468281075</v>
      </c>
      <c r="AE27" s="13">
        <f t="shared" si="0"/>
        <v>4.9256740615774446E-2</v>
      </c>
      <c r="AF27" s="13">
        <f t="shared" si="6"/>
        <v>3.4752825262432313E-2</v>
      </c>
      <c r="AG27" s="13">
        <f t="shared" si="7"/>
        <v>3.2760939651360052E-2</v>
      </c>
      <c r="AH27" s="10"/>
      <c r="AI27" s="13">
        <f t="shared" si="1"/>
        <v>0.26203226285496589</v>
      </c>
      <c r="AJ27" s="10"/>
      <c r="AK27" s="18">
        <v>6.0053916192222996</v>
      </c>
      <c r="AL27" s="10"/>
      <c r="AM27" s="18">
        <v>0.68240014853936204</v>
      </c>
      <c r="AN27" s="10"/>
    </row>
    <row r="28" spans="14:40">
      <c r="S28" s="10"/>
      <c r="T28" s="12">
        <v>22</v>
      </c>
      <c r="U28" s="13">
        <f t="shared" si="2"/>
        <v>7.5358846485084896E-2</v>
      </c>
      <c r="V28" s="13">
        <f t="shared" si="3"/>
        <v>148.77138686330485</v>
      </c>
      <c r="W28" s="13">
        <f t="shared" si="8"/>
        <v>148.77138686330485</v>
      </c>
      <c r="X28" s="13">
        <v>0</v>
      </c>
      <c r="Y28" s="13">
        <v>0</v>
      </c>
      <c r="Z28" s="13">
        <v>0</v>
      </c>
      <c r="AA28" s="13">
        <f t="shared" si="11"/>
        <v>246.16115670101553</v>
      </c>
      <c r="AB28" s="13">
        <f t="shared" si="12"/>
        <v>258.11749530100872</v>
      </c>
      <c r="AC28" s="13">
        <f t="shared" si="4"/>
        <v>653.05003886532904</v>
      </c>
      <c r="AD28" s="13">
        <f t="shared" si="5"/>
        <v>1675.9230090637382</v>
      </c>
      <c r="AE28" s="13">
        <f t="shared" si="0"/>
        <v>4.7227838877453715E-2</v>
      </c>
      <c r="AF28" s="13">
        <f t="shared" si="6"/>
        <v>3.321036366769501E-2</v>
      </c>
      <c r="AG28" s="13">
        <f t="shared" si="7"/>
        <v>3.1214628890591196E-2</v>
      </c>
      <c r="AH28" s="10"/>
      <c r="AI28" s="13">
        <f t="shared" si="1"/>
        <v>0.24308410406845618</v>
      </c>
      <c r="AJ28" s="10"/>
      <c r="AK28" s="18">
        <v>6.3391117690509304</v>
      </c>
      <c r="AL28" s="10"/>
      <c r="AM28" s="18">
        <v>0.67857732299059204</v>
      </c>
      <c r="AN28" s="10"/>
    </row>
    <row r="29" spans="14:40">
      <c r="S29" s="10"/>
      <c r="T29" s="12">
        <v>23</v>
      </c>
      <c r="U29" s="13">
        <f t="shared" si="2"/>
        <v>7.593789200966998E-2</v>
      </c>
      <c r="V29" s="13">
        <f t="shared" si="3"/>
        <v>137.447913821328</v>
      </c>
      <c r="W29" s="13">
        <f t="shared" si="8"/>
        <v>137.447913821328</v>
      </c>
      <c r="X29" s="13">
        <v>0</v>
      </c>
      <c r="Y29" s="13">
        <v>0</v>
      </c>
      <c r="Z29" s="13">
        <v>0</v>
      </c>
      <c r="AA29" s="13">
        <f t="shared" si="11"/>
        <v>241.96077062563407</v>
      </c>
      <c r="AB29" s="13">
        <f t="shared" si="12"/>
        <v>273.64135441836703</v>
      </c>
      <c r="AC29" s="13">
        <f t="shared" si="4"/>
        <v>653.05003886532904</v>
      </c>
      <c r="AD29" s="13">
        <f t="shared" si="5"/>
        <v>1575.0887834698399</v>
      </c>
      <c r="AE29" s="13">
        <f t="shared" si="0"/>
        <v>4.5237722240153731E-2</v>
      </c>
      <c r="AF29" s="13">
        <f t="shared" si="6"/>
        <v>3.1713238722219816E-2</v>
      </c>
      <c r="AG29" s="13">
        <f t="shared" si="7"/>
        <v>2.9719633745486577E-2</v>
      </c>
      <c r="AH29" s="10"/>
      <c r="AI29" s="13">
        <f t="shared" si="1"/>
        <v>0.22537312137588686</v>
      </c>
      <c r="AJ29" s="10"/>
      <c r="AK29" s="18">
        <v>6.6728506063109503</v>
      </c>
      <c r="AL29" s="10"/>
      <c r="AM29" s="18">
        <v>0.67374257303185303</v>
      </c>
      <c r="AN29" s="10"/>
    </row>
    <row r="30" spans="14:40">
      <c r="S30" s="10"/>
      <c r="T30" s="12">
        <v>24</v>
      </c>
      <c r="U30" s="13">
        <f t="shared" si="2"/>
        <v>7.6496458481268306E-2</v>
      </c>
      <c r="V30" s="13">
        <f t="shared" si="3"/>
        <v>126.90953326287128</v>
      </c>
      <c r="W30" s="13">
        <f t="shared" si="8"/>
        <v>126.90953326287128</v>
      </c>
      <c r="X30" s="13">
        <v>0</v>
      </c>
      <c r="Y30" s="13">
        <v>0</v>
      </c>
      <c r="Z30" s="13">
        <v>0</v>
      </c>
      <c r="AA30" s="13">
        <f t="shared" si="11"/>
        <v>237.24172485448602</v>
      </c>
      <c r="AB30" s="13">
        <f t="shared" si="12"/>
        <v>288.89878074797178</v>
      </c>
      <c r="AC30" s="13">
        <f t="shared" si="4"/>
        <v>653.05003886532904</v>
      </c>
      <c r="AD30" s="13">
        <f t="shared" si="5"/>
        <v>1479.7252806465151</v>
      </c>
      <c r="AE30" s="13">
        <f t="shared" si="0"/>
        <v>4.3290598362383095E-2</v>
      </c>
      <c r="AF30" s="13">
        <f t="shared" si="6"/>
        <v>3.0262491099895081E-2</v>
      </c>
      <c r="AG30" s="13">
        <f t="shared" si="7"/>
        <v>2.8276512383641605E-2</v>
      </c>
      <c r="AH30" s="10"/>
      <c r="AI30" s="13">
        <f t="shared" si="1"/>
        <v>0.20883376043455185</v>
      </c>
      <c r="AJ30" s="10"/>
      <c r="AK30" s="18">
        <v>7.0065001591765297</v>
      </c>
      <c r="AL30" s="10"/>
      <c r="AM30" s="18">
        <v>0.67374257303185303</v>
      </c>
      <c r="AN30" s="10"/>
    </row>
    <row r="31" spans="14:40">
      <c r="S31" s="10"/>
      <c r="T31" s="12">
        <v>25</v>
      </c>
      <c r="U31" s="13">
        <f t="shared" si="2"/>
        <v>7.7036079850567318E-2</v>
      </c>
      <c r="V31" s="13">
        <f t="shared" si="3"/>
        <v>117.11066633743894</v>
      </c>
      <c r="W31" s="13">
        <f t="shared" si="8"/>
        <v>117.11066633743894</v>
      </c>
      <c r="X31" s="13">
        <v>0</v>
      </c>
      <c r="Y31" s="13">
        <v>0</v>
      </c>
      <c r="Z31" s="13">
        <v>0</v>
      </c>
      <c r="AA31" s="13">
        <f t="shared" si="11"/>
        <v>232.08211425716235</v>
      </c>
      <c r="AB31" s="13">
        <f t="shared" si="12"/>
        <v>303.85725827072775</v>
      </c>
      <c r="AC31" s="13">
        <f t="shared" si="4"/>
        <v>653.05003886532904</v>
      </c>
      <c r="AD31" s="13">
        <f t="shared" si="5"/>
        <v>1389.6062873970413</v>
      </c>
      <c r="AE31" s="13">
        <f t="shared" si="0"/>
        <v>4.1389991942109905E-2</v>
      </c>
      <c r="AF31" s="13">
        <f t="shared" si="6"/>
        <v>2.8858830535349808E-2</v>
      </c>
      <c r="AG31" s="13">
        <f t="shared" si="7"/>
        <v>2.688550556529521E-2</v>
      </c>
      <c r="AH31" s="10"/>
      <c r="AI31" s="13">
        <f t="shared" si="1"/>
        <v>0.19340196478046279</v>
      </c>
      <c r="AJ31" s="10"/>
      <c r="AK31" s="18">
        <v>7.2341826323241598</v>
      </c>
      <c r="AL31" s="10"/>
      <c r="AM31" s="18">
        <v>0.66322980277273402</v>
      </c>
      <c r="AN31" s="10"/>
    </row>
    <row r="32" spans="14:40">
      <c r="S32" s="10"/>
      <c r="T32" s="12">
        <v>26</v>
      </c>
      <c r="U32" s="13">
        <f t="shared" si="2"/>
        <v>7.7558119280779922E-2</v>
      </c>
      <c r="V32" s="13">
        <f t="shared" si="3"/>
        <v>108.00724758363415</v>
      </c>
      <c r="W32" s="13">
        <f t="shared" si="8"/>
        <v>108.00724758363415</v>
      </c>
      <c r="X32" s="13">
        <v>0</v>
      </c>
      <c r="Y32" s="13">
        <v>0</v>
      </c>
      <c r="Z32" s="13">
        <v>0</v>
      </c>
      <c r="AA32" s="13">
        <f t="shared" si="11"/>
        <v>226.5536116232397</v>
      </c>
      <c r="AB32" s="13">
        <f t="shared" si="12"/>
        <v>318.48917965845516</v>
      </c>
      <c r="AC32" s="13">
        <f t="shared" si="4"/>
        <v>653.05003886532904</v>
      </c>
      <c r="AD32" s="13">
        <f t="shared" si="5"/>
        <v>1304.5057861025207</v>
      </c>
      <c r="AE32" s="13">
        <f t="shared" si="0"/>
        <v>3.9538803975427382E-2</v>
      </c>
      <c r="AF32" s="13">
        <f t="shared" si="6"/>
        <v>2.7502671708167972E-2</v>
      </c>
      <c r="AG32" s="13">
        <f t="shared" si="7"/>
        <v>2.5546574591045427E-2</v>
      </c>
      <c r="AH32" s="10"/>
      <c r="AI32" s="13">
        <f t="shared" si="1"/>
        <v>0.17901547062377582</v>
      </c>
      <c r="AJ32" s="10"/>
      <c r="AK32" s="18">
        <v>7.3108076762456502</v>
      </c>
      <c r="AL32" s="10"/>
      <c r="AM32" s="18">
        <v>0.62014805798536599</v>
      </c>
      <c r="AN32" s="10"/>
    </row>
    <row r="33" spans="14:40">
      <c r="S33" s="10"/>
      <c r="T33" s="12">
        <v>27</v>
      </c>
      <c r="U33" s="13">
        <f t="shared" si="2"/>
        <v>7.806379391562232E-2</v>
      </c>
      <c r="V33" s="13">
        <f t="shared" si="3"/>
        <v>99.556852655127344</v>
      </c>
      <c r="W33" s="13">
        <f t="shared" si="8"/>
        <v>99.556852655127344</v>
      </c>
      <c r="X33" s="13">
        <v>0</v>
      </c>
      <c r="Y33" s="13">
        <v>0</v>
      </c>
      <c r="Z33" s="13">
        <v>0</v>
      </c>
      <c r="AA33" s="13">
        <f t="shared" si="11"/>
        <v>220.72174399113879</v>
      </c>
      <c r="AB33" s="13">
        <f t="shared" si="12"/>
        <v>332.77144221906286</v>
      </c>
      <c r="AC33" s="13">
        <f t="shared" si="4"/>
        <v>653.05003886532904</v>
      </c>
      <c r="AD33" s="13">
        <f t="shared" si="5"/>
        <v>1224.1995261415784</v>
      </c>
      <c r="AE33" s="13">
        <f t="shared" si="0"/>
        <v>3.7739368240944982E-2</v>
      </c>
      <c r="AF33" s="13">
        <f t="shared" si="6"/>
        <v>2.6194167363235571E-2</v>
      </c>
      <c r="AG33" s="13">
        <f t="shared" si="7"/>
        <v>2.4259436059886976E-2</v>
      </c>
      <c r="AH33" s="10"/>
      <c r="AI33" s="13">
        <f t="shared" si="1"/>
        <v>0.16561402942306294</v>
      </c>
      <c r="AJ33" s="10"/>
      <c r="AK33" s="18">
        <v>7.3949661774636199</v>
      </c>
      <c r="AL33" s="10"/>
      <c r="AM33" s="18">
        <v>0.57974603895032095</v>
      </c>
      <c r="AN33" s="10"/>
    </row>
    <row r="34" spans="14:40">
      <c r="S34" s="10"/>
      <c r="T34" s="12">
        <v>28</v>
      </c>
      <c r="U34" s="13">
        <f t="shared" si="2"/>
        <v>7.8554195281816064E-2</v>
      </c>
      <c r="V34" s="13">
        <f t="shared" si="3"/>
        <v>91.718786601690013</v>
      </c>
      <c r="W34" s="13">
        <f t="shared" si="8"/>
        <v>91.718786601690013</v>
      </c>
      <c r="X34" s="13">
        <v>0</v>
      </c>
      <c r="Y34" s="13">
        <v>0</v>
      </c>
      <c r="Z34" s="13">
        <v>0</v>
      </c>
      <c r="AA34" s="13">
        <f t="shared" si="11"/>
        <v>214.64619100245562</v>
      </c>
      <c r="AB34" s="13">
        <f t="shared" si="12"/>
        <v>346.68506126118336</v>
      </c>
      <c r="AC34" s="13">
        <f t="shared" si="4"/>
        <v>653.05003886532904</v>
      </c>
      <c r="AD34" s="13">
        <f t="shared" si="5"/>
        <v>1148.4663162041163</v>
      </c>
      <c r="AE34" s="13">
        <f t="shared" si="0"/>
        <v>3.5993504818329594E-2</v>
      </c>
      <c r="AF34" s="13">
        <f t="shared" si="6"/>
        <v>2.4933238815011898E-2</v>
      </c>
      <c r="AG34" s="13">
        <f t="shared" si="7"/>
        <v>2.3023593633201687E-2</v>
      </c>
      <c r="AH34" s="10"/>
      <c r="AI34" s="13">
        <f t="shared" si="1"/>
        <v>0.15313957067892578</v>
      </c>
      <c r="AJ34" s="10"/>
      <c r="AK34" s="18">
        <v>7.6152473895887098</v>
      </c>
      <c r="AL34" s="10"/>
      <c r="AM34" s="18">
        <v>0.55939511470539605</v>
      </c>
      <c r="AN34" s="10"/>
    </row>
    <row r="35" spans="14:40">
      <c r="S35" s="10"/>
      <c r="T35" s="12">
        <v>29</v>
      </c>
      <c r="U35" s="13">
        <f t="shared" si="2"/>
        <v>7.9030306222319921E-2</v>
      </c>
      <c r="V35" s="13">
        <f t="shared" si="3"/>
        <v>84.454139631515488</v>
      </c>
      <c r="W35" s="13">
        <f t="shared" si="8"/>
        <v>84.454139631515488</v>
      </c>
      <c r="X35" s="13">
        <v>0</v>
      </c>
      <c r="Y35" s="13">
        <v>0</v>
      </c>
      <c r="Z35" s="13">
        <v>0</v>
      </c>
      <c r="AA35" s="13">
        <f t="shared" si="11"/>
        <v>208.38109697578497</v>
      </c>
      <c r="AB35" s="13">
        <f t="shared" si="12"/>
        <v>360.21480225802856</v>
      </c>
      <c r="AC35" s="13">
        <f t="shared" si="4"/>
        <v>653.05003886532904</v>
      </c>
      <c r="AD35" s="13">
        <f t="shared" si="5"/>
        <v>1077.0890775988905</v>
      </c>
      <c r="AE35" s="13">
        <f t="shared" si="0"/>
        <v>3.4302570530800276E-2</v>
      </c>
      <c r="AF35" s="13">
        <f t="shared" si="6"/>
        <v>2.3719603980386961E-2</v>
      </c>
      <c r="AG35" s="13">
        <f t="shared" si="7"/>
        <v>2.1838366993562414E-2</v>
      </c>
      <c r="AH35" s="10"/>
      <c r="AI35" s="13">
        <f t="shared" si="1"/>
        <v>0.14153631524055557</v>
      </c>
      <c r="AJ35" s="10"/>
      <c r="AK35" s="18">
        <v>7.94895508112974</v>
      </c>
      <c r="AL35" s="10"/>
      <c r="AM35" s="18">
        <v>0.55624690542993804</v>
      </c>
      <c r="AN35" s="10"/>
    </row>
    <row r="36" spans="14:40">
      <c r="N36" s="1" t="s">
        <v>69</v>
      </c>
      <c r="O36" s="1">
        <f>SUM(AG:AG)</f>
        <v>1.7038317523083935</v>
      </c>
      <c r="S36" s="10"/>
      <c r="T36" s="12">
        <v>30</v>
      </c>
      <c r="U36" s="13">
        <f t="shared" si="2"/>
        <v>7.9493015048252708E-2</v>
      </c>
      <c r="V36" s="13">
        <f t="shared" si="3"/>
        <v>77.725816138970941</v>
      </c>
      <c r="W36" s="13">
        <f t="shared" si="8"/>
        <v>77.725816138970941</v>
      </c>
      <c r="X36" s="13">
        <v>0</v>
      </c>
      <c r="Y36" s="13">
        <v>0</v>
      </c>
      <c r="Z36" s="13">
        <v>0</v>
      </c>
      <c r="AA36" s="13">
        <f t="shared" si="11"/>
        <v>201.97539005784455</v>
      </c>
      <c r="AB36" s="13">
        <f t="shared" si="12"/>
        <v>373.34883266851352</v>
      </c>
      <c r="AC36" s="13">
        <f t="shared" si="4"/>
        <v>653.05003886532904</v>
      </c>
      <c r="AD36" s="13">
        <f t="shared" si="5"/>
        <v>1009.8556927021285</v>
      </c>
      <c r="AE36" s="13">
        <f t="shared" si="0"/>
        <v>3.2667506265554404E-2</v>
      </c>
      <c r="AF36" s="13">
        <f t="shared" si="6"/>
        <v>2.255280308179328E-2</v>
      </c>
      <c r="AG36" s="13">
        <f t="shared" si="7"/>
        <v>2.0702918180689811E-2</v>
      </c>
      <c r="AH36" s="10"/>
      <c r="AI36" s="13">
        <f t="shared" si="1"/>
        <v>0.13075084769322598</v>
      </c>
      <c r="AJ36" s="10"/>
      <c r="AK36" s="18">
        <v>8.2826046339953194</v>
      </c>
      <c r="AL36" s="10"/>
      <c r="AM36" s="18">
        <v>0.55624690542993804</v>
      </c>
      <c r="AN36" s="10"/>
    </row>
    <row r="37" spans="14:40">
      <c r="N37" s="1" t="s">
        <v>70</v>
      </c>
      <c r="O37" s="1">
        <f>SUM(AF:AF)</f>
        <v>1.8000309750462442</v>
      </c>
      <c r="S37" s="10"/>
      <c r="T37" s="12">
        <v>31</v>
      </c>
      <c r="U37" s="13">
        <f t="shared" si="2"/>
        <v>7.9943127442878834E-2</v>
      </c>
      <c r="V37" s="13">
        <f t="shared" si="3"/>
        <v>71.498541846601782</v>
      </c>
      <c r="W37" s="13">
        <f t="shared" si="8"/>
        <v>71.498541846601782</v>
      </c>
      <c r="X37" s="13">
        <v>0</v>
      </c>
      <c r="Y37" s="13">
        <v>0</v>
      </c>
      <c r="Z37" s="13">
        <v>0</v>
      </c>
      <c r="AA37" s="13">
        <f t="shared" si="11"/>
        <v>195.47310316219551</v>
      </c>
      <c r="AB37" s="13">
        <f t="shared" si="12"/>
        <v>386.0783938565317</v>
      </c>
      <c r="AC37" s="13">
        <f t="shared" si="4"/>
        <v>653.05003886532904</v>
      </c>
      <c r="AD37" s="13">
        <f t="shared" si="5"/>
        <v>946.55967778219451</v>
      </c>
      <c r="AE37" s="13">
        <f t="shared" si="0"/>
        <v>3.1088881176441041E-2</v>
      </c>
      <c r="AF37" s="13">
        <f t="shared" si="6"/>
        <v>2.1432222159071954E-2</v>
      </c>
      <c r="AG37" s="13">
        <f t="shared" si="7"/>
        <v>1.9616275480341054E-2</v>
      </c>
      <c r="AH37" s="10"/>
      <c r="AI37" s="13">
        <f t="shared" si="1"/>
        <v>0.12073215499307095</v>
      </c>
      <c r="AJ37" s="10"/>
      <c r="AK37" s="18">
        <v>8.6162541868608997</v>
      </c>
      <c r="AL37" s="10"/>
      <c r="AM37" s="18">
        <v>0.55624690542993804</v>
      </c>
      <c r="AN37" s="10"/>
    </row>
    <row r="38" spans="14:40">
      <c r="N38" s="1" t="s">
        <v>71</v>
      </c>
      <c r="O38" s="1">
        <f>SUM(AE:AE)</f>
        <v>2.4485063588826974</v>
      </c>
      <c r="S38" s="10"/>
      <c r="T38" s="12">
        <v>32</v>
      </c>
      <c r="U38" s="13">
        <f t="shared" si="2"/>
        <v>8.0381376534998647E-2</v>
      </c>
      <c r="V38" s="13">
        <f t="shared" si="3"/>
        <v>65.738853137758085</v>
      </c>
      <c r="W38" s="13">
        <f t="shared" si="8"/>
        <v>65.738853137758085</v>
      </c>
      <c r="X38" s="13">
        <v>0</v>
      </c>
      <c r="Y38" s="13">
        <v>0</v>
      </c>
      <c r="Z38" s="13">
        <v>0</v>
      </c>
      <c r="AA38" s="13">
        <f t="shared" si="11"/>
        <v>188.91369251048391</v>
      </c>
      <c r="AB38" s="13">
        <f t="shared" si="12"/>
        <v>398.397493217087</v>
      </c>
      <c r="AC38" s="13">
        <f t="shared" si="4"/>
        <v>653.05003886532904</v>
      </c>
      <c r="AD38" s="13">
        <f t="shared" si="5"/>
        <v>887.00070534019108</v>
      </c>
      <c r="AE38" s="13">
        <f t="shared" si="0"/>
        <v>2.9566933812353275E-2</v>
      </c>
      <c r="AF38" s="13">
        <f t="shared" si="6"/>
        <v>2.035711452510142E-2</v>
      </c>
      <c r="AG38" s="13">
        <f t="shared" si="7"/>
        <v>1.857735503517666E-2</v>
      </c>
      <c r="AH38" s="10"/>
      <c r="AI38" s="13">
        <f t="shared" si="1"/>
        <v>0.1114316373664075</v>
      </c>
      <c r="AJ38" s="10"/>
      <c r="AK38" s="18">
        <v>8.9499348854454706</v>
      </c>
      <c r="AL38" s="10"/>
      <c r="AM38" s="18">
        <v>0.55456036474665704</v>
      </c>
      <c r="AN38" s="10"/>
    </row>
    <row r="39" spans="14:40">
      <c r="N39" s="1" t="s">
        <v>72</v>
      </c>
      <c r="O39" s="270">
        <f>SUM(AD:AD)</f>
        <v>102822.09670897595</v>
      </c>
      <c r="S39" s="10"/>
      <c r="T39" s="12">
        <v>33</v>
      </c>
      <c r="U39" s="13">
        <f t="shared" si="2"/>
        <v>8.0808431471102893E-2</v>
      </c>
      <c r="V39" s="13">
        <f t="shared" si="3"/>
        <v>60.415072013611208</v>
      </c>
      <c r="W39" s="13">
        <f t="shared" si="8"/>
        <v>60.415072013611208</v>
      </c>
      <c r="X39" s="13">
        <v>0</v>
      </c>
      <c r="Y39" s="13">
        <v>0</v>
      </c>
      <c r="Z39" s="13">
        <v>0</v>
      </c>
      <c r="AA39" s="13">
        <f t="shared" si="11"/>
        <v>182.33235049649798</v>
      </c>
      <c r="AB39" s="13">
        <f t="shared" si="12"/>
        <v>410.30261635521981</v>
      </c>
      <c r="AC39" s="13">
        <f t="shared" si="4"/>
        <v>653.05003886532904</v>
      </c>
      <c r="AD39" s="13">
        <f t="shared" si="5"/>
        <v>830.98499766174723</v>
      </c>
      <c r="AE39" s="13">
        <f t="shared" si="0"/>
        <v>2.8101610244898354E-2</v>
      </c>
      <c r="AF39" s="13">
        <f t="shared" si="6"/>
        <v>1.932662029633048E-2</v>
      </c>
      <c r="AG39" s="13">
        <f t="shared" si="7"/>
        <v>1.7584980339706183E-2</v>
      </c>
      <c r="AH39" s="10"/>
      <c r="AI39" s="13">
        <f t="shared" si="1"/>
        <v>0.10280309654106735</v>
      </c>
      <c r="AJ39" s="10"/>
      <c r="AK39" s="18">
        <v>9.1928822907461001</v>
      </c>
      <c r="AL39" s="10"/>
      <c r="AM39" s="18">
        <v>0.53868439511470501</v>
      </c>
      <c r="AN39" s="10"/>
    </row>
    <row r="40" spans="14:40">
      <c r="S40" s="10"/>
      <c r="T40" s="12">
        <v>34</v>
      </c>
      <c r="U40" s="13">
        <f t="shared" si="2"/>
        <v>8.1224904748297952E-2</v>
      </c>
      <c r="V40" s="13">
        <f t="shared" si="3"/>
        <v>55.497269570391083</v>
      </c>
      <c r="W40" s="13">
        <f t="shared" si="8"/>
        <v>55.497269570391083</v>
      </c>
      <c r="X40" s="13">
        <v>0</v>
      </c>
      <c r="Y40" s="13">
        <v>0</v>
      </c>
      <c r="Z40" s="13">
        <v>0</v>
      </c>
      <c r="AA40" s="13">
        <f t="shared" si="11"/>
        <v>175.760310337155</v>
      </c>
      <c r="AB40" s="13">
        <f t="shared" si="12"/>
        <v>421.79245895778291</v>
      </c>
      <c r="AC40" s="13">
        <f t="shared" si="4"/>
        <v>653.05003886532904</v>
      </c>
      <c r="AD40" s="13">
        <f t="shared" si="5"/>
        <v>778.32561035500567</v>
      </c>
      <c r="AE40" s="13">
        <f t="shared" si="0"/>
        <v>2.6692599291620437E-2</v>
      </c>
      <c r="AF40" s="13">
        <f t="shared" si="6"/>
        <v>1.8339784125121123E-2</v>
      </c>
      <c r="AG40" s="13">
        <f t="shared" si="7"/>
        <v>1.6637899774269632E-2</v>
      </c>
      <c r="AH40" s="10"/>
      <c r="AI40" s="13">
        <f t="shared" si="1"/>
        <v>9.4802705586499406E-2</v>
      </c>
      <c r="AJ40" s="10"/>
      <c r="AK40" s="18">
        <v>9.4359430664638602</v>
      </c>
      <c r="AL40" s="10"/>
      <c r="AM40" s="18">
        <v>0.51666941739560901</v>
      </c>
      <c r="AN40" s="10"/>
    </row>
    <row r="41" spans="14:40">
      <c r="S41" s="10"/>
      <c r="T41" s="12">
        <v>35</v>
      </c>
      <c r="U41" s="13">
        <f t="shared" si="2"/>
        <v>8.1631358517987862E-2</v>
      </c>
      <c r="V41" s="13">
        <f t="shared" si="3"/>
        <v>50.95722043994752</v>
      </c>
      <c r="W41" s="13">
        <f t="shared" si="8"/>
        <v>50.95722043994752</v>
      </c>
      <c r="X41" s="13">
        <v>0</v>
      </c>
      <c r="Y41" s="13">
        <v>0</v>
      </c>
      <c r="Z41" s="13">
        <v>0</v>
      </c>
      <c r="AA41" s="13">
        <f t="shared" si="11"/>
        <v>169.22514058640425</v>
      </c>
      <c r="AB41" s="13">
        <f t="shared" si="12"/>
        <v>432.86767783897722</v>
      </c>
      <c r="AC41" s="13">
        <f t="shared" si="4"/>
        <v>653.05003886532904</v>
      </c>
      <c r="AD41" s="13">
        <f t="shared" si="5"/>
        <v>728.84262215726551</v>
      </c>
      <c r="AE41" s="13">
        <f t="shared" si="0"/>
        <v>2.5339364947768631E-2</v>
      </c>
      <c r="AF41" s="13">
        <f t="shared" si="6"/>
        <v>1.7395571256240496E-2</v>
      </c>
      <c r="AG41" s="13">
        <f t="shared" si="7"/>
        <v>1.573480232571246E-2</v>
      </c>
      <c r="AH41" s="10"/>
      <c r="AI41" s="13">
        <f t="shared" si="1"/>
        <v>8.7388963977071799E-2</v>
      </c>
      <c r="AJ41" s="10"/>
      <c r="AK41" s="18">
        <v>9.7695926193294405</v>
      </c>
      <c r="AL41" s="10"/>
      <c r="AM41" s="18">
        <v>0.51666941739560901</v>
      </c>
      <c r="AN41" s="10"/>
    </row>
    <row r="42" spans="14:40">
      <c r="S42" s="10"/>
      <c r="T42" s="12">
        <v>36</v>
      </c>
      <c r="U42" s="13">
        <f t="shared" si="2"/>
        <v>8.2028310029786583E-2</v>
      </c>
      <c r="V42" s="13">
        <f t="shared" si="3"/>
        <v>46.768350254013605</v>
      </c>
      <c r="W42" s="13">
        <f t="shared" si="8"/>
        <v>46.768350254013605</v>
      </c>
      <c r="X42" s="13">
        <v>0</v>
      </c>
      <c r="Y42" s="13">
        <v>0</v>
      </c>
      <c r="Z42" s="13">
        <v>0</v>
      </c>
      <c r="AA42" s="13">
        <f t="shared" si="11"/>
        <v>162.75102809146131</v>
      </c>
      <c r="AB42" s="13">
        <f t="shared" si="12"/>
        <v>443.53066051985405</v>
      </c>
      <c r="AC42" s="13">
        <f t="shared" si="4"/>
        <v>653.05003886532893</v>
      </c>
      <c r="AD42" s="13">
        <f t="shared" si="5"/>
        <v>682.3632451527842</v>
      </c>
      <c r="AE42" s="13">
        <f t="shared" si="0"/>
        <v>2.404117615144263E-2</v>
      </c>
      <c r="AF42" s="13">
        <f t="shared" si="6"/>
        <v>1.6492882024999999E-2</v>
      </c>
      <c r="AG42" s="13">
        <f t="shared" si="7"/>
        <v>1.4874331635013982E-2</v>
      </c>
      <c r="AH42" s="10"/>
      <c r="AI42" s="13">
        <f t="shared" si="1"/>
        <v>8.052264093519157E-2</v>
      </c>
      <c r="AJ42" s="10"/>
      <c r="AK42" s="18">
        <v>10.1032463249575</v>
      </c>
      <c r="AL42" s="10"/>
      <c r="AM42" s="18">
        <v>0.51644454530450501</v>
      </c>
      <c r="AN42" s="10"/>
    </row>
    <row r="43" spans="14:40">
      <c r="S43" s="10"/>
      <c r="T43" s="12">
        <v>37</v>
      </c>
      <c r="U43" s="13">
        <f t="shared" si="2"/>
        <v>8.2416236353336614E-2</v>
      </c>
      <c r="V43" s="13">
        <f t="shared" si="3"/>
        <v>42.905677867801025</v>
      </c>
      <c r="W43" s="13">
        <f t="shared" si="8"/>
        <v>42.905677867801025</v>
      </c>
      <c r="X43" s="13">
        <v>0</v>
      </c>
      <c r="Y43" s="13">
        <v>0</v>
      </c>
      <c r="Z43" s="13">
        <v>0</v>
      </c>
      <c r="AA43" s="13">
        <f t="shared" si="11"/>
        <v>156.35904838461326</v>
      </c>
      <c r="AB43" s="13">
        <f t="shared" si="12"/>
        <v>453.78531261291471</v>
      </c>
      <c r="AC43" s="13">
        <f t="shared" si="4"/>
        <v>653.05003886532904</v>
      </c>
      <c r="AD43" s="13">
        <f t="shared" si="5"/>
        <v>638.72186769780546</v>
      </c>
      <c r="AE43" s="13">
        <f t="shared" si="0"/>
        <v>2.2797134014826047E-2</v>
      </c>
      <c r="AF43" s="13">
        <f t="shared" si="6"/>
        <v>1.5630564909485663E-2</v>
      </c>
      <c r="AG43" s="13">
        <f t="shared" si="7"/>
        <v>1.405509850469466E-2</v>
      </c>
      <c r="AH43" s="10"/>
      <c r="AI43" s="13">
        <f t="shared" si="1"/>
        <v>7.4166709638976258E-2</v>
      </c>
      <c r="AJ43" s="10"/>
      <c r="AK43" s="18">
        <v>10.436891725060599</v>
      </c>
      <c r="AL43" s="10"/>
      <c r="AM43" s="18">
        <v>0.51666941739560901</v>
      </c>
      <c r="AN43" s="10"/>
    </row>
    <row r="44" spans="14:40">
      <c r="S44" s="10"/>
      <c r="T44" s="12">
        <v>38</v>
      </c>
      <c r="U44" s="13">
        <f t="shared" si="2"/>
        <v>8.2795578490569469E-2</v>
      </c>
      <c r="V44" s="13">
        <f t="shared" si="3"/>
        <v>39.345753802178109</v>
      </c>
      <c r="W44" s="13">
        <f t="shared" si="8"/>
        <v>39.345753802178109</v>
      </c>
      <c r="X44" s="13">
        <v>0</v>
      </c>
      <c r="Y44" s="13">
        <v>0</v>
      </c>
      <c r="Z44" s="13">
        <v>0</v>
      </c>
      <c r="AA44" s="13">
        <f t="shared" si="11"/>
        <v>150.06742284329169</v>
      </c>
      <c r="AB44" s="13">
        <f t="shared" si="12"/>
        <v>463.63686221985921</v>
      </c>
      <c r="AC44" s="13">
        <f t="shared" si="4"/>
        <v>653.05003886532904</v>
      </c>
      <c r="AD44" s="13">
        <f t="shared" si="5"/>
        <v>597.76004074900493</v>
      </c>
      <c r="AE44" s="13">
        <f t="shared" si="0"/>
        <v>2.1606196658887477E-2</v>
      </c>
      <c r="AF44" s="13">
        <f t="shared" si="6"/>
        <v>1.4807428244120317E-2</v>
      </c>
      <c r="AG44" s="13">
        <f t="shared" si="7"/>
        <v>1.3275691991415298E-2</v>
      </c>
      <c r="AH44" s="10"/>
      <c r="AI44" s="13">
        <f t="shared" si="1"/>
        <v>6.8286274478457948E-2</v>
      </c>
      <c r="AJ44" s="10"/>
      <c r="AK44" s="18">
        <v>10.770608414253701</v>
      </c>
      <c r="AL44" s="10"/>
      <c r="AM44" s="18">
        <v>0.51303398525609201</v>
      </c>
      <c r="AN44" s="10"/>
    </row>
    <row r="45" spans="14:40">
      <c r="S45" s="10"/>
      <c r="T45" s="12">
        <v>39</v>
      </c>
      <c r="U45" s="13">
        <f t="shared" si="2"/>
        <v>8.3166744970930115E-2</v>
      </c>
      <c r="V45" s="13">
        <f t="shared" si="3"/>
        <v>36.066596127915403</v>
      </c>
      <c r="W45" s="13">
        <f t="shared" si="8"/>
        <v>36.066596127915403</v>
      </c>
      <c r="X45" s="13">
        <v>0</v>
      </c>
      <c r="Y45" s="13">
        <v>0</v>
      </c>
      <c r="Z45" s="13">
        <v>0</v>
      </c>
      <c r="AA45" s="13">
        <f t="shared" si="11"/>
        <v>143.8917622286331</v>
      </c>
      <c r="AB45" s="13">
        <f t="shared" si="12"/>
        <v>473.09168050878048</v>
      </c>
      <c r="AC45" s="13">
        <f t="shared" si="4"/>
        <v>653.05003886532904</v>
      </c>
      <c r="AD45" s="13">
        <f t="shared" si="5"/>
        <v>559.32641690037462</v>
      </c>
      <c r="AE45" s="13">
        <f t="shared" si="0"/>
        <v>2.046720179101439E-2</v>
      </c>
      <c r="AF45" s="13">
        <f t="shared" si="6"/>
        <v>1.4022250696504181E-2</v>
      </c>
      <c r="AG45" s="13">
        <f t="shared" si="7"/>
        <v>1.2534689201847391E-2</v>
      </c>
      <c r="AH45" s="10"/>
      <c r="AI45" s="13">
        <f t="shared" si="1"/>
        <v>6.2848493202903963E-2</v>
      </c>
      <c r="AJ45" s="10"/>
      <c r="AK45" s="18">
        <v>11.013707118535899</v>
      </c>
      <c r="AL45" s="10"/>
      <c r="AM45" s="18">
        <v>0.488965175771579</v>
      </c>
      <c r="AN45" s="10"/>
    </row>
    <row r="46" spans="14:40">
      <c r="S46" s="10"/>
      <c r="T46" s="12">
        <v>40</v>
      </c>
      <c r="U46" s="13">
        <f t="shared" si="2"/>
        <v>8.3530115006050565E-2</v>
      </c>
      <c r="V46" s="13">
        <f t="shared" si="3"/>
        <v>33.047624814013396</v>
      </c>
      <c r="W46" s="13">
        <f t="shared" si="8"/>
        <v>33.047624814013396</v>
      </c>
      <c r="X46" s="13">
        <v>0</v>
      </c>
      <c r="Y46" s="13">
        <v>0</v>
      </c>
      <c r="Z46" s="13">
        <v>0</v>
      </c>
      <c r="AA46" s="13">
        <f t="shared" si="11"/>
        <v>137.84529643854145</v>
      </c>
      <c r="AB46" s="13">
        <f t="shared" si="12"/>
        <v>482.15711761277413</v>
      </c>
      <c r="AC46" s="13">
        <f t="shared" si="4"/>
        <v>653.05003886532904</v>
      </c>
      <c r="AD46" s="13">
        <f t="shared" si="5"/>
        <v>523.27665022042333</v>
      </c>
      <c r="AE46" s="13">
        <f t="shared" si="0"/>
        <v>1.937888716506015E-2</v>
      </c>
      <c r="AF46" s="13">
        <f t="shared" si="6"/>
        <v>1.3273790604151925E-2</v>
      </c>
      <c r="AG46" s="13">
        <f t="shared" si="7"/>
        <v>1.1830663902687026E-2</v>
      </c>
      <c r="AH46" s="10"/>
      <c r="AI46" s="13">
        <f t="shared" si="1"/>
        <v>5.7822495510265644E-2</v>
      </c>
      <c r="AJ46" s="10"/>
      <c r="AK46" s="18">
        <v>11.105170882749301</v>
      </c>
      <c r="AL46" s="10"/>
      <c r="AM46" s="18">
        <v>0.46359960389503202</v>
      </c>
      <c r="AN46" s="10"/>
    </row>
    <row r="47" spans="14:40">
      <c r="S47" s="10"/>
      <c r="T47" s="12">
        <v>41</v>
      </c>
      <c r="U47" s="13">
        <f t="shared" si="2"/>
        <v>8.3886041267429587E-2</v>
      </c>
      <c r="V47" s="13">
        <f t="shared" si="3"/>
        <v>30.26959538976212</v>
      </c>
      <c r="W47" s="13">
        <f t="shared" si="8"/>
        <v>30.26959538976212</v>
      </c>
      <c r="X47" s="13">
        <v>0</v>
      </c>
      <c r="Y47" s="13">
        <v>0</v>
      </c>
      <c r="Z47" s="13">
        <v>0</v>
      </c>
      <c r="AA47" s="13">
        <f t="shared" si="11"/>
        <v>131.93909049377751</v>
      </c>
      <c r="AB47" s="13">
        <f t="shared" si="12"/>
        <v>490.84135298178933</v>
      </c>
      <c r="AC47" s="13">
        <f t="shared" si="4"/>
        <v>653.05003886532893</v>
      </c>
      <c r="AD47" s="13">
        <f t="shared" si="5"/>
        <v>489.47326392111086</v>
      </c>
      <c r="AE47" s="13">
        <f t="shared" si="0"/>
        <v>1.833990906165758E-2</v>
      </c>
      <c r="AF47" s="13">
        <f t="shared" si="6"/>
        <v>1.2560794262428754E-2</v>
      </c>
      <c r="AG47" s="13">
        <f t="shared" si="7"/>
        <v>1.1162194048646965E-2</v>
      </c>
      <c r="AH47" s="10"/>
      <c r="AI47" s="13">
        <f t="shared" si="1"/>
        <v>5.3179299380247985E-2</v>
      </c>
      <c r="AJ47" s="10"/>
      <c r="AK47" s="18">
        <v>11.4389554003971</v>
      </c>
      <c r="AL47" s="10"/>
      <c r="AM47" s="18">
        <v>0.45629126093414701</v>
      </c>
      <c r="AN47" s="10"/>
    </row>
    <row r="48" spans="14:40">
      <c r="S48" s="10"/>
      <c r="T48" s="12">
        <v>42</v>
      </c>
      <c r="U48" s="13">
        <f t="shared" si="2"/>
        <v>8.4234852340191263E-2</v>
      </c>
      <c r="V48" s="13">
        <f t="shared" si="3"/>
        <v>27.714532622623011</v>
      </c>
      <c r="W48" s="13">
        <f t="shared" si="8"/>
        <v>27.714532622623011</v>
      </c>
      <c r="X48" s="13">
        <v>0</v>
      </c>
      <c r="Y48" s="13">
        <v>0</v>
      </c>
      <c r="Z48" s="13">
        <v>0</v>
      </c>
      <c r="AA48" s="13">
        <f t="shared" si="11"/>
        <v>126.18224692184342</v>
      </c>
      <c r="AB48" s="13">
        <f t="shared" si="12"/>
        <v>499.15325932086256</v>
      </c>
      <c r="AC48" s="13">
        <f t="shared" si="4"/>
        <v>653.05003886532904</v>
      </c>
      <c r="AD48" s="13">
        <f t="shared" si="5"/>
        <v>457.78549196129535</v>
      </c>
      <c r="AE48" s="13">
        <f t="shared" si="0"/>
        <v>1.7348858923737345E-2</v>
      </c>
      <c r="AF48" s="13">
        <f t="shared" si="6"/>
        <v>1.1882003249728759E-2</v>
      </c>
      <c r="AG48" s="13">
        <f t="shared" si="7"/>
        <v>1.0527868325428265E-2</v>
      </c>
      <c r="AH48" s="10"/>
      <c r="AI48" s="13">
        <f t="shared" si="1"/>
        <v>4.8891726238675624E-2</v>
      </c>
      <c r="AJ48" s="10"/>
      <c r="AK48" s="18">
        <v>11.772677626607001</v>
      </c>
      <c r="AL48" s="10"/>
      <c r="AM48" s="18">
        <v>0.45235599933982501</v>
      </c>
      <c r="AN48" s="10"/>
    </row>
    <row r="49" spans="19:40">
      <c r="S49" s="10"/>
      <c r="T49" s="12">
        <v>43</v>
      </c>
      <c r="U49" s="13">
        <f t="shared" si="2"/>
        <v>8.4576854897448636E-2</v>
      </c>
      <c r="V49" s="13">
        <f t="shared" si="3"/>
        <v>25.36566478768388</v>
      </c>
      <c r="W49" s="13">
        <f t="shared" si="8"/>
        <v>25.36566478768388</v>
      </c>
      <c r="X49" s="13">
        <v>0</v>
      </c>
      <c r="Y49" s="13">
        <v>0</v>
      </c>
      <c r="Z49" s="13">
        <v>0</v>
      </c>
      <c r="AA49" s="13">
        <f t="shared" si="11"/>
        <v>120.58209481927449</v>
      </c>
      <c r="AB49" s="13">
        <f t="shared" si="12"/>
        <v>507.10227925837063</v>
      </c>
      <c r="AC49" s="13">
        <f t="shared" si="4"/>
        <v>653.05003886532904</v>
      </c>
      <c r="AD49" s="13">
        <f t="shared" si="5"/>
        <v>428.08909987307032</v>
      </c>
      <c r="AE49" s="13">
        <f t="shared" si="0"/>
        <v>1.6404278278281535E-2</v>
      </c>
      <c r="AF49" s="13">
        <f t="shared" si="6"/>
        <v>1.1236160870771372E-2</v>
      </c>
      <c r="AG49" s="13">
        <f t="shared" si="7"/>
        <v>9.9262917980716438E-3</v>
      </c>
      <c r="AH49" s="10"/>
      <c r="AI49" s="13">
        <f t="shared" si="1"/>
        <v>4.4934315857421671E-2</v>
      </c>
      <c r="AJ49" s="10"/>
      <c r="AK49" s="18">
        <v>12.106545199505501</v>
      </c>
      <c r="AL49" s="10"/>
      <c r="AM49" s="18">
        <v>0.440550214556857</v>
      </c>
      <c r="AN49" s="10"/>
    </row>
    <row r="50" spans="19:40">
      <c r="S50" s="10"/>
      <c r="T50" s="12">
        <v>44</v>
      </c>
      <c r="U50" s="13">
        <f t="shared" si="2"/>
        <v>8.4912335632791519E-2</v>
      </c>
      <c r="V50" s="13">
        <f t="shared" si="3"/>
        <v>23.20735899630634</v>
      </c>
      <c r="W50" s="13">
        <f t="shared" si="8"/>
        <v>23.20735899630634</v>
      </c>
      <c r="X50" s="13">
        <v>0</v>
      </c>
      <c r="Y50" s="13">
        <v>0</v>
      </c>
      <c r="Z50" s="13">
        <v>0</v>
      </c>
      <c r="AA50" s="13">
        <f t="shared" si="11"/>
        <v>115.14436596331338</v>
      </c>
      <c r="AB50" s="13">
        <f t="shared" si="12"/>
        <v>514.69831390570926</v>
      </c>
      <c r="AC50" s="13">
        <f t="shared" si="4"/>
        <v>653.05003886532904</v>
      </c>
      <c r="AD50" s="13">
        <f t="shared" si="5"/>
        <v>400.26618938444926</v>
      </c>
      <c r="AE50" s="13">
        <f t="shared" si="0"/>
        <v>1.5504672070684971E-2</v>
      </c>
      <c r="AF50" s="13">
        <f t="shared" si="6"/>
        <v>1.0622017793846111E-2</v>
      </c>
      <c r="AG50" s="13">
        <f t="shared" si="7"/>
        <v>9.3560907487422375E-3</v>
      </c>
      <c r="AH50" s="10"/>
      <c r="AI50" s="13">
        <f t="shared" si="1"/>
        <v>4.1283241736785228E-2</v>
      </c>
      <c r="AJ50" s="10"/>
      <c r="AK50" s="18">
        <v>12.4402051342774</v>
      </c>
      <c r="AL50" s="10"/>
      <c r="AM50" s="18">
        <v>0.439988034329097</v>
      </c>
      <c r="AN50" s="10"/>
    </row>
    <row r="51" spans="19:40">
      <c r="S51" s="10"/>
      <c r="T51" s="12">
        <v>45</v>
      </c>
      <c r="U51" s="13">
        <f t="shared" si="2"/>
        <v>8.5241562982648178E-2</v>
      </c>
      <c r="V51" s="13">
        <f t="shared" si="3"/>
        <v>21.225057959117247</v>
      </c>
      <c r="W51" s="13">
        <f t="shared" si="8"/>
        <v>21.225057959117247</v>
      </c>
      <c r="X51" s="13">
        <v>0</v>
      </c>
      <c r="Y51" s="13">
        <v>0</v>
      </c>
      <c r="Z51" s="13">
        <v>0</v>
      </c>
      <c r="AA51" s="13">
        <f t="shared" si="11"/>
        <v>109.87335841297228</v>
      </c>
      <c r="AB51" s="13">
        <f t="shared" si="12"/>
        <v>521.95162249323948</v>
      </c>
      <c r="AC51" s="13">
        <f t="shared" si="4"/>
        <v>653.05003886532904</v>
      </c>
      <c r="AD51" s="13">
        <f t="shared" si="5"/>
        <v>374.20499078387439</v>
      </c>
      <c r="AE51" s="13">
        <f t="shared" si="0"/>
        <v>1.4648520532892168E-2</v>
      </c>
      <c r="AF51" s="13">
        <f t="shared" si="6"/>
        <v>1.0038336952936834E-2</v>
      </c>
      <c r="AG51" s="13">
        <f t="shared" si="7"/>
        <v>8.8159167819255452E-3</v>
      </c>
      <c r="AH51" s="10"/>
      <c r="AI51" s="13">
        <f t="shared" si="1"/>
        <v>3.7916227582146994E-2</v>
      </c>
      <c r="AJ51" s="10"/>
      <c r="AK51" s="18">
        <v>12.7739536613167</v>
      </c>
      <c r="AL51" s="10"/>
      <c r="AM51" s="18">
        <v>0.434628582824448</v>
      </c>
      <c r="AN51" s="10"/>
    </row>
    <row r="52" spans="19:40">
      <c r="S52" s="10"/>
      <c r="T52" s="12">
        <v>46</v>
      </c>
      <c r="U52" s="13">
        <f t="shared" si="2"/>
        <v>8.5564788665495065E-2</v>
      </c>
      <c r="V52" s="13">
        <f t="shared" si="3"/>
        <v>19.405218479531168</v>
      </c>
      <c r="W52" s="13">
        <f t="shared" si="8"/>
        <v>19.405218479531168</v>
      </c>
      <c r="X52" s="13">
        <v>0</v>
      </c>
      <c r="Y52" s="13">
        <v>0</v>
      </c>
      <c r="Z52" s="13">
        <v>0</v>
      </c>
      <c r="AA52" s="13">
        <f t="shared" si="11"/>
        <v>104.77208809068537</v>
      </c>
      <c r="AB52" s="13">
        <f t="shared" si="12"/>
        <v>528.87273229511254</v>
      </c>
      <c r="AC52" s="13">
        <f t="shared" si="4"/>
        <v>653.05003886532904</v>
      </c>
      <c r="AD52" s="13">
        <f t="shared" si="5"/>
        <v>349.79964642020104</v>
      </c>
      <c r="AE52" s="13">
        <f t="shared" si="0"/>
        <v>1.383428970089281E-2</v>
      </c>
      <c r="AF52" s="13">
        <f t="shared" si="6"/>
        <v>9.4838977809231402E-3</v>
      </c>
      <c r="AG52" s="13">
        <f t="shared" si="7"/>
        <v>8.3044502692180451E-3</v>
      </c>
      <c r="AH52" s="10"/>
      <c r="AI52" s="13">
        <f t="shared" si="1"/>
        <v>3.4812465370907937E-2</v>
      </c>
      <c r="AJ52" s="10"/>
      <c r="AK52" s="18">
        <v>12.926088732419901</v>
      </c>
      <c r="AL52" s="10"/>
      <c r="AM52" s="18">
        <v>0.40884324971117297</v>
      </c>
      <c r="AN52" s="10"/>
    </row>
    <row r="53" spans="19:40">
      <c r="S53" s="10"/>
      <c r="T53" s="12">
        <v>47</v>
      </c>
      <c r="U53" s="13">
        <f t="shared" si="2"/>
        <v>8.5882249060918806E-2</v>
      </c>
      <c r="V53" s="13">
        <f t="shared" si="3"/>
        <v>17.735251906685527</v>
      </c>
      <c r="W53" s="13">
        <f t="shared" si="8"/>
        <v>17.735251906685527</v>
      </c>
      <c r="X53" s="13">
        <v>0</v>
      </c>
      <c r="Y53" s="13">
        <v>0</v>
      </c>
      <c r="Z53" s="13">
        <v>0</v>
      </c>
      <c r="AA53" s="13">
        <f t="shared" si="11"/>
        <v>99.842428872082564</v>
      </c>
      <c r="AB53" s="13">
        <f t="shared" si="12"/>
        <v>535.47235808656103</v>
      </c>
      <c r="AC53" s="13">
        <f t="shared" si="4"/>
        <v>653.05003886532916</v>
      </c>
      <c r="AD53" s="13">
        <f t="shared" si="5"/>
        <v>326.94998824694204</v>
      </c>
      <c r="AE53" s="13">
        <f t="shared" si="0"/>
        <v>1.3060440691330362E-2</v>
      </c>
      <c r="AF53" s="13">
        <f t="shared" si="6"/>
        <v>8.9574998355039688E-3</v>
      </c>
      <c r="AG53" s="13">
        <f t="shared" si="7"/>
        <v>7.8204032003908359E-3</v>
      </c>
      <c r="AH53" s="10"/>
      <c r="AI53" s="13">
        <f t="shared" si="1"/>
        <v>3.195253540645946E-2</v>
      </c>
      <c r="AJ53" s="10"/>
      <c r="AK53" s="18">
        <v>13.2598877847366</v>
      </c>
      <c r="AL53" s="10"/>
      <c r="AM53" s="18">
        <v>0.40074785443142402</v>
      </c>
      <c r="AN53" s="10"/>
    </row>
    <row r="54" spans="19:40">
      <c r="S54" s="10"/>
      <c r="T54" s="12">
        <v>48</v>
      </c>
      <c r="U54" s="13">
        <f t="shared" si="2"/>
        <v>8.6194166448221185E-2</v>
      </c>
      <c r="V54" s="13">
        <f t="shared" si="3"/>
        <v>16.203466719443654</v>
      </c>
      <c r="W54" s="13">
        <f t="shared" si="8"/>
        <v>16.203466719443654</v>
      </c>
      <c r="X54" s="13">
        <v>0</v>
      </c>
      <c r="Y54" s="13">
        <v>0</v>
      </c>
      <c r="Z54" s="13">
        <v>0</v>
      </c>
      <c r="AA54" s="13">
        <f t="shared" si="11"/>
        <v>95.085241735389275</v>
      </c>
      <c r="AB54" s="13">
        <f t="shared" si="12"/>
        <v>541.76133041049616</v>
      </c>
      <c r="AC54" s="13">
        <f t="shared" si="4"/>
        <v>653.05003886532904</v>
      </c>
      <c r="AD54" s="13">
        <f t="shared" si="5"/>
        <v>305.56131189361099</v>
      </c>
      <c r="AE54" s="13">
        <f t="shared" si="0"/>
        <v>1.2325437841020182E-2</v>
      </c>
      <c r="AF54" s="13">
        <f t="shared" si="6"/>
        <v>8.4579658751271249E-3</v>
      </c>
      <c r="AG54" s="13">
        <f t="shared" si="7"/>
        <v>7.362521502190778E-3</v>
      </c>
      <c r="AH54" s="10"/>
      <c r="AI54" s="13">
        <f t="shared" si="1"/>
        <v>2.9318328671017958E-2</v>
      </c>
      <c r="AJ54" s="10"/>
      <c r="AK54" s="18">
        <v>13.593543566746</v>
      </c>
      <c r="AL54" s="10"/>
      <c r="AM54" s="18">
        <v>0.40041054629476802</v>
      </c>
      <c r="AN54" s="10"/>
    </row>
    <row r="55" spans="19:40">
      <c r="S55" s="10"/>
      <c r="T55" s="12">
        <v>49</v>
      </c>
      <c r="U55" s="13">
        <f t="shared" si="2"/>
        <v>8.650075012147955E-2</v>
      </c>
      <c r="V55" s="13">
        <f t="shared" si="3"/>
        <v>14.799013364614494</v>
      </c>
      <c r="W55" s="13">
        <f t="shared" si="8"/>
        <v>14.799013364614494</v>
      </c>
      <c r="X55" s="13">
        <v>0</v>
      </c>
      <c r="Y55" s="13">
        <v>0</v>
      </c>
      <c r="Z55" s="13">
        <v>0</v>
      </c>
      <c r="AA55" s="13">
        <f t="shared" si="11"/>
        <v>90.500493535712067</v>
      </c>
      <c r="AB55" s="13">
        <f t="shared" si="12"/>
        <v>547.75053196500255</v>
      </c>
      <c r="AC55" s="13">
        <f t="shared" si="4"/>
        <v>653.05003886532916</v>
      </c>
      <c r="AD55" s="13">
        <f t="shared" si="5"/>
        <v>285.5441493730429</v>
      </c>
      <c r="AE55" s="13">
        <f t="shared" si="0"/>
        <v>1.1627755807175417E-2</v>
      </c>
      <c r="AF55" s="13">
        <f t="shared" si="6"/>
        <v>7.9841444380463183E-3</v>
      </c>
      <c r="AG55" s="13">
        <f t="shared" si="7"/>
        <v>6.929586881421524E-3</v>
      </c>
      <c r="AH55" s="10"/>
      <c r="AI55" s="13">
        <f t="shared" si="1"/>
        <v>2.6892971716633268E-2</v>
      </c>
      <c r="AJ55" s="10"/>
      <c r="AK55" s="18">
        <v>13.9273903758318</v>
      </c>
      <c r="AL55" s="10"/>
      <c r="AM55" s="18">
        <v>0.38972912196732101</v>
      </c>
      <c r="AN55" s="10"/>
    </row>
    <row r="56" spans="19:40">
      <c r="S56" s="10"/>
      <c r="T56" s="12">
        <v>50</v>
      </c>
      <c r="U56" s="13">
        <f t="shared" si="2"/>
        <v>8.6802197395637729E-2</v>
      </c>
      <c r="V56" s="13">
        <f t="shared" si="3"/>
        <v>13.51183143157804</v>
      </c>
      <c r="W56" s="13">
        <f t="shared" si="8"/>
        <v>13.51183143157804</v>
      </c>
      <c r="X56" s="13">
        <v>0</v>
      </c>
      <c r="Y56" s="13">
        <v>0</v>
      </c>
      <c r="Z56" s="13">
        <v>0</v>
      </c>
      <c r="AA56" s="13">
        <f t="shared" si="11"/>
        <v>86.087365974820287</v>
      </c>
      <c r="AB56" s="13">
        <f t="shared" si="12"/>
        <v>553.45084145893077</v>
      </c>
      <c r="AC56" s="13">
        <f t="shared" si="4"/>
        <v>653.05003886532904</v>
      </c>
      <c r="AD56" s="13">
        <f t="shared" si="5"/>
        <v>266.8140422055144</v>
      </c>
      <c r="AE56" s="13">
        <f t="shared" si="0"/>
        <v>1.096588572017658E-2</v>
      </c>
      <c r="AF56" s="13">
        <f t="shared" si="6"/>
        <v>7.5349119736684055E-3</v>
      </c>
      <c r="AG56" s="13">
        <f t="shared" si="7"/>
        <v>6.5204182442132269E-3</v>
      </c>
      <c r="AH56" s="10"/>
      <c r="AI56" s="13">
        <f t="shared" si="1"/>
        <v>2.4660754271908912E-2</v>
      </c>
      <c r="AJ56" s="10"/>
      <c r="AK56" s="18">
        <v>14.261116754804201</v>
      </c>
      <c r="AL56" s="10"/>
      <c r="AM56" s="18">
        <v>0.38556898828189401</v>
      </c>
      <c r="AN56" s="10"/>
    </row>
    <row r="57" spans="19:40">
      <c r="S57" s="10"/>
      <c r="T57" s="12">
        <v>51</v>
      </c>
      <c r="U57" s="13">
        <f t="shared" si="2"/>
        <v>8.7098694516227523E-2</v>
      </c>
      <c r="V57" s="13">
        <f t="shared" si="3"/>
        <v>12.332599211078179</v>
      </c>
      <c r="W57" s="13">
        <f t="shared" si="8"/>
        <v>12.332599211078179</v>
      </c>
      <c r="X57" s="13">
        <v>0</v>
      </c>
      <c r="Y57" s="13">
        <v>0</v>
      </c>
      <c r="Z57" s="13">
        <v>0</v>
      </c>
      <c r="AA57" s="13">
        <f t="shared" si="11"/>
        <v>81.844355335522835</v>
      </c>
      <c r="AB57" s="13">
        <f t="shared" si="12"/>
        <v>558.87308431872816</v>
      </c>
      <c r="AC57" s="13">
        <f t="shared" si="4"/>
        <v>653.05003886532916</v>
      </c>
      <c r="AD57" s="13">
        <f t="shared" si="5"/>
        <v>249.29131645300799</v>
      </c>
      <c r="AE57" s="13">
        <f t="shared" si="0"/>
        <v>1.0338340474851122E-2</v>
      </c>
      <c r="AF57" s="13">
        <f t="shared" si="6"/>
        <v>7.1091745716001667E-3</v>
      </c>
      <c r="AG57" s="13">
        <f t="shared" si="7"/>
        <v>6.1338727390396605E-3</v>
      </c>
      <c r="AH57" s="10"/>
      <c r="AI57" s="13">
        <f t="shared" si="1"/>
        <v>2.2607059689512009E-2</v>
      </c>
      <c r="AJ57" s="10"/>
      <c r="AK57" s="18">
        <v>14.5948099116764</v>
      </c>
      <c r="AL57" s="10"/>
      <c r="AM57" s="18">
        <v>0.38320783132530101</v>
      </c>
      <c r="AN57" s="10"/>
    </row>
    <row r="58" spans="19:40">
      <c r="S58" s="10"/>
      <c r="T58" s="12">
        <v>52</v>
      </c>
      <c r="U58" s="13">
        <f t="shared" si="2"/>
        <v>8.7390417483647398E-2</v>
      </c>
      <c r="V58" s="13">
        <f t="shared" si="3"/>
        <v>11.252685657169099</v>
      </c>
      <c r="W58" s="13">
        <f t="shared" si="8"/>
        <v>11.252685657169099</v>
      </c>
      <c r="X58" s="13">
        <v>0</v>
      </c>
      <c r="Y58" s="13">
        <v>0</v>
      </c>
      <c r="Z58" s="13">
        <v>0</v>
      </c>
      <c r="AA58" s="13">
        <f t="shared" si="11"/>
        <v>77.769363542676587</v>
      </c>
      <c r="AB58" s="13">
        <f t="shared" si="12"/>
        <v>564.02798966548357</v>
      </c>
      <c r="AC58" s="13">
        <f t="shared" si="4"/>
        <v>653.05003886532927</v>
      </c>
      <c r="AD58" s="13">
        <f t="shared" si="5"/>
        <v>232.90086090539447</v>
      </c>
      <c r="AE58" s="13">
        <f t="shared" si="0"/>
        <v>9.7436592405007339E-3</v>
      </c>
      <c r="AF58" s="13">
        <f t="shared" si="6"/>
        <v>6.7058693302553896E-3</v>
      </c>
      <c r="AG58" s="13">
        <f t="shared" si="7"/>
        <v>5.7688464669679107E-3</v>
      </c>
      <c r="AH58" s="10"/>
      <c r="AI58" s="13">
        <f t="shared" si="1"/>
        <v>2.0718298315173491E-2</v>
      </c>
      <c r="AJ58" s="10"/>
      <c r="AK58" s="18">
        <v>14.9287231649628</v>
      </c>
      <c r="AL58" s="10"/>
      <c r="AM58" s="18">
        <v>0.36892845354018799</v>
      </c>
      <c r="AN58" s="10"/>
    </row>
    <row r="59" spans="19:40">
      <c r="S59" s="10"/>
      <c r="T59" s="12">
        <v>53</v>
      </c>
      <c r="U59" s="13">
        <f t="shared" si="2"/>
        <v>8.7677532801501146E-2</v>
      </c>
      <c r="V59" s="13">
        <f t="shared" si="3"/>
        <v>10.264104747413199</v>
      </c>
      <c r="W59" s="13">
        <f t="shared" si="8"/>
        <v>10.264104747413199</v>
      </c>
      <c r="X59" s="13">
        <v>0</v>
      </c>
      <c r="Y59" s="13">
        <v>0</v>
      </c>
      <c r="Z59" s="13">
        <v>0</v>
      </c>
      <c r="AA59" s="13">
        <f t="shared" si="11"/>
        <v>73.859781101363893</v>
      </c>
      <c r="AB59" s="13">
        <f t="shared" si="12"/>
        <v>568.92615301655212</v>
      </c>
      <c r="AC59" s="13">
        <f t="shared" si="4"/>
        <v>653.05003886532927</v>
      </c>
      <c r="AD59" s="13">
        <f t="shared" si="5"/>
        <v>217.57190944050157</v>
      </c>
      <c r="AE59" s="13">
        <f t="shared" si="0"/>
        <v>9.1804112643610759E-3</v>
      </c>
      <c r="AF59" s="13">
        <f t="shared" si="6"/>
        <v>6.3239654035376859E-3</v>
      </c>
      <c r="AG59" s="13">
        <f t="shared" si="7"/>
        <v>5.4242748988204276E-3</v>
      </c>
      <c r="AH59" s="10"/>
      <c r="AI59" s="13">
        <f t="shared" si="1"/>
        <v>1.898184382151033E-2</v>
      </c>
      <c r="AJ59" s="10"/>
      <c r="AK59" s="18">
        <v>15.2623768705909</v>
      </c>
      <c r="AL59" s="10"/>
      <c r="AM59" s="18">
        <v>0.36870358144908399</v>
      </c>
      <c r="AN59" s="10"/>
    </row>
    <row r="60" spans="19:40">
      <c r="S60" s="10"/>
      <c r="T60" s="12">
        <v>54</v>
      </c>
      <c r="U60" s="13">
        <f t="shared" si="2"/>
        <v>8.7960198157283717E-2</v>
      </c>
      <c r="V60" s="13">
        <f t="shared" si="3"/>
        <v>9.3594722167617199</v>
      </c>
      <c r="W60" s="13">
        <f t="shared" si="8"/>
        <v>9.3594722167617199</v>
      </c>
      <c r="X60" s="13">
        <v>0</v>
      </c>
      <c r="Y60" s="13">
        <v>0</v>
      </c>
      <c r="Z60" s="13">
        <v>0</v>
      </c>
      <c r="AA60" s="13">
        <f t="shared" si="11"/>
        <v>70.11256244778275</v>
      </c>
      <c r="AB60" s="13">
        <f t="shared" si="12"/>
        <v>573.57800420078468</v>
      </c>
      <c r="AC60" s="13">
        <f t="shared" si="4"/>
        <v>653.05003886532916</v>
      </c>
      <c r="AD60" s="13">
        <f t="shared" si="5"/>
        <v>203.23782838836797</v>
      </c>
      <c r="AE60" s="13">
        <f t="shared" si="0"/>
        <v>8.6471990378289773E-3</v>
      </c>
      <c r="AF60" s="13">
        <f t="shared" si="6"/>
        <v>5.9624647609684044E-3</v>
      </c>
      <c r="AG60" s="13">
        <f t="shared" si="7"/>
        <v>5.0991330353825724E-3</v>
      </c>
      <c r="AH60" s="10"/>
      <c r="AI60" s="13">
        <f t="shared" si="1"/>
        <v>1.7385972518708295E-2</v>
      </c>
      <c r="AJ60" s="10"/>
      <c r="AK60" s="18">
        <v>15.596018117931401</v>
      </c>
      <c r="AL60" s="10"/>
      <c r="AM60" s="18">
        <v>0.369153325631292</v>
      </c>
      <c r="AN60" s="10"/>
    </row>
    <row r="61" spans="19:40">
      <c r="S61" s="10"/>
      <c r="T61" s="12">
        <v>55</v>
      </c>
      <c r="U61" s="13">
        <f t="shared" si="2"/>
        <v>8.8238563042662144E-2</v>
      </c>
      <c r="V61" s="13">
        <f t="shared" si="3"/>
        <v>8.5319646245243987</v>
      </c>
      <c r="W61" s="13">
        <f t="shared" si="8"/>
        <v>8.5319646245243987</v>
      </c>
      <c r="X61" s="13">
        <v>0</v>
      </c>
      <c r="Y61" s="13">
        <v>0</v>
      </c>
      <c r="Z61" s="13">
        <v>0</v>
      </c>
      <c r="AA61" s="13">
        <f t="shared" si="11"/>
        <v>66.524294230706644</v>
      </c>
      <c r="AB61" s="13">
        <f t="shared" si="12"/>
        <v>577.99378001009813</v>
      </c>
      <c r="AC61" s="13">
        <f t="shared" si="4"/>
        <v>653.05003886532916</v>
      </c>
      <c r="AD61" s="13">
        <f t="shared" si="5"/>
        <v>189.8359095632014</v>
      </c>
      <c r="AE61" s="13">
        <f t="shared" si="0"/>
        <v>8.1426608896656687E-3</v>
      </c>
      <c r="AF61" s="13">
        <f t="shared" si="6"/>
        <v>5.6204026936776787E-3</v>
      </c>
      <c r="AG61" s="13">
        <f t="shared" si="7"/>
        <v>4.7924353434903814E-3</v>
      </c>
      <c r="AH61" s="10"/>
      <c r="AI61" s="13">
        <f t="shared" si="1"/>
        <v>1.5919805628078092E-2</v>
      </c>
      <c r="AJ61" s="10"/>
      <c r="AK61" s="18">
        <v>15.929669747178201</v>
      </c>
      <c r="AL61" s="10"/>
      <c r="AM61" s="18">
        <v>0.36904088958574</v>
      </c>
      <c r="AN61" s="10"/>
    </row>
    <row r="62" spans="19:40">
      <c r="S62" s="10"/>
      <c r="T62" s="12">
        <v>56</v>
      </c>
      <c r="U62" s="13">
        <f t="shared" si="2"/>
        <v>8.851276931970542E-2</v>
      </c>
      <c r="V62" s="13">
        <f t="shared" si="3"/>
        <v>7.7752807009454248</v>
      </c>
      <c r="W62" s="13">
        <f t="shared" si="8"/>
        <v>7.7752807009454248</v>
      </c>
      <c r="X62" s="13">
        <v>0</v>
      </c>
      <c r="Y62" s="13">
        <v>0</v>
      </c>
      <c r="Z62" s="13">
        <v>0</v>
      </c>
      <c r="AA62" s="13">
        <f t="shared" si="11"/>
        <v>63.091257021663431</v>
      </c>
      <c r="AB62" s="13">
        <f t="shared" si="12"/>
        <v>582.18350114272039</v>
      </c>
      <c r="AC62" s="13">
        <f t="shared" si="4"/>
        <v>653.05003886532927</v>
      </c>
      <c r="AD62" s="13">
        <f t="shared" si="5"/>
        <v>177.307169481823</v>
      </c>
      <c r="AE62" s="13">
        <f t="shared" si="0"/>
        <v>7.6654730654941933E-3</v>
      </c>
      <c r="AF62" s="13">
        <f t="shared" si="6"/>
        <v>5.2968480959142564E-3</v>
      </c>
      <c r="AG62" s="13">
        <f t="shared" si="7"/>
        <v>4.5032354977724929E-3</v>
      </c>
      <c r="AH62" s="10"/>
      <c r="AI62" s="13">
        <f t="shared" si="1"/>
        <v>1.4573254483033059E-2</v>
      </c>
      <c r="AJ62" s="10"/>
      <c r="AK62" s="18">
        <v>16.263319300043801</v>
      </c>
      <c r="AL62" s="10"/>
      <c r="AM62" s="18">
        <v>0.36904088958574</v>
      </c>
      <c r="AN62" s="10"/>
    </row>
    <row r="63" spans="19:40">
      <c r="S63" s="10"/>
      <c r="T63" s="12">
        <v>57</v>
      </c>
      <c r="U63" s="13">
        <f t="shared" si="2"/>
        <v>8.8782951738648364E-2</v>
      </c>
      <c r="V63" s="13">
        <f t="shared" si="3"/>
        <v>7.0836049097085461</v>
      </c>
      <c r="W63" s="13">
        <f t="shared" si="8"/>
        <v>7.0836049097085461</v>
      </c>
      <c r="X63" s="13">
        <v>0</v>
      </c>
      <c r="Y63" s="13">
        <v>0</v>
      </c>
      <c r="Z63" s="13">
        <v>0</v>
      </c>
      <c r="AA63" s="13">
        <f t="shared" si="11"/>
        <v>59.809480930824243</v>
      </c>
      <c r="AB63" s="13">
        <f t="shared" si="12"/>
        <v>586.15695302479651</v>
      </c>
      <c r="AC63" s="13">
        <f t="shared" si="4"/>
        <v>653.05003886532927</v>
      </c>
      <c r="AD63" s="13">
        <f t="shared" si="5"/>
        <v>165.59615516212301</v>
      </c>
      <c r="AE63" s="13">
        <f t="shared" si="0"/>
        <v>7.2143513482641856E-3</v>
      </c>
      <c r="AF63" s="13">
        <f t="shared" si="6"/>
        <v>4.990903549149806E-3</v>
      </c>
      <c r="AG63" s="13">
        <f t="shared" si="7"/>
        <v>4.2306259549852549E-3</v>
      </c>
      <c r="AH63" s="10"/>
      <c r="AI63" s="13">
        <f t="shared" si="1"/>
        <v>1.3336968604509433E-2</v>
      </c>
      <c r="AJ63" s="10"/>
      <c r="AK63" s="18">
        <v>16.6021167211631</v>
      </c>
      <c r="AL63" s="10"/>
      <c r="AM63" s="18">
        <v>0.36402811588820999</v>
      </c>
      <c r="AN63" s="10"/>
    </row>
    <row r="64" spans="19:40">
      <c r="S64" s="10"/>
      <c r="T64" s="12">
        <v>58</v>
      </c>
      <c r="U64" s="13">
        <f t="shared" si="2"/>
        <v>8.904923841210996E-2</v>
      </c>
      <c r="V64" s="13">
        <f t="shared" si="3"/>
        <v>6.4515731548093047</v>
      </c>
      <c r="W64" s="13">
        <f t="shared" si="8"/>
        <v>6.4515731548093047</v>
      </c>
      <c r="X64" s="13">
        <v>0</v>
      </c>
      <c r="Y64" s="13">
        <v>0</v>
      </c>
      <c r="Z64" s="13">
        <v>0</v>
      </c>
      <c r="AA64" s="13">
        <f t="shared" si="11"/>
        <v>56.674795583459201</v>
      </c>
      <c r="AB64" s="13">
        <f t="shared" si="12"/>
        <v>589.92367012706075</v>
      </c>
      <c r="AC64" s="13">
        <f t="shared" si="4"/>
        <v>653.05003886532927</v>
      </c>
      <c r="AD64" s="13">
        <f t="shared" si="5"/>
        <v>154.65075678704002</v>
      </c>
      <c r="AE64" s="13">
        <f t="shared" si="0"/>
        <v>6.7880522699611916E-3</v>
      </c>
      <c r="AF64" s="13">
        <f t="shared" si="6"/>
        <v>4.701705233448923E-3</v>
      </c>
      <c r="AG64" s="13">
        <f t="shared" si="7"/>
        <v>3.9737373852600502E-3</v>
      </c>
      <c r="AH64" s="10"/>
      <c r="AI64" s="13">
        <f t="shared" si="1"/>
        <v>1.2202286583731729E-2</v>
      </c>
      <c r="AJ64" s="10"/>
      <c r="AK64" s="18">
        <v>16.931002536309201</v>
      </c>
      <c r="AL64" s="10"/>
      <c r="AM64" s="18">
        <v>0.34824022115860698</v>
      </c>
      <c r="AN64" s="10"/>
    </row>
    <row r="65" spans="19:40">
      <c r="S65" s="10"/>
      <c r="T65" s="12">
        <v>59</v>
      </c>
      <c r="U65" s="13">
        <f t="shared" si="2"/>
        <v>8.931175125011187E-2</v>
      </c>
      <c r="V65" s="13">
        <f t="shared" si="3"/>
        <v>5.8742405543206342</v>
      </c>
      <c r="W65" s="13">
        <f t="shared" si="8"/>
        <v>5.8742405543206342</v>
      </c>
      <c r="X65" s="13">
        <v>0</v>
      </c>
      <c r="Y65" s="13">
        <v>0</v>
      </c>
      <c r="Z65" s="13">
        <v>0</v>
      </c>
      <c r="AA65" s="13">
        <f t="shared" si="11"/>
        <v>53.68287488910412</v>
      </c>
      <c r="AB65" s="13">
        <f t="shared" si="12"/>
        <v>593.49292342190449</v>
      </c>
      <c r="AC65" s="13">
        <f t="shared" si="4"/>
        <v>653.05003886532927</v>
      </c>
      <c r="AD65" s="13">
        <f t="shared" si="5"/>
        <v>144.42202742677506</v>
      </c>
      <c r="AE65" s="13">
        <f t="shared" si="0"/>
        <v>6.3853739606920925E-3</v>
      </c>
      <c r="AF65" s="13">
        <f t="shared" si="6"/>
        <v>4.4284226885395461E-3</v>
      </c>
      <c r="AG65" s="13">
        <f t="shared" si="7"/>
        <v>3.7317379821646926E-3</v>
      </c>
      <c r="AH65" s="10"/>
      <c r="AI65" s="13">
        <f t="shared" si="1"/>
        <v>1.1161189694034632E-2</v>
      </c>
      <c r="AJ65" s="10"/>
      <c r="AK65" s="18">
        <v>17.264647936412199</v>
      </c>
      <c r="AL65" s="10"/>
      <c r="AM65" s="18">
        <v>0.34846509324971098</v>
      </c>
      <c r="AN65" s="10"/>
    </row>
    <row r="66" spans="19:40">
      <c r="S66" s="10"/>
      <c r="T66" s="12">
        <v>60</v>
      </c>
      <c r="U66" s="13">
        <f t="shared" si="2"/>
        <v>8.9570606359742191E-2</v>
      </c>
      <c r="V66" s="13">
        <f t="shared" si="3"/>
        <v>5.3470511993463141</v>
      </c>
      <c r="W66" s="13">
        <f t="shared" si="8"/>
        <v>5.3470511993463141</v>
      </c>
      <c r="X66" s="13">
        <v>0</v>
      </c>
      <c r="Y66" s="13">
        <v>0</v>
      </c>
      <c r="Z66" s="13">
        <v>0</v>
      </c>
      <c r="AA66" s="13">
        <f t="shared" si="11"/>
        <v>50.829277012620835</v>
      </c>
      <c r="AB66" s="13">
        <f t="shared" si="12"/>
        <v>596.87371065336208</v>
      </c>
      <c r="AC66" s="13">
        <f t="shared" si="4"/>
        <v>653.05003886532927</v>
      </c>
      <c r="AD66" s="13">
        <f t="shared" si="5"/>
        <v>134.86400993258391</v>
      </c>
      <c r="AE66" s="13">
        <f t="shared" si="0"/>
        <v>6.0051566773805113E-3</v>
      </c>
      <c r="AF66" s="13">
        <f t="shared" si="6"/>
        <v>4.1702584449422571E-3</v>
      </c>
      <c r="AG66" s="13">
        <f t="shared" si="7"/>
        <v>3.5038326712551978E-3</v>
      </c>
      <c r="AH66" s="10"/>
      <c r="AI66" s="13">
        <f t="shared" si="1"/>
        <v>1.0206258144784449E-2</v>
      </c>
      <c r="AJ66" s="10"/>
      <c r="AK66" s="18">
        <v>17.598297489277801</v>
      </c>
      <c r="AL66" s="10"/>
      <c r="AM66" s="18">
        <v>0.34846509324971098</v>
      </c>
      <c r="AN66" s="10"/>
    </row>
    <row r="67" spans="19:40">
      <c r="S67" s="10"/>
      <c r="T67" s="12">
        <v>61</v>
      </c>
      <c r="U67" s="13">
        <f t="shared" si="2"/>
        <v>8.9825914412876531E-2</v>
      </c>
      <c r="V67" s="13">
        <f t="shared" si="3"/>
        <v>4.8658098136489825</v>
      </c>
      <c r="W67" s="13">
        <f t="shared" si="8"/>
        <v>4.8658098136489825</v>
      </c>
      <c r="X67" s="13">
        <v>0</v>
      </c>
      <c r="Y67" s="13">
        <v>0</v>
      </c>
      <c r="Z67" s="13">
        <v>0</v>
      </c>
      <c r="AA67" s="13">
        <f t="shared" si="11"/>
        <v>48.109479933394731</v>
      </c>
      <c r="AB67" s="13">
        <f t="shared" si="12"/>
        <v>600.07474911828547</v>
      </c>
      <c r="AC67" s="13">
        <f t="shared" si="4"/>
        <v>653.05003886532916</v>
      </c>
      <c r="AD67" s="13">
        <f t="shared" si="5"/>
        <v>125.93357104796597</v>
      </c>
      <c r="AE67" s="13">
        <f t="shared" si="0"/>
        <v>5.6462830506525735E-3</v>
      </c>
      <c r="AF67" s="13">
        <f t="shared" si="6"/>
        <v>3.9264475435930937E-3</v>
      </c>
      <c r="AG67" s="13">
        <f t="shared" si="7"/>
        <v>3.2892622347488469E-3</v>
      </c>
      <c r="AH67" s="10"/>
      <c r="AI67" s="13">
        <f t="shared" si="1"/>
        <v>9.330629883929558E-3</v>
      </c>
      <c r="AJ67" s="10"/>
      <c r="AK67" s="18">
        <v>17.931947042143399</v>
      </c>
      <c r="AL67" s="10"/>
      <c r="AM67" s="18">
        <v>0.34846509324971098</v>
      </c>
      <c r="AN67" s="10"/>
    </row>
    <row r="68" spans="19:40">
      <c r="S68" s="10"/>
      <c r="T68" s="12">
        <v>62</v>
      </c>
      <c r="U68" s="13">
        <f t="shared" si="2"/>
        <v>9.0077780984987255E-2</v>
      </c>
      <c r="V68" s="13">
        <f t="shared" si="3"/>
        <v>4.4266552278327502</v>
      </c>
      <c r="W68" s="13">
        <f t="shared" si="8"/>
        <v>4.4266552278327502</v>
      </c>
      <c r="X68" s="13">
        <v>0</v>
      </c>
      <c r="Y68" s="13">
        <v>0</v>
      </c>
      <c r="Z68" s="13">
        <v>0</v>
      </c>
      <c r="AA68" s="13">
        <f t="shared" si="11"/>
        <v>45.518912956217427</v>
      </c>
      <c r="AB68" s="13">
        <f t="shared" si="12"/>
        <v>603.10447068127905</v>
      </c>
      <c r="AC68" s="13">
        <f t="shared" si="4"/>
        <v>653.05003886532927</v>
      </c>
      <c r="AD68" s="13">
        <f t="shared" si="5"/>
        <v>117.59024272595661</v>
      </c>
      <c r="AE68" s="13">
        <f t="shared" si="0"/>
        <v>5.3076780850776469E-3</v>
      </c>
      <c r="AF68" s="13">
        <f t="shared" si="6"/>
        <v>3.6962569606151865E-3</v>
      </c>
      <c r="AG68" s="13">
        <f t="shared" si="7"/>
        <v>3.0873023680730587E-3</v>
      </c>
      <c r="AH68" s="10"/>
      <c r="AI68" s="13">
        <f t="shared" si="1"/>
        <v>8.5279618510460224E-3</v>
      </c>
      <c r="AJ68" s="10"/>
      <c r="AK68" s="18">
        <v>18.265596595009001</v>
      </c>
      <c r="AL68" s="10"/>
      <c r="AM68" s="18">
        <v>0.34846509324971098</v>
      </c>
      <c r="AN68" s="10"/>
    </row>
    <row r="69" spans="19:40">
      <c r="S69" s="10"/>
      <c r="T69" s="12">
        <v>63</v>
      </c>
      <c r="U69" s="13">
        <f t="shared" si="2"/>
        <v>9.0326306867741693E-2</v>
      </c>
      <c r="V69" s="13">
        <f t="shared" si="3"/>
        <v>4.0260355813607136</v>
      </c>
      <c r="W69" s="13">
        <f t="shared" si="8"/>
        <v>4.0260355813607136</v>
      </c>
      <c r="X69" s="13">
        <v>0</v>
      </c>
      <c r="Y69" s="13">
        <v>0</v>
      </c>
      <c r="Z69" s="13">
        <v>0</v>
      </c>
      <c r="AA69" s="13">
        <f t="shared" si="11"/>
        <v>43.052984515129268</v>
      </c>
      <c r="AB69" s="13">
        <f t="shared" si="12"/>
        <v>605.97101876883926</v>
      </c>
      <c r="AC69" s="13">
        <f t="shared" si="4"/>
        <v>653.05003886532927</v>
      </c>
      <c r="AD69" s="13">
        <f t="shared" si="5"/>
        <v>109.79607059328373</v>
      </c>
      <c r="AE69" s="13">
        <f t="shared" si="0"/>
        <v>4.988308944743898E-3</v>
      </c>
      <c r="AF69" s="13">
        <f t="shared" si="6"/>
        <v>3.4789849522517701E-3</v>
      </c>
      <c r="AG69" s="13">
        <f t="shared" si="7"/>
        <v>2.8972626823265059E-3</v>
      </c>
      <c r="AH69" s="10"/>
      <c r="AI69" s="13">
        <f t="shared" si="1"/>
        <v>7.7923935796412993E-3</v>
      </c>
      <c r="AJ69" s="10"/>
      <c r="AK69" s="18">
        <v>18.599248224255799</v>
      </c>
      <c r="AL69" s="10"/>
      <c r="AM69" s="18">
        <v>0.34835265720415898</v>
      </c>
      <c r="AN69" s="10"/>
    </row>
    <row r="70" spans="19:40">
      <c r="S70" s="10"/>
      <c r="T70" s="12">
        <v>64</v>
      </c>
      <c r="U70" s="13">
        <f t="shared" si="2"/>
        <v>9.0571588357797925E-2</v>
      </c>
      <c r="V70" s="13">
        <f t="shared" si="3"/>
        <v>3.6606851659261412</v>
      </c>
      <c r="W70" s="13">
        <f t="shared" si="8"/>
        <v>3.6606851659261412</v>
      </c>
      <c r="X70" s="13">
        <v>0</v>
      </c>
      <c r="Y70" s="13">
        <v>0</v>
      </c>
      <c r="Z70" s="13">
        <v>0</v>
      </c>
      <c r="AA70" s="13">
        <f t="shared" si="11"/>
        <v>40.707106589786974</v>
      </c>
      <c r="AB70" s="13">
        <f t="shared" si="12"/>
        <v>608.68224710961613</v>
      </c>
      <c r="AC70" s="13">
        <f t="shared" si="4"/>
        <v>653.05003886532927</v>
      </c>
      <c r="AD70" s="13">
        <f t="shared" si="5"/>
        <v>102.51546946222861</v>
      </c>
      <c r="AE70" s="13">
        <f t="shared" ref="AE70:AE133" si="13">(V70+AA70)/AC70/12/(1+rdis_Month)^T70</f>
        <v>4.6871845531855031E-3</v>
      </c>
      <c r="AF70" s="13">
        <f t="shared" si="6"/>
        <v>3.2739603334590774E-3</v>
      </c>
      <c r="AG70" s="13">
        <f t="shared" si="7"/>
        <v>2.7184856651184348E-3</v>
      </c>
      <c r="AH70" s="10"/>
      <c r="AI70" s="13">
        <f t="shared" ref="AI70:AI133" si="14">EXP(-lambda_capi*(T70^gamma_capi))</f>
        <v>7.1185130457111848E-3</v>
      </c>
      <c r="AJ70" s="10"/>
      <c r="AK70" s="18">
        <v>18.932895700740101</v>
      </c>
      <c r="AL70" s="10"/>
      <c r="AM70" s="18">
        <v>0.34846509324971098</v>
      </c>
      <c r="AN70" s="10"/>
    </row>
    <row r="71" spans="19:40">
      <c r="S71" s="10"/>
      <c r="T71" s="12">
        <v>65</v>
      </c>
      <c r="U71" s="13">
        <f t="shared" ref="U71:U134" si="15">gamma_capi*lambda_capi*T71^(gamma_capi-1)</f>
        <v>9.081371752395262E-2</v>
      </c>
      <c r="V71" s="13">
        <f t="shared" ref="V71:V134" si="16">SUM(W71:Z71)</f>
        <v>3.3276028246263039</v>
      </c>
      <c r="W71" s="13">
        <f t="shared" si="8"/>
        <v>3.3276028246263039</v>
      </c>
      <c r="X71" s="13">
        <v>0</v>
      </c>
      <c r="Y71" s="13">
        <v>0</v>
      </c>
      <c r="Z71" s="13">
        <v>0</v>
      </c>
      <c r="AA71" s="13">
        <f t="shared" si="11"/>
        <v>38.476716032887822</v>
      </c>
      <c r="AB71" s="13">
        <f t="shared" si="12"/>
        <v>611.24572000781518</v>
      </c>
      <c r="AC71" s="13">
        <f t="shared" ref="AC71:AC134" si="17">V71+AA71+AB71</f>
        <v>653.05003886532927</v>
      </c>
      <c r="AD71" s="13">
        <f t="shared" ref="AD71:AD134" si="18">(V71*cPFS_CAPI_after+AA71*cP)/AC71/(1+rdis_Month)^T70</f>
        <v>95.715085758152995</v>
      </c>
      <c r="AE71" s="13">
        <f t="shared" si="13"/>
        <v>4.4033550339289181E-3</v>
      </c>
      <c r="AF71" s="13">
        <f t="shared" ref="AF71:AF134" si="19">(SUM(W71:Z71)*uS+AA71*uP)/AC71/12</f>
        <v>3.0805417022648648E-3</v>
      </c>
      <c r="AG71" s="13">
        <f t="shared" ref="AG71:AG134" si="20">(W71*uS/12+X71*(uS+duAE1_CAPI)/12+Y71*(uS+duAE2_CAPI)/12+Z71*(uS+duAE3_CAPI)/12+AA71*uP/12)/AC71/(1+rdis_Month)^T70</f>
        <v>2.5503456108195502E-3</v>
      </c>
      <c r="AH71" s="10"/>
      <c r="AI71" s="13">
        <f t="shared" si="14"/>
        <v>6.5013246588889366E-3</v>
      </c>
      <c r="AJ71" s="10"/>
      <c r="AK71" s="18">
        <v>19.266539024461899</v>
      </c>
      <c r="AL71" s="10"/>
      <c r="AM71" s="18">
        <v>0.34880240138636698</v>
      </c>
      <c r="AN71" s="10"/>
    </row>
    <row r="72" spans="19:40">
      <c r="S72" s="10"/>
      <c r="T72" s="12">
        <v>66</v>
      </c>
      <c r="U72" s="13">
        <f t="shared" si="15"/>
        <v>9.1052782454569312E-2</v>
      </c>
      <c r="V72" s="13">
        <f t="shared" si="16"/>
        <v>3.0240318228828822</v>
      </c>
      <c r="W72" s="13">
        <f t="shared" ref="W72:W135" si="21">(1-($Q$13+U72))*V71</f>
        <v>3.0240318228828822</v>
      </c>
      <c r="X72" s="13">
        <v>0</v>
      </c>
      <c r="Y72" s="13">
        <v>0</v>
      </c>
      <c r="Z72" s="13">
        <v>0</v>
      </c>
      <c r="AA72" s="13">
        <f t="shared" si="11"/>
        <v>36.357293086906722</v>
      </c>
      <c r="AB72" s="13">
        <f t="shared" si="12"/>
        <v>613.6687139555396</v>
      </c>
      <c r="AC72" s="13">
        <f t="shared" si="17"/>
        <v>653.05003886532916</v>
      </c>
      <c r="AD72" s="13">
        <f t="shared" si="18"/>
        <v>89.363666703913637</v>
      </c>
      <c r="AE72" s="13">
        <f t="shared" si="13"/>
        <v>4.1359110153790998E-3</v>
      </c>
      <c r="AF72" s="13">
        <f t="shared" si="19"/>
        <v>2.8981166207190201E-3</v>
      </c>
      <c r="AG72" s="13">
        <f t="shared" si="20"/>
        <v>2.3922475299531223E-3</v>
      </c>
      <c r="AH72" s="10"/>
      <c r="AI72" s="13">
        <f t="shared" si="14"/>
        <v>5.936219292807814E-3</v>
      </c>
      <c r="AJ72" s="10"/>
      <c r="AK72" s="18">
        <v>19.600192730090001</v>
      </c>
      <c r="AL72" s="10"/>
      <c r="AM72" s="18">
        <v>0.34857752929526298</v>
      </c>
      <c r="AN72" s="10"/>
    </row>
    <row r="73" spans="19:40">
      <c r="S73" s="10"/>
      <c r="T73" s="12">
        <v>67</v>
      </c>
      <c r="U73" s="13">
        <f t="shared" si="15"/>
        <v>9.1288867487018324E-2</v>
      </c>
      <c r="V73" s="13">
        <f t="shared" si="16"/>
        <v>2.7474411090029407</v>
      </c>
      <c r="W73" s="13">
        <f t="shared" si="21"/>
        <v>2.7474411090029407</v>
      </c>
      <c r="X73" s="13">
        <v>0</v>
      </c>
      <c r="Y73" s="13">
        <v>0</v>
      </c>
      <c r="Z73" s="13">
        <v>0</v>
      </c>
      <c r="AA73" s="13">
        <f t="shared" si="11"/>
        <v>34.344377348948896</v>
      </c>
      <c r="AB73" s="13">
        <f t="shared" si="12"/>
        <v>615.95822040737744</v>
      </c>
      <c r="AC73" s="13">
        <f t="shared" si="17"/>
        <v>653.05003886532927</v>
      </c>
      <c r="AD73" s="13">
        <f t="shared" si="18"/>
        <v>83.43193608100303</v>
      </c>
      <c r="AE73" s="13">
        <f t="shared" si="13"/>
        <v>3.8839828214137194E-3</v>
      </c>
      <c r="AF73" s="13">
        <f t="shared" si="19"/>
        <v>2.7261007620899692E-3</v>
      </c>
      <c r="AG73" s="13">
        <f t="shared" si="20"/>
        <v>2.2436260462691537E-3</v>
      </c>
      <c r="AH73" s="10"/>
      <c r="AI73" s="13">
        <f t="shared" si="14"/>
        <v>5.418946252352265E-3</v>
      </c>
      <c r="AJ73" s="10"/>
      <c r="AK73" s="18">
        <v>19.933844359336899</v>
      </c>
      <c r="AL73" s="10"/>
      <c r="AM73" s="18">
        <v>0.34846509324971098</v>
      </c>
      <c r="AN73" s="10"/>
    </row>
    <row r="74" spans="19:40">
      <c r="S74" s="10"/>
      <c r="T74" s="12">
        <v>68</v>
      </c>
      <c r="U74" s="13">
        <f t="shared" si="15"/>
        <v>9.1522053420683105E-2</v>
      </c>
      <c r="V74" s="13">
        <f t="shared" si="16"/>
        <v>2.4955078845849576</v>
      </c>
      <c r="W74" s="13">
        <f t="shared" si="21"/>
        <v>2.4955078845849576</v>
      </c>
      <c r="X74" s="13">
        <v>0</v>
      </c>
      <c r="Y74" s="13">
        <v>0</v>
      </c>
      <c r="Z74" s="13">
        <v>0</v>
      </c>
      <c r="AA74" s="13">
        <f t="shared" si="11"/>
        <v>32.433581423931088</v>
      </c>
      <c r="AB74" s="13">
        <f t="shared" si="12"/>
        <v>618.12094955681323</v>
      </c>
      <c r="AC74" s="13">
        <f t="shared" si="17"/>
        <v>653.05003886532927</v>
      </c>
      <c r="AD74" s="13">
        <f t="shared" si="18"/>
        <v>77.892476370524804</v>
      </c>
      <c r="AE74" s="13">
        <f t="shared" si="13"/>
        <v>3.646739566883622E-3</v>
      </c>
      <c r="AF74" s="13">
        <f t="shared" si="19"/>
        <v>2.5639370328872329E-3</v>
      </c>
      <c r="AG74" s="13">
        <f t="shared" si="20"/>
        <v>2.103944288968733E-3</v>
      </c>
      <c r="AH74" s="10"/>
      <c r="AI74" s="13">
        <f t="shared" si="14"/>
        <v>4.9455870771669477E-3</v>
      </c>
      <c r="AJ74" s="10"/>
      <c r="AK74" s="18">
        <v>20.2674939122025</v>
      </c>
      <c r="AL74" s="10"/>
      <c r="AM74" s="18">
        <v>0.34846509324971098</v>
      </c>
      <c r="AN74" s="10"/>
    </row>
    <row r="75" spans="19:40">
      <c r="S75" s="10"/>
      <c r="T75" s="12">
        <v>69</v>
      </c>
      <c r="U75" s="13">
        <f t="shared" si="15"/>
        <v>9.1752417714933518E-2</v>
      </c>
      <c r="V75" s="13">
        <f t="shared" si="16"/>
        <v>2.2661014075639989</v>
      </c>
      <c r="W75" s="13">
        <f t="shared" si="21"/>
        <v>2.2661014075639989</v>
      </c>
      <c r="X75" s="13">
        <v>0</v>
      </c>
      <c r="Y75" s="13">
        <v>0</v>
      </c>
      <c r="Z75" s="13">
        <v>0</v>
      </c>
      <c r="AA75" s="13">
        <f t="shared" si="11"/>
        <v>30.6206024886053</v>
      </c>
      <c r="AB75" s="13">
        <f t="shared" si="12"/>
        <v>620.16333496916002</v>
      </c>
      <c r="AC75" s="13">
        <f t="shared" si="17"/>
        <v>653.05003886532927</v>
      </c>
      <c r="AD75" s="13">
        <f t="shared" si="18"/>
        <v>72.71961706440986</v>
      </c>
      <c r="AE75" s="13">
        <f t="shared" si="13"/>
        <v>3.4233881752208806E-3</v>
      </c>
      <c r="AF75" s="13">
        <f t="shared" si="19"/>
        <v>2.4110946773098431E-3</v>
      </c>
      <c r="AG75" s="13">
        <f t="shared" si="20"/>
        <v>1.9726927865717152E-3</v>
      </c>
      <c r="AH75" s="10"/>
      <c r="AI75" s="13">
        <f t="shared" si="14"/>
        <v>4.5125310829999725E-3</v>
      </c>
      <c r="AJ75" s="10"/>
      <c r="AK75" s="18">
        <v>20.601143465068098</v>
      </c>
      <c r="AL75" s="10"/>
      <c r="AM75" s="18">
        <v>0.34846509324971098</v>
      </c>
      <c r="AN75" s="10"/>
    </row>
    <row r="76" spans="19:40">
      <c r="S76" s="10"/>
      <c r="T76" s="12">
        <v>70</v>
      </c>
      <c r="U76" s="13">
        <f t="shared" si="15"/>
        <v>9.1980034673328132E-2</v>
      </c>
      <c r="V76" s="13">
        <f t="shared" si="16"/>
        <v>2.057267953489148</v>
      </c>
      <c r="W76" s="13">
        <f t="shared" si="21"/>
        <v>2.057267953489148</v>
      </c>
      <c r="X76" s="13">
        <v>0</v>
      </c>
      <c r="Y76" s="13">
        <v>0</v>
      </c>
      <c r="Z76" s="13">
        <v>0</v>
      </c>
      <c r="AA76" s="13">
        <f t="shared" si="11"/>
        <v>28.901231972144711</v>
      </c>
      <c r="AB76" s="13">
        <f t="shared" si="12"/>
        <v>622.09153893969551</v>
      </c>
      <c r="AC76" s="13">
        <f t="shared" si="17"/>
        <v>653.05003886532938</v>
      </c>
      <c r="AD76" s="13">
        <f t="shared" si="18"/>
        <v>67.889328928058461</v>
      </c>
      <c r="AE76" s="13">
        <f t="shared" si="13"/>
        <v>3.2131723335218428E-3</v>
      </c>
      <c r="AF76" s="13">
        <f t="shared" si="19"/>
        <v>2.2670683708260436E-3</v>
      </c>
      <c r="AG76" s="13">
        <f t="shared" si="20"/>
        <v>1.8493883680408623E-3</v>
      </c>
      <c r="AH76" s="10"/>
      <c r="AI76" s="13">
        <f t="shared" si="14"/>
        <v>4.1164525450785843E-3</v>
      </c>
      <c r="AJ76" s="10"/>
      <c r="AK76" s="18">
        <v>20.9347930179336</v>
      </c>
      <c r="AL76" s="10"/>
      <c r="AM76" s="18">
        <v>0.34846509324971098</v>
      </c>
      <c r="AN76" s="10"/>
    </row>
    <row r="77" spans="19:40">
      <c r="S77" s="10"/>
      <c r="T77" s="12">
        <v>71</v>
      </c>
      <c r="U77" s="13">
        <f t="shared" si="15"/>
        <v>9.220497561518548E-2</v>
      </c>
      <c r="V77" s="13">
        <f t="shared" si="16"/>
        <v>1.8672168635752113</v>
      </c>
      <c r="W77" s="13">
        <f t="shared" si="21"/>
        <v>1.8672168635752113</v>
      </c>
      <c r="X77" s="13">
        <v>0</v>
      </c>
      <c r="Y77" s="13">
        <v>0</v>
      </c>
      <c r="Z77" s="13">
        <v>0</v>
      </c>
      <c r="AA77" s="13">
        <f t="shared" ref="AA77:AA140" si="22">(1-$Q$17)*AA76+(U77*W76)</f>
        <v>27.271363543123709</v>
      </c>
      <c r="AB77" s="13">
        <f t="shared" ref="AB77:AB140" si="23">(AB76*1)+(AA76*$Q$17)+(W76*$Q$13)</f>
        <v>623.91145845863036</v>
      </c>
      <c r="AC77" s="13">
        <f t="shared" si="17"/>
        <v>653.05003886532927</v>
      </c>
      <c r="AD77" s="13">
        <f t="shared" si="18"/>
        <v>63.379123989359442</v>
      </c>
      <c r="AE77" s="13">
        <f t="shared" si="13"/>
        <v>3.0153713987913643E-3</v>
      </c>
      <c r="AF77" s="13">
        <f t="shared" si="19"/>
        <v>2.1313773087755167E-3</v>
      </c>
      <c r="AG77" s="13">
        <f t="shared" si="20"/>
        <v>1.7335730759821012E-3</v>
      </c>
      <c r="AH77" s="10"/>
      <c r="AI77" s="13">
        <f t="shared" si="14"/>
        <v>3.7542894306591421E-3</v>
      </c>
      <c r="AJ77" s="10"/>
      <c r="AK77" s="18">
        <v>21.268442570799198</v>
      </c>
      <c r="AL77" s="10"/>
      <c r="AM77" s="18">
        <v>0.34846509324971098</v>
      </c>
      <c r="AN77" s="10"/>
    </row>
    <row r="78" spans="19:40">
      <c r="S78" s="10"/>
      <c r="T78" s="12">
        <v>72</v>
      </c>
      <c r="U78" s="13">
        <f t="shared" si="15"/>
        <v>9.2427309035555377E-2</v>
      </c>
      <c r="V78" s="13">
        <f t="shared" si="16"/>
        <v>1.6943076111190123</v>
      </c>
      <c r="W78" s="13">
        <f t="shared" si="21"/>
        <v>1.6943076111190123</v>
      </c>
      <c r="X78" s="13">
        <v>0</v>
      </c>
      <c r="Y78" s="13">
        <v>0</v>
      </c>
      <c r="Z78" s="13">
        <v>0</v>
      </c>
      <c r="AA78" s="13">
        <f t="shared" si="22"/>
        <v>25.726999577736954</v>
      </c>
      <c r="AB78" s="13">
        <f t="shared" si="23"/>
        <v>625.62873167647331</v>
      </c>
      <c r="AC78" s="13">
        <f t="shared" si="17"/>
        <v>653.05003886532927</v>
      </c>
      <c r="AD78" s="13">
        <f t="shared" si="18"/>
        <v>59.167961025363411</v>
      </c>
      <c r="AE78" s="13">
        <f t="shared" si="13"/>
        <v>2.8292992674963085E-3</v>
      </c>
      <c r="AF78" s="13">
        <f t="shared" si="19"/>
        <v>2.0035642951456304E-3</v>
      </c>
      <c r="AG78" s="13">
        <f t="shared" si="20"/>
        <v>1.6248130960266609E-3</v>
      </c>
      <c r="AH78" s="10"/>
      <c r="AI78" s="13">
        <f t="shared" si="14"/>
        <v>3.4232235910818276E-3</v>
      </c>
      <c r="AJ78" s="10"/>
      <c r="AK78" s="18">
        <v>21.6020921236648</v>
      </c>
      <c r="AL78" s="10"/>
      <c r="AM78" s="18">
        <v>0.34846509324971098</v>
      </c>
      <c r="AN78" s="10"/>
    </row>
    <row r="79" spans="19:40">
      <c r="S79" s="10"/>
      <c r="T79" s="12">
        <v>73</v>
      </c>
      <c r="U79" s="13">
        <f t="shared" si="15"/>
        <v>9.2647100754523551E-2</v>
      </c>
      <c r="V79" s="13">
        <f t="shared" si="16"/>
        <v>1.537037820975516</v>
      </c>
      <c r="W79" s="13">
        <f t="shared" si="21"/>
        <v>1.537037820975516</v>
      </c>
      <c r="X79" s="13">
        <v>0</v>
      </c>
      <c r="Y79" s="13">
        <v>0</v>
      </c>
      <c r="Z79" s="13">
        <v>0</v>
      </c>
      <c r="AA79" s="13">
        <f t="shared" si="22"/>
        <v>24.26425627000155</v>
      </c>
      <c r="AB79" s="13">
        <f t="shared" si="23"/>
        <v>627.24874477435219</v>
      </c>
      <c r="AC79" s="13">
        <f t="shared" si="17"/>
        <v>653.05003886532927</v>
      </c>
      <c r="AD79" s="13">
        <f t="shared" si="18"/>
        <v>55.236156316390009</v>
      </c>
      <c r="AE79" s="13">
        <f t="shared" si="13"/>
        <v>2.6543032191720696E-3</v>
      </c>
      <c r="AF79" s="13">
        <f t="shared" si="19"/>
        <v>1.8831948360022589E-3</v>
      </c>
      <c r="AG79" s="13">
        <f t="shared" si="20"/>
        <v>1.5226977058600921E-3</v>
      </c>
      <c r="AH79" s="10"/>
      <c r="AI79" s="13">
        <f t="shared" si="14"/>
        <v>3.1206623270299528E-3</v>
      </c>
      <c r="AJ79" s="10"/>
      <c r="AK79" s="18">
        <v>21.905430201391699</v>
      </c>
      <c r="AL79" s="10"/>
      <c r="AM79" s="18">
        <v>0.34736571858209098</v>
      </c>
      <c r="AN79" s="10"/>
    </row>
    <row r="80" spans="19:40">
      <c r="S80" s="10"/>
      <c r="T80" s="12">
        <v>74</v>
      </c>
      <c r="U80" s="13">
        <f t="shared" si="15"/>
        <v>9.2864414056697056E-2</v>
      </c>
      <c r="V80" s="13">
        <f t="shared" si="16"/>
        <v>1.3940321799147044</v>
      </c>
      <c r="W80" s="13">
        <f t="shared" si="21"/>
        <v>1.3940321799147044</v>
      </c>
      <c r="X80" s="13">
        <v>0</v>
      </c>
      <c r="Y80" s="13">
        <v>0</v>
      </c>
      <c r="Z80" s="13">
        <v>0</v>
      </c>
      <c r="AA80" s="13">
        <f t="shared" si="22"/>
        <v>22.879367531452036</v>
      </c>
      <c r="AB80" s="13">
        <f t="shared" si="23"/>
        <v>628.77663915396249</v>
      </c>
      <c r="AC80" s="13">
        <f t="shared" si="17"/>
        <v>653.05003886532927</v>
      </c>
      <c r="AD80" s="13">
        <f t="shared" si="18"/>
        <v>51.565299437691877</v>
      </c>
      <c r="AE80" s="13">
        <f t="shared" si="13"/>
        <v>2.4897627435459587E-3</v>
      </c>
      <c r="AF80" s="13">
        <f t="shared" si="19"/>
        <v>1.7698562414484311E-3</v>
      </c>
      <c r="AG80" s="13">
        <f t="shared" si="20"/>
        <v>1.4268382467893539E-3</v>
      </c>
      <c r="AH80" s="10"/>
      <c r="AI80" s="13">
        <f t="shared" si="14"/>
        <v>2.8442212441837996E-3</v>
      </c>
      <c r="AJ80" s="10"/>
      <c r="AK80" s="18">
        <v>21.916228537519899</v>
      </c>
      <c r="AL80" s="10"/>
      <c r="AM80" s="18">
        <v>0.310124401716454</v>
      </c>
      <c r="AN80" s="10"/>
    </row>
    <row r="81" spans="19:40">
      <c r="S81" s="10"/>
      <c r="T81" s="12">
        <v>75</v>
      </c>
      <c r="U81" s="13">
        <f t="shared" si="15"/>
        <v>9.3079309821638853E-2</v>
      </c>
      <c r="V81" s="13">
        <f t="shared" si="16"/>
        <v>1.26403217879665</v>
      </c>
      <c r="W81" s="13">
        <f t="shared" si="21"/>
        <v>1.26403217879665</v>
      </c>
      <c r="X81" s="13">
        <v>0</v>
      </c>
      <c r="Y81" s="13">
        <v>0</v>
      </c>
      <c r="Z81" s="13">
        <v>0</v>
      </c>
      <c r="AA81" s="13">
        <f t="shared" si="22"/>
        <v>21.568687815445493</v>
      </c>
      <c r="AB81" s="13">
        <f t="shared" si="23"/>
        <v>630.21731887108706</v>
      </c>
      <c r="AC81" s="13">
        <f t="shared" si="17"/>
        <v>653.05003886532916</v>
      </c>
      <c r="AD81" s="13">
        <f t="shared" si="18"/>
        <v>48.138173860688902</v>
      </c>
      <c r="AE81" s="13">
        <f t="shared" si="13"/>
        <v>2.3350883594773389E-3</v>
      </c>
      <c r="AF81" s="13">
        <f t="shared" si="19"/>
        <v>1.6631567394354803E-3</v>
      </c>
      <c r="AG81" s="13">
        <f t="shared" si="20"/>
        <v>1.3368671202266796E-3</v>
      </c>
      <c r="AH81" s="10"/>
      <c r="AI81" s="13">
        <f t="shared" si="14"/>
        <v>2.5917083200258468E-3</v>
      </c>
      <c r="AJ81" s="10"/>
      <c r="AK81" s="18">
        <v>22.0884429075921</v>
      </c>
      <c r="AL81" s="10"/>
      <c r="AM81" s="18">
        <v>0.29202219838257099</v>
      </c>
      <c r="AN81" s="10"/>
    </row>
    <row r="82" spans="19:40">
      <c r="S82" s="10"/>
      <c r="T82" s="12">
        <v>76</v>
      </c>
      <c r="U82" s="13">
        <f t="shared" si="15"/>
        <v>9.3291846645951859E-2</v>
      </c>
      <c r="V82" s="13">
        <f t="shared" si="16"/>
        <v>1.145886630584853</v>
      </c>
      <c r="W82" s="13">
        <f t="shared" si="21"/>
        <v>1.145886630584853</v>
      </c>
      <c r="X82" s="13">
        <v>0</v>
      </c>
      <c r="Y82" s="13">
        <v>0</v>
      </c>
      <c r="Z82" s="13">
        <v>0</v>
      </c>
      <c r="AA82" s="13">
        <f t="shared" si="22"/>
        <v>20.328693989614976</v>
      </c>
      <c r="AB82" s="13">
        <f t="shared" si="23"/>
        <v>631.57545824512943</v>
      </c>
      <c r="AC82" s="13">
        <f t="shared" si="17"/>
        <v>653.05003886532927</v>
      </c>
      <c r="AD82" s="13">
        <f t="shared" si="18"/>
        <v>44.938682138961397</v>
      </c>
      <c r="AE82" s="13">
        <f t="shared" si="13"/>
        <v>2.1897204329578393E-3</v>
      </c>
      <c r="AF82" s="13">
        <f t="shared" si="19"/>
        <v>1.562724604256876E-3</v>
      </c>
      <c r="AG82" s="13">
        <f t="shared" si="20"/>
        <v>1.2524368110124456E-3</v>
      </c>
      <c r="AH82" s="10"/>
      <c r="AI82" s="13">
        <f t="shared" si="14"/>
        <v>2.3611091061527438E-3</v>
      </c>
      <c r="AJ82" s="10"/>
      <c r="AK82" s="18">
        <v>22.422123606176601</v>
      </c>
      <c r="AL82" s="10"/>
      <c r="AM82" s="18">
        <v>0.29033565769928998</v>
      </c>
      <c r="AN82" s="10"/>
    </row>
    <row r="83" spans="19:40">
      <c r="S83" s="10"/>
      <c r="T83" s="12">
        <v>77</v>
      </c>
      <c r="U83" s="13">
        <f t="shared" si="15"/>
        <v>9.3502080957648614E-2</v>
      </c>
      <c r="V83" s="13">
        <f t="shared" si="16"/>
        <v>1.0385429112464264</v>
      </c>
      <c r="W83" s="13">
        <f t="shared" si="21"/>
        <v>1.0385429112464264</v>
      </c>
      <c r="X83" s="13">
        <v>0</v>
      </c>
      <c r="Y83" s="13">
        <v>0</v>
      </c>
      <c r="Z83" s="13">
        <v>0</v>
      </c>
      <c r="AA83" s="13">
        <f t="shared" si="22"/>
        <v>19.155986369213235</v>
      </c>
      <c r="AB83" s="13">
        <f t="shared" si="23"/>
        <v>632.85550958486954</v>
      </c>
      <c r="AC83" s="13">
        <f t="shared" si="17"/>
        <v>653.05003886532916</v>
      </c>
      <c r="AD83" s="13">
        <f t="shared" si="18"/>
        <v>41.951775458427853</v>
      </c>
      <c r="AE83" s="13">
        <f t="shared" si="13"/>
        <v>2.0531280004579969E-3</v>
      </c>
      <c r="AF83" s="13">
        <f t="shared" si="19"/>
        <v>1.468207302110198E-3</v>
      </c>
      <c r="AG83" s="13">
        <f t="shared" si="20"/>
        <v>1.1732189390938875E-3</v>
      </c>
      <c r="AH83" s="10"/>
      <c r="AI83" s="13">
        <f t="shared" si="14"/>
        <v>2.1505729940505904E-3</v>
      </c>
      <c r="AJ83" s="10"/>
      <c r="AK83" s="18">
        <v>22.755773159042199</v>
      </c>
      <c r="AL83" s="10"/>
      <c r="AM83" s="18">
        <v>0.29033565769928998</v>
      </c>
      <c r="AN83" s="10"/>
    </row>
    <row r="84" spans="19:40">
      <c r="S84" s="10"/>
      <c r="T84" s="12">
        <v>78</v>
      </c>
      <c r="U84" s="13">
        <f t="shared" si="15"/>
        <v>9.3710067123387947E-2</v>
      </c>
      <c r="V84" s="13">
        <f t="shared" si="16"/>
        <v>0.94103887354578308</v>
      </c>
      <c r="W84" s="13">
        <f t="shared" si="21"/>
        <v>0.94103887354578308</v>
      </c>
      <c r="X84" s="13">
        <v>0</v>
      </c>
      <c r="Y84" s="13">
        <v>0</v>
      </c>
      <c r="Z84" s="13">
        <v>0</v>
      </c>
      <c r="AA84" s="13">
        <f t="shared" si="22"/>
        <v>18.04728901404177</v>
      </c>
      <c r="AB84" s="13">
        <f t="shared" si="23"/>
        <v>634.06171097774165</v>
      </c>
      <c r="AC84" s="13">
        <f t="shared" si="17"/>
        <v>653.05003886532916</v>
      </c>
      <c r="AD84" s="13">
        <f t="shared" si="18"/>
        <v>39.163387336227984</v>
      </c>
      <c r="AE84" s="13">
        <f t="shared" si="13"/>
        <v>1.9248076030416346E-3</v>
      </c>
      <c r="AF84" s="13">
        <f t="shared" si="19"/>
        <v>1.3792706557136426E-3</v>
      </c>
      <c r="AG84" s="13">
        <f t="shared" si="20"/>
        <v>1.0989033407175887E-3</v>
      </c>
      <c r="AH84" s="10"/>
      <c r="AI84" s="13">
        <f t="shared" si="14"/>
        <v>1.9584004758600119E-3</v>
      </c>
      <c r="AJ84" s="10"/>
      <c r="AK84" s="18">
        <v>23.089422711907801</v>
      </c>
      <c r="AL84" s="10"/>
      <c r="AM84" s="18">
        <v>0.29033565769928998</v>
      </c>
      <c r="AN84" s="10"/>
    </row>
    <row r="85" spans="19:40">
      <c r="S85" s="10"/>
      <c r="T85" s="12">
        <v>79</v>
      </c>
      <c r="U85" s="13">
        <f t="shared" si="15"/>
        <v>9.3915857549108681E-2</v>
      </c>
      <c r="V85" s="13">
        <f t="shared" si="16"/>
        <v>0.8524953866132039</v>
      </c>
      <c r="W85" s="13">
        <f t="shared" si="21"/>
        <v>0.8524953866132039</v>
      </c>
      <c r="X85" s="13">
        <v>0</v>
      </c>
      <c r="Y85" s="13">
        <v>0</v>
      </c>
      <c r="Z85" s="13">
        <v>0</v>
      </c>
      <c r="AA85" s="13">
        <f t="shared" si="22"/>
        <v>16.99944938232894</v>
      </c>
      <c r="AB85" s="13">
        <f t="shared" si="23"/>
        <v>635.19809409638697</v>
      </c>
      <c r="AC85" s="13">
        <f t="shared" si="17"/>
        <v>653.05003886532916</v>
      </c>
      <c r="AD85" s="13">
        <f t="shared" si="18"/>
        <v>36.560371258617522</v>
      </c>
      <c r="AE85" s="13">
        <f t="shared" si="13"/>
        <v>1.8042821358891876E-3</v>
      </c>
      <c r="AF85" s="13">
        <f t="shared" si="19"/>
        <v>1.2955980296063311E-3</v>
      </c>
      <c r="AG85" s="13">
        <f t="shared" si="20"/>
        <v>1.0291971799770911E-3</v>
      </c>
      <c r="AH85" s="10"/>
      <c r="AI85" s="13">
        <f t="shared" si="14"/>
        <v>1.7830313351772996E-3</v>
      </c>
      <c r="AJ85" s="10"/>
      <c r="AK85" s="18">
        <v>23.423072264773399</v>
      </c>
      <c r="AL85" s="10"/>
      <c r="AM85" s="18">
        <v>0.29033565769928998</v>
      </c>
      <c r="AN85" s="10"/>
    </row>
    <row r="86" spans="19:40">
      <c r="S86" s="10"/>
      <c r="T86" s="12">
        <v>80</v>
      </c>
      <c r="U86" s="13">
        <f t="shared" si="15"/>
        <v>9.4119502774544783E-2</v>
      </c>
      <c r="V86" s="13">
        <f t="shared" si="16"/>
        <v>0.77210945695098088</v>
      </c>
      <c r="W86" s="13">
        <f t="shared" si="21"/>
        <v>0.77210945695098088</v>
      </c>
      <c r="X86" s="13">
        <v>0</v>
      </c>
      <c r="Y86" s="13">
        <v>0</v>
      </c>
      <c r="Z86" s="13">
        <v>0</v>
      </c>
      <c r="AA86" s="13">
        <f t="shared" si="22"/>
        <v>16.009437426269809</v>
      </c>
      <c r="AB86" s="13">
        <f t="shared" si="23"/>
        <v>636.26849198210834</v>
      </c>
      <c r="AC86" s="13">
        <f t="shared" si="17"/>
        <v>653.05003886532916</v>
      </c>
      <c r="AD86" s="13">
        <f t="shared" si="18"/>
        <v>34.130442054502538</v>
      </c>
      <c r="AE86" s="13">
        <f t="shared" si="13"/>
        <v>1.6910997171691608E-3</v>
      </c>
      <c r="AF86" s="13">
        <f t="shared" si="19"/>
        <v>1.2168895374428583E-3</v>
      </c>
      <c r="AG86" s="13">
        <f t="shared" si="20"/>
        <v>9.6382409127868357E-4</v>
      </c>
      <c r="AH86" s="10"/>
      <c r="AI86" s="13">
        <f t="shared" si="14"/>
        <v>1.6230337063859628E-3</v>
      </c>
      <c r="AJ86" s="10"/>
      <c r="AK86" s="18">
        <v>23.756721817639001</v>
      </c>
      <c r="AL86" s="10"/>
      <c r="AM86" s="18">
        <v>0.29033565769928998</v>
      </c>
      <c r="AN86" s="10"/>
    </row>
    <row r="87" spans="19:40">
      <c r="S87" s="10"/>
      <c r="T87" s="12">
        <v>81</v>
      </c>
      <c r="U87" s="13">
        <f t="shared" si="15"/>
        <v>9.43210515620658E-2</v>
      </c>
      <c r="V87" s="13">
        <f t="shared" si="16"/>
        <v>0.69914788922022542</v>
      </c>
      <c r="W87" s="13">
        <f t="shared" si="21"/>
        <v>0.69914788922022542</v>
      </c>
      <c r="X87" s="13">
        <v>0</v>
      </c>
      <c r="Y87" s="13">
        <v>0</v>
      </c>
      <c r="Z87" s="13">
        <v>0</v>
      </c>
      <c r="AA87" s="13">
        <f t="shared" si="22"/>
        <v>15.074344205934388</v>
      </c>
      <c r="AB87" s="13">
        <f t="shared" si="23"/>
        <v>637.27654677017449</v>
      </c>
      <c r="AC87" s="13">
        <f t="shared" si="17"/>
        <v>653.05003886532916</v>
      </c>
      <c r="AD87" s="13">
        <f t="shared" si="18"/>
        <v>31.862120807970832</v>
      </c>
      <c r="AE87" s="13">
        <f t="shared" si="13"/>
        <v>1.5848325795667377E-3</v>
      </c>
      <c r="AF87" s="13">
        <f t="shared" si="19"/>
        <v>1.1428612723087832E-3</v>
      </c>
      <c r="AG87" s="13">
        <f t="shared" si="20"/>
        <v>9.0252335304493651E-4</v>
      </c>
      <c r="AH87" s="10"/>
      <c r="AI87" s="13">
        <f t="shared" si="14"/>
        <v>1.4770939443740307E-3</v>
      </c>
      <c r="AJ87" s="10"/>
      <c r="AK87" s="18">
        <v>24.090371370504499</v>
      </c>
      <c r="AL87" s="10"/>
      <c r="AM87" s="18">
        <v>0.29033565769928998</v>
      </c>
      <c r="AN87" s="10"/>
    </row>
    <row r="88" spans="19:40">
      <c r="S88" s="10"/>
      <c r="T88" s="12">
        <v>82</v>
      </c>
      <c r="U88" s="13">
        <f t="shared" si="15"/>
        <v>9.4520550980248419E-2</v>
      </c>
      <c r="V88" s="13">
        <f t="shared" si="16"/>
        <v>0.63294144772550354</v>
      </c>
      <c r="W88" s="13">
        <f t="shared" si="21"/>
        <v>0.63294144772550354</v>
      </c>
      <c r="X88" s="13">
        <v>0</v>
      </c>
      <c r="Y88" s="13">
        <v>0</v>
      </c>
      <c r="Z88" s="13">
        <v>0</v>
      </c>
      <c r="AA88" s="13">
        <f t="shared" si="22"/>
        <v>14.191380090855018</v>
      </c>
      <c r="AB88" s="13">
        <f t="shared" si="23"/>
        <v>638.22571732674862</v>
      </c>
      <c r="AC88" s="13">
        <f t="shared" si="17"/>
        <v>653.05003886532916</v>
      </c>
      <c r="AD88" s="13">
        <f t="shared" si="18"/>
        <v>29.744683120202129</v>
      </c>
      <c r="AE88" s="13">
        <f t="shared" si="13"/>
        <v>1.4850759872143131E-3</v>
      </c>
      <c r="AF88" s="13">
        <f t="shared" si="19"/>
        <v>1.0732445608319882E-3</v>
      </c>
      <c r="AG88" s="13">
        <f t="shared" si="20"/>
        <v>8.4504909276341875E-4</v>
      </c>
      <c r="AH88" s="10"/>
      <c r="AI88" s="13">
        <f t="shared" si="14"/>
        <v>1.3440072497555393E-3</v>
      </c>
      <c r="AJ88" s="10"/>
      <c r="AK88" s="18">
        <v>24.424020923370101</v>
      </c>
      <c r="AL88" s="10"/>
      <c r="AM88" s="18">
        <v>0.29033565769928998</v>
      </c>
      <c r="AN88" s="10"/>
    </row>
    <row r="89" spans="19:40">
      <c r="S89" s="10"/>
      <c r="T89" s="12">
        <v>83</v>
      </c>
      <c r="U89" s="13">
        <f t="shared" si="15"/>
        <v>9.4718046482552221E-2</v>
      </c>
      <c r="V89" s="13">
        <f t="shared" si="16"/>
        <v>0.57287948197862648</v>
      </c>
      <c r="W89" s="13">
        <f t="shared" si="21"/>
        <v>0.57287948197862648</v>
      </c>
      <c r="X89" s="13">
        <v>0</v>
      </c>
      <c r="Y89" s="13">
        <v>0</v>
      </c>
      <c r="Z89" s="13">
        <v>0</v>
      </c>
      <c r="AA89" s="13">
        <f t="shared" si="22"/>
        <v>13.357872611782529</v>
      </c>
      <c r="AB89" s="13">
        <f t="shared" si="23"/>
        <v>639.11928677156789</v>
      </c>
      <c r="AC89" s="13">
        <f t="shared" si="17"/>
        <v>653.05003886532904</v>
      </c>
      <c r="AD89" s="13">
        <f t="shared" si="18"/>
        <v>27.768110538362052</v>
      </c>
      <c r="AE89" s="13">
        <f t="shared" si="13"/>
        <v>1.3914471802648058E-3</v>
      </c>
      <c r="AF89" s="13">
        <f t="shared" si="19"/>
        <v>1.0077852416421884E-3</v>
      </c>
      <c r="AG89" s="13">
        <f t="shared" si="20"/>
        <v>7.9116952330427523E-4</v>
      </c>
      <c r="AH89" s="10"/>
      <c r="AI89" s="13">
        <f t="shared" si="14"/>
        <v>1.2226689978686615E-3</v>
      </c>
      <c r="AJ89" s="10"/>
      <c r="AK89" s="18">
        <v>24.757655941566799</v>
      </c>
      <c r="AL89" s="10"/>
      <c r="AM89" s="18">
        <v>0.29112271001815399</v>
      </c>
      <c r="AN89" s="10"/>
    </row>
    <row r="90" spans="19:40">
      <c r="S90" s="10"/>
      <c r="T90" s="12">
        <v>84</v>
      </c>
      <c r="U90" s="13">
        <f t="shared" si="15"/>
        <v>9.4913581981441286E-2</v>
      </c>
      <c r="V90" s="13">
        <f t="shared" si="16"/>
        <v>0.5184049820751383</v>
      </c>
      <c r="W90" s="13">
        <f t="shared" si="21"/>
        <v>0.5184049820751383</v>
      </c>
      <c r="X90" s="13">
        <v>0</v>
      </c>
      <c r="Y90" s="13">
        <v>0</v>
      </c>
      <c r="Z90" s="13">
        <v>0</v>
      </c>
      <c r="AA90" s="13">
        <f t="shared" si="22"/>
        <v>12.571264018820887</v>
      </c>
      <c r="AB90" s="13">
        <f t="shared" si="23"/>
        <v>639.96036986443301</v>
      </c>
      <c r="AC90" s="13">
        <f t="shared" si="17"/>
        <v>653.05003886532904</v>
      </c>
      <c r="AD90" s="13">
        <f t="shared" si="18"/>
        <v>25.923044976423771</v>
      </c>
      <c r="AE90" s="13">
        <f t="shared" si="13"/>
        <v>1.3035843488999111E-3</v>
      </c>
      <c r="AF90" s="13">
        <f t="shared" si="19"/>
        <v>9.4624296853474223E-4</v>
      </c>
      <c r="AG90" s="13">
        <f t="shared" si="20"/>
        <v>7.4066621027209397E-4</v>
      </c>
      <c r="AH90" s="10"/>
      <c r="AI90" s="13">
        <f t="shared" si="14"/>
        <v>1.1120667228628235E-3</v>
      </c>
      <c r="AJ90" s="10"/>
      <c r="AK90" s="18">
        <v>25.030627108071201</v>
      </c>
      <c r="AL90" s="10"/>
      <c r="AM90" s="18">
        <v>0.29192582462924099</v>
      </c>
      <c r="AN90" s="10"/>
    </row>
    <row r="91" spans="19:40">
      <c r="S91" s="10"/>
      <c r="T91" s="12">
        <v>85</v>
      </c>
      <c r="U91" s="13">
        <f t="shared" si="15"/>
        <v>9.5107199918266411E-2</v>
      </c>
      <c r="V91" s="13">
        <f t="shared" si="16"/>
        <v>0.4690100318565531</v>
      </c>
      <c r="W91" s="13">
        <f t="shared" si="21"/>
        <v>0.4690100318565531</v>
      </c>
      <c r="X91" s="13">
        <v>0</v>
      </c>
      <c r="Y91" s="13">
        <v>0</v>
      </c>
      <c r="Z91" s="13">
        <v>0</v>
      </c>
      <c r="AA91" s="13">
        <f t="shared" si="22"/>
        <v>11.829108596377704</v>
      </c>
      <c r="AB91" s="13">
        <f t="shared" si="23"/>
        <v>640.75192023709474</v>
      </c>
      <c r="AC91" s="13">
        <f t="shared" si="17"/>
        <v>653.05003886532904</v>
      </c>
      <c r="AD91" s="13">
        <f t="shared" si="18"/>
        <v>24.200745960245847</v>
      </c>
      <c r="AE91" s="13">
        <f t="shared" si="13"/>
        <v>1.221145638167116E-3</v>
      </c>
      <c r="AF91" s="13">
        <f t="shared" si="19"/>
        <v>8.8839053852283415E-4</v>
      </c>
      <c r="AG91" s="13">
        <f t="shared" si="20"/>
        <v>6.9333337002217368E-4</v>
      </c>
      <c r="AH91" s="10"/>
      <c r="AI91" s="13">
        <f t="shared" si="14"/>
        <v>1.0112727111060876E-3</v>
      </c>
      <c r="AJ91" s="10"/>
      <c r="AK91" s="10"/>
      <c r="AL91" s="10"/>
      <c r="AM91" s="10"/>
      <c r="AN91" s="10"/>
    </row>
    <row r="92" spans="19:40">
      <c r="S92" s="10"/>
      <c r="T92" s="12">
        <v>86</v>
      </c>
      <c r="U92" s="13">
        <f t="shared" si="15"/>
        <v>9.5298941329196959E-2</v>
      </c>
      <c r="V92" s="13">
        <f t="shared" si="16"/>
        <v>0.4242316299585267</v>
      </c>
      <c r="W92" s="13">
        <f t="shared" si="21"/>
        <v>0.4242316299585267</v>
      </c>
      <c r="X92" s="13">
        <v>0</v>
      </c>
      <c r="Y92" s="13">
        <v>0</v>
      </c>
      <c r="Z92" s="13">
        <v>0</v>
      </c>
      <c r="AA92" s="13">
        <f t="shared" si="22"/>
        <v>11.129069780070974</v>
      </c>
      <c r="AB92" s="13">
        <f t="shared" si="23"/>
        <v>641.49673745529947</v>
      </c>
      <c r="AC92" s="13">
        <f t="shared" si="17"/>
        <v>653.05003886532893</v>
      </c>
      <c r="AD92" s="13">
        <f t="shared" si="18"/>
        <v>22.593050536606235</v>
      </c>
      <c r="AE92" s="13">
        <f t="shared" si="13"/>
        <v>1.1438081846868538E-3</v>
      </c>
      <c r="AF92" s="13">
        <f t="shared" si="19"/>
        <v>8.3401324481181252E-4</v>
      </c>
      <c r="AG92" s="13">
        <f t="shared" si="20"/>
        <v>6.4897719785656849E-4</v>
      </c>
      <c r="AH92" s="10"/>
      <c r="AI92" s="13">
        <f t="shared" si="14"/>
        <v>9.1943716094064173E-4</v>
      </c>
      <c r="AJ92" s="10"/>
      <c r="AK92" s="10"/>
      <c r="AL92" s="10"/>
      <c r="AM92" s="10"/>
      <c r="AN92" s="10"/>
    </row>
    <row r="93" spans="19:40">
      <c r="S93" s="10"/>
      <c r="T93" s="12">
        <v>87</v>
      </c>
      <c r="U93" s="13">
        <f t="shared" si="15"/>
        <v>9.5488845907469103E-2</v>
      </c>
      <c r="V93" s="13">
        <f t="shared" si="16"/>
        <v>0.38364785086111602</v>
      </c>
      <c r="W93" s="13">
        <f t="shared" si="21"/>
        <v>0.38364785086111602</v>
      </c>
      <c r="X93" s="13">
        <v>0</v>
      </c>
      <c r="Y93" s="13">
        <v>0</v>
      </c>
      <c r="Z93" s="13">
        <v>0</v>
      </c>
      <c r="AA93" s="13">
        <f t="shared" si="22"/>
        <v>10.468917115879819</v>
      </c>
      <c r="AB93" s="13">
        <f t="shared" si="23"/>
        <v>642.1974738985881</v>
      </c>
      <c r="AC93" s="13">
        <f t="shared" si="17"/>
        <v>653.05003886532904</v>
      </c>
      <c r="AD93" s="13">
        <f t="shared" si="18"/>
        <v>21.092335693200319</v>
      </c>
      <c r="AE93" s="13">
        <f t="shared" si="13"/>
        <v>1.0712671859604884E-3</v>
      </c>
      <c r="AF93" s="13">
        <f t="shared" si="19"/>
        <v>7.8290825459893104E-4</v>
      </c>
      <c r="AG93" s="13">
        <f t="shared" si="20"/>
        <v>6.0741522581894073E-4</v>
      </c>
      <c r="AH93" s="10"/>
      <c r="AI93" s="13">
        <f t="shared" si="14"/>
        <v>8.3578186848531249E-4</v>
      </c>
      <c r="AJ93" s="10"/>
      <c r="AK93" s="10"/>
      <c r="AL93" s="10"/>
      <c r="AM93" s="10"/>
      <c r="AN93" s="10"/>
    </row>
    <row r="94" spans="19:40">
      <c r="S94" s="10"/>
      <c r="T94" s="12">
        <v>88</v>
      </c>
      <c r="U94" s="13">
        <f t="shared" si="15"/>
        <v>9.5676952062195744E-2</v>
      </c>
      <c r="V94" s="13">
        <f t="shared" si="16"/>
        <v>0.34687431996403695</v>
      </c>
      <c r="W94" s="13">
        <f t="shared" si="21"/>
        <v>0.34687431996403695</v>
      </c>
      <c r="X94" s="13">
        <v>0</v>
      </c>
      <c r="Y94" s="13">
        <v>0</v>
      </c>
      <c r="Z94" s="13">
        <v>0</v>
      </c>
      <c r="AA94" s="13">
        <f t="shared" si="22"/>
        <v>9.8465230973886619</v>
      </c>
      <c r="AB94" s="13">
        <f t="shared" si="23"/>
        <v>642.85664144797636</v>
      </c>
      <c r="AC94" s="13">
        <f t="shared" si="17"/>
        <v>653.05003886532904</v>
      </c>
      <c r="AD94" s="13">
        <f t="shared" si="18"/>
        <v>19.691483143814509</v>
      </c>
      <c r="AE94" s="13">
        <f t="shared" si="13"/>
        <v>1.0032350027369935E-3</v>
      </c>
      <c r="AF94" s="13">
        <f t="shared" si="19"/>
        <v>7.3488401148899811E-4</v>
      </c>
      <c r="AG94" s="13">
        <f t="shared" si="20"/>
        <v>5.6847570942735121E-4</v>
      </c>
      <c r="AH94" s="10"/>
      <c r="AI94" s="13">
        <f t="shared" si="14"/>
        <v>7.595944017305768E-4</v>
      </c>
      <c r="AJ94" s="10"/>
      <c r="AK94" s="10"/>
      <c r="AL94" s="10"/>
      <c r="AM94" s="10"/>
      <c r="AN94" s="10"/>
    </row>
    <row r="95" spans="19:40">
      <c r="S95" s="10"/>
      <c r="T95" s="12">
        <v>89</v>
      </c>
      <c r="U95" s="13">
        <f t="shared" si="15"/>
        <v>9.5863296973964909E-2</v>
      </c>
      <c r="V95" s="13">
        <f t="shared" si="16"/>
        <v>0.31356097850991005</v>
      </c>
      <c r="W95" s="13">
        <f t="shared" si="21"/>
        <v>0.31356097850991005</v>
      </c>
      <c r="X95" s="13">
        <v>0</v>
      </c>
      <c r="Y95" s="13">
        <v>0</v>
      </c>
      <c r="Z95" s="13">
        <v>0</v>
      </c>
      <c r="AA95" s="13">
        <f t="shared" si="22"/>
        <v>9.2598599129217565</v>
      </c>
      <c r="AB95" s="13">
        <f t="shared" si="23"/>
        <v>643.47661797389742</v>
      </c>
      <c r="AC95" s="13">
        <f t="shared" si="17"/>
        <v>653.05003886532904</v>
      </c>
      <c r="AD95" s="13">
        <f t="shared" si="18"/>
        <v>18.383846339951287</v>
      </c>
      <c r="AE95" s="13">
        <f t="shared" si="13"/>
        <v>9.3944029465772687E-4</v>
      </c>
      <c r="AF95" s="13">
        <f t="shared" si="19"/>
        <v>6.8975966221975122E-4</v>
      </c>
      <c r="AG95" s="13">
        <f t="shared" si="20"/>
        <v>5.3199704261880842E-4</v>
      </c>
      <c r="AH95" s="10"/>
      <c r="AI95" s="13">
        <f t="shared" si="14"/>
        <v>6.902227275928512E-4</v>
      </c>
      <c r="AJ95" s="10"/>
      <c r="AK95" s="10"/>
      <c r="AL95" s="10"/>
      <c r="AM95" s="10"/>
      <c r="AN95" s="10"/>
    </row>
    <row r="96" spans="19:40">
      <c r="S96" s="10"/>
      <c r="T96" s="12">
        <v>90</v>
      </c>
      <c r="U96" s="13">
        <f t="shared" si="15"/>
        <v>9.6047916647435991E-2</v>
      </c>
      <c r="V96" s="13">
        <f t="shared" si="16"/>
        <v>0.28338911587489335</v>
      </c>
      <c r="W96" s="13">
        <f t="shared" si="21"/>
        <v>0.28338911587489335</v>
      </c>
      <c r="X96" s="13">
        <v>0</v>
      </c>
      <c r="Y96" s="13">
        <v>0</v>
      </c>
      <c r="Z96" s="13">
        <v>0</v>
      </c>
      <c r="AA96" s="13">
        <f t="shared" si="22"/>
        <v>8.7069961306709516</v>
      </c>
      <c r="AB96" s="13">
        <f t="shared" si="23"/>
        <v>644.05965361878327</v>
      </c>
      <c r="AC96" s="13">
        <f t="shared" si="17"/>
        <v>653.05003886532916</v>
      </c>
      <c r="AD96" s="13">
        <f t="shared" si="18"/>
        <v>17.16321957708109</v>
      </c>
      <c r="AE96" s="13">
        <f t="shared" si="13"/>
        <v>8.7962718919128201E-4</v>
      </c>
      <c r="AF96" s="13">
        <f t="shared" si="19"/>
        <v>6.4736450730853913E-4</v>
      </c>
      <c r="AG96" s="13">
        <f t="shared" si="20"/>
        <v>4.9782720012712142E-4</v>
      </c>
      <c r="AH96" s="10"/>
      <c r="AI96" s="13">
        <f t="shared" si="14"/>
        <v>6.2707025889372685E-4</v>
      </c>
      <c r="AJ96" s="10"/>
      <c r="AK96" s="10"/>
      <c r="AL96" s="10"/>
      <c r="AM96" s="10"/>
      <c r="AN96" s="10"/>
    </row>
    <row r="97" spans="19:40">
      <c r="S97" s="10"/>
      <c r="T97" s="12">
        <v>91</v>
      </c>
      <c r="U97" s="13">
        <f t="shared" si="15"/>
        <v>9.6230845961127395E-2</v>
      </c>
      <c r="V97" s="13">
        <f t="shared" si="16"/>
        <v>0.25606864834220616</v>
      </c>
      <c r="W97" s="13">
        <f t="shared" si="21"/>
        <v>0.25606864834220616</v>
      </c>
      <c r="X97" s="13">
        <v>0</v>
      </c>
      <c r="Y97" s="13">
        <v>0</v>
      </c>
      <c r="Z97" s="13">
        <v>0</v>
      </c>
      <c r="AA97" s="13">
        <f t="shared" si="22"/>
        <v>8.1860933465581187</v>
      </c>
      <c r="AB97" s="13">
        <f t="shared" si="23"/>
        <v>644.60787687042887</v>
      </c>
      <c r="AC97" s="13">
        <f t="shared" si="17"/>
        <v>653.05003886532916</v>
      </c>
      <c r="AD97" s="13">
        <f t="shared" si="18"/>
        <v>16.023809070406354</v>
      </c>
      <c r="AE97" s="13">
        <f t="shared" si="13"/>
        <v>8.2355448369098917E-4</v>
      </c>
      <c r="AF97" s="13">
        <f t="shared" si="19"/>
        <v>6.0753747516260014E-4</v>
      </c>
      <c r="AG97" s="13">
        <f t="shared" si="20"/>
        <v>4.6582320647476586E-4</v>
      </c>
      <c r="AH97" s="10"/>
      <c r="AI97" s="13">
        <f t="shared" si="14"/>
        <v>5.6959129040761044E-4</v>
      </c>
      <c r="AJ97" s="10"/>
      <c r="AK97" s="10"/>
      <c r="AL97" s="10"/>
      <c r="AM97" s="10"/>
      <c r="AN97" s="10"/>
    </row>
    <row r="98" spans="19:40">
      <c r="S98" s="10"/>
      <c r="T98" s="12">
        <v>92</v>
      </c>
      <c r="U98" s="13">
        <f t="shared" si="15"/>
        <v>9.6412118714574391E-2</v>
      </c>
      <c r="V98" s="13">
        <f t="shared" si="16"/>
        <v>0.23133562497349425</v>
      </c>
      <c r="W98" s="13">
        <f t="shared" si="21"/>
        <v>0.23133562497349425</v>
      </c>
      <c r="X98" s="13">
        <v>0</v>
      </c>
      <c r="Y98" s="13">
        <v>0</v>
      </c>
      <c r="Z98" s="13">
        <v>0</v>
      </c>
      <c r="AA98" s="13">
        <f t="shared" si="22"/>
        <v>7.6954028165202084</v>
      </c>
      <c r="AB98" s="13">
        <f t="shared" si="23"/>
        <v>645.12330042383553</v>
      </c>
      <c r="AC98" s="13">
        <f t="shared" si="17"/>
        <v>653.05003886532927</v>
      </c>
      <c r="AD98" s="13">
        <f t="shared" si="18"/>
        <v>14.960205881528871</v>
      </c>
      <c r="AE98" s="13">
        <f t="shared" si="13"/>
        <v>7.709948802535093E-4</v>
      </c>
      <c r="AF98" s="13">
        <f t="shared" si="19"/>
        <v>5.7012661913753498E-4</v>
      </c>
      <c r="AG98" s="13">
        <f t="shared" si="20"/>
        <v>4.3585063072880886E-4</v>
      </c>
      <c r="AH98" s="10"/>
      <c r="AI98" s="13">
        <f t="shared" si="14"/>
        <v>5.1728679518105419E-4</v>
      </c>
      <c r="AJ98" s="10"/>
      <c r="AK98" s="10"/>
      <c r="AL98" s="10"/>
      <c r="AM98" s="10"/>
      <c r="AN98" s="10"/>
    </row>
    <row r="99" spans="19:40">
      <c r="S99" s="10"/>
      <c r="T99" s="12">
        <v>93</v>
      </c>
      <c r="U99" s="13">
        <f t="shared" si="15"/>
        <v>9.6591767673023424E-2</v>
      </c>
      <c r="V99" s="13">
        <f t="shared" si="16"/>
        <v>0.20894994259960564</v>
      </c>
      <c r="W99" s="13">
        <f t="shared" si="21"/>
        <v>0.20894994259960564</v>
      </c>
      <c r="X99" s="13">
        <v>0</v>
      </c>
      <c r="Y99" s="13">
        <v>0</v>
      </c>
      <c r="Z99" s="13">
        <v>0</v>
      </c>
      <c r="AA99" s="13">
        <f t="shared" si="22"/>
        <v>7.2332620921362674</v>
      </c>
      <c r="AB99" s="13">
        <f t="shared" si="23"/>
        <v>645.60782683059335</v>
      </c>
      <c r="AC99" s="13">
        <f t="shared" si="17"/>
        <v>653.05003886532927</v>
      </c>
      <c r="AD99" s="13">
        <f t="shared" si="18"/>
        <v>13.967360583698971</v>
      </c>
      <c r="AE99" s="13">
        <f t="shared" si="13"/>
        <v>7.2173425292550413E-4</v>
      </c>
      <c r="AF99" s="13">
        <f t="shared" si="19"/>
        <v>5.3498863698125845E-4</v>
      </c>
      <c r="AG99" s="13">
        <f t="shared" si="20"/>
        <v>4.0778310614918736E-4</v>
      </c>
      <c r="AH99" s="10"/>
      <c r="AI99" s="13">
        <f t="shared" si="14"/>
        <v>4.697005542725206E-4</v>
      </c>
      <c r="AJ99" s="10"/>
      <c r="AK99" s="10"/>
      <c r="AL99" s="10"/>
      <c r="AM99" s="10"/>
      <c r="AN99" s="10"/>
    </row>
    <row r="100" spans="19:40">
      <c r="S100" s="10"/>
      <c r="T100" s="12">
        <v>94</v>
      </c>
      <c r="U100" s="13">
        <f t="shared" si="15"/>
        <v>9.676982460981623E-2</v>
      </c>
      <c r="V100" s="13">
        <f t="shared" si="16"/>
        <v>0.18869325327011097</v>
      </c>
      <c r="W100" s="13">
        <f t="shared" si="21"/>
        <v>0.18869325327011097</v>
      </c>
      <c r="X100" s="13">
        <v>0</v>
      </c>
      <c r="Y100" s="13">
        <v>0</v>
      </c>
      <c r="Z100" s="13">
        <v>0</v>
      </c>
      <c r="AA100" s="13">
        <f t="shared" si="22"/>
        <v>6.7980916760100056</v>
      </c>
      <c r="AB100" s="13">
        <f t="shared" si="23"/>
        <v>646.06325393604914</v>
      </c>
      <c r="AC100" s="13">
        <f t="shared" si="17"/>
        <v>653.05003886532927</v>
      </c>
      <c r="AD100" s="13">
        <f t="shared" si="18"/>
        <v>13.040559559384723</v>
      </c>
      <c r="AE100" s="13">
        <f t="shared" si="13"/>
        <v>6.7557094669426292E-4</v>
      </c>
      <c r="AF100" s="13">
        <f t="shared" si="19"/>
        <v>5.0198841206260526E-4</v>
      </c>
      <c r="AG100" s="13">
        <f t="shared" si="20"/>
        <v>3.8150187384366428E-4</v>
      </c>
      <c r="AH100" s="10"/>
      <c r="AI100" s="13">
        <f t="shared" si="14"/>
        <v>4.2641559489539724E-4</v>
      </c>
      <c r="AJ100" s="10"/>
      <c r="AK100" s="10"/>
      <c r="AL100" s="10"/>
      <c r="AM100" s="10"/>
      <c r="AN100" s="10"/>
    </row>
    <row r="101" spans="19:40">
      <c r="S101" s="10"/>
      <c r="T101" s="12">
        <v>95</v>
      </c>
      <c r="U101" s="13">
        <f t="shared" si="15"/>
        <v>9.694632034660669E-2</v>
      </c>
      <c r="V101" s="13">
        <f t="shared" si="16"/>
        <v>0.17036704873384959</v>
      </c>
      <c r="W101" s="13">
        <f t="shared" si="21"/>
        <v>0.17036704873384959</v>
      </c>
      <c r="X101" s="13">
        <v>0</v>
      </c>
      <c r="Y101" s="13">
        <v>0</v>
      </c>
      <c r="Z101" s="13">
        <v>0</v>
      </c>
      <c r="AA101" s="13">
        <f t="shared" si="22"/>
        <v>6.388391711058123</v>
      </c>
      <c r="AB101" s="13">
        <f t="shared" si="23"/>
        <v>646.49128010553727</v>
      </c>
      <c r="AC101" s="13">
        <f t="shared" si="17"/>
        <v>653.05003886532927</v>
      </c>
      <c r="AD101" s="13">
        <f t="shared" si="18"/>
        <v>12.175402829726053</v>
      </c>
      <c r="AE101" s="13">
        <f t="shared" si="13"/>
        <v>6.3231510760529441E-4</v>
      </c>
      <c r="AF101" s="13">
        <f t="shared" si="19"/>
        <v>4.7099857575388541E-4</v>
      </c>
      <c r="AG101" s="13">
        <f t="shared" si="20"/>
        <v>3.5689534953665822E-4</v>
      </c>
      <c r="AH101" s="10"/>
      <c r="AI101" s="13">
        <f t="shared" si="14"/>
        <v>3.870509136744878E-4</v>
      </c>
      <c r="AJ101" s="10"/>
      <c r="AK101" s="10"/>
      <c r="AL101" s="10"/>
      <c r="AM101" s="10"/>
      <c r="AN101" s="10"/>
    </row>
    <row r="102" spans="19:40">
      <c r="S102" s="10"/>
      <c r="T102" s="12">
        <v>96</v>
      </c>
      <c r="U102" s="13">
        <f t="shared" si="15"/>
        <v>9.7121284791542403E-2</v>
      </c>
      <c r="V102" s="13">
        <f t="shared" si="16"/>
        <v>0.15379090767498557</v>
      </c>
      <c r="W102" s="13">
        <f t="shared" si="21"/>
        <v>0.15379090767498557</v>
      </c>
      <c r="X102" s="13">
        <v>0</v>
      </c>
      <c r="Y102" s="13">
        <v>0</v>
      </c>
      <c r="Z102" s="13">
        <v>0</v>
      </c>
      <c r="AA102" s="13">
        <f t="shared" si="22"/>
        <v>6.0027387158142274</v>
      </c>
      <c r="AB102" s="13">
        <f t="shared" si="23"/>
        <v>646.89350924184009</v>
      </c>
      <c r="AC102" s="13">
        <f t="shared" si="17"/>
        <v>653.05003886532927</v>
      </c>
      <c r="AD102" s="13">
        <f t="shared" si="18"/>
        <v>11.367783321027817</v>
      </c>
      <c r="AE102" s="13">
        <f t="shared" si="13"/>
        <v>5.9178804327323796E-4</v>
      </c>
      <c r="AF102" s="13">
        <f t="shared" si="19"/>
        <v>4.418990903140376E-4</v>
      </c>
      <c r="AG102" s="13">
        <f t="shared" si="20"/>
        <v>3.3385871255788442E-4</v>
      </c>
      <c r="AH102" s="10"/>
      <c r="AI102" s="13">
        <f t="shared" si="14"/>
        <v>3.5125846335023483E-4</v>
      </c>
      <c r="AJ102" s="10"/>
      <c r="AK102" s="10"/>
      <c r="AL102" s="10"/>
      <c r="AM102" s="10"/>
      <c r="AN102" s="10"/>
    </row>
    <row r="103" spans="19:40">
      <c r="S103" s="10"/>
      <c r="T103" s="12">
        <v>97</v>
      </c>
      <c r="U103" s="13">
        <f t="shared" si="15"/>
        <v>9.729474697553453E-2</v>
      </c>
      <c r="V103" s="13">
        <f t="shared" si="16"/>
        <v>0.13880089250457128</v>
      </c>
      <c r="W103" s="13">
        <f t="shared" si="21"/>
        <v>0.13880089250457128</v>
      </c>
      <c r="X103" s="13">
        <v>0</v>
      </c>
      <c r="Y103" s="13">
        <v>0</v>
      </c>
      <c r="Z103" s="13">
        <v>0</v>
      </c>
      <c r="AA103" s="13">
        <f t="shared" si="22"/>
        <v>5.6397823760227759</v>
      </c>
      <c r="AB103" s="13">
        <f t="shared" si="23"/>
        <v>647.27145559680196</v>
      </c>
      <c r="AC103" s="13">
        <f t="shared" si="17"/>
        <v>653.05003886532927</v>
      </c>
      <c r="AD103" s="13">
        <f t="shared" si="18"/>
        <v>10.613867478796873</v>
      </c>
      <c r="AE103" s="13">
        <f t="shared" si="13"/>
        <v>5.538216129903035E-4</v>
      </c>
      <c r="AF103" s="13">
        <f t="shared" si="19"/>
        <v>4.1457685160281311E-4</v>
      </c>
      <c r="AG103" s="13">
        <f t="shared" si="20"/>
        <v>3.122935161605981E-4</v>
      </c>
      <c r="AH103" s="10"/>
      <c r="AI103" s="13">
        <f t="shared" si="14"/>
        <v>3.1872038279056995E-4</v>
      </c>
      <c r="AJ103" s="10"/>
      <c r="AK103" s="10"/>
      <c r="AL103" s="10"/>
      <c r="AM103" s="10"/>
      <c r="AN103" s="10"/>
    </row>
    <row r="104" spans="19:40">
      <c r="S104" s="10"/>
      <c r="T104" s="12">
        <v>98</v>
      </c>
      <c r="U104" s="13">
        <f t="shared" si="15"/>
        <v>9.7466735086729733E-2</v>
      </c>
      <c r="V104" s="13">
        <f t="shared" si="16"/>
        <v>0.12524808351045777</v>
      </c>
      <c r="W104" s="13">
        <f t="shared" si="21"/>
        <v>0.12524808351045777</v>
      </c>
      <c r="X104" s="13">
        <v>0</v>
      </c>
      <c r="Y104" s="13">
        <v>0</v>
      </c>
      <c r="Z104" s="13">
        <v>0</v>
      </c>
      <c r="AA104" s="13">
        <f t="shared" si="22"/>
        <v>5.2982424011500653</v>
      </c>
      <c r="AB104" s="13">
        <f t="shared" si="23"/>
        <v>647.62654838066885</v>
      </c>
      <c r="AC104" s="13">
        <f t="shared" si="17"/>
        <v>653.05003886532938</v>
      </c>
      <c r="AD104" s="13">
        <f t="shared" si="18"/>
        <v>9.9100771449415532</v>
      </c>
      <c r="AE104" s="13">
        <f t="shared" si="13"/>
        <v>5.18257646587113E-4</v>
      </c>
      <c r="AF104" s="13">
        <f t="shared" si="19"/>
        <v>3.8892531094582831E-4</v>
      </c>
      <c r="AG104" s="13">
        <f t="shared" si="20"/>
        <v>2.921073182874436E-4</v>
      </c>
      <c r="AH104" s="10"/>
      <c r="AI104" s="13">
        <f t="shared" si="14"/>
        <v>2.891464516013846E-4</v>
      </c>
      <c r="AJ104" s="10"/>
      <c r="AK104" s="10"/>
      <c r="AL104" s="10"/>
      <c r="AM104" s="10"/>
      <c r="AN104" s="10"/>
    </row>
    <row r="105" spans="19:40">
      <c r="S105" s="10"/>
      <c r="T105" s="12">
        <v>99</v>
      </c>
      <c r="U105" s="13">
        <f t="shared" si="15"/>
        <v>9.7637276503291154E-2</v>
      </c>
      <c r="V105" s="13">
        <f t="shared" si="16"/>
        <v>0.11299723910250212</v>
      </c>
      <c r="W105" s="13">
        <f t="shared" si="21"/>
        <v>0.11299723910250212</v>
      </c>
      <c r="X105" s="13">
        <v>0</v>
      </c>
      <c r="Y105" s="13">
        <v>0</v>
      </c>
      <c r="Z105" s="13">
        <v>0</v>
      </c>
      <c r="AA105" s="13">
        <f t="shared" si="22"/>
        <v>4.9769054529642096</v>
      </c>
      <c r="AB105" s="13">
        <f t="shared" si="23"/>
        <v>647.96013617326264</v>
      </c>
      <c r="AC105" s="13">
        <f t="shared" si="17"/>
        <v>653.05003886532938</v>
      </c>
      <c r="AD105" s="13">
        <f t="shared" si="18"/>
        <v>9.2530726186296377</v>
      </c>
      <c r="AE105" s="13">
        <f t="shared" si="13"/>
        <v>4.8494739116285851E-4</v>
      </c>
      <c r="AF105" s="13">
        <f t="shared" si="19"/>
        <v>3.6484411546466996E-4</v>
      </c>
      <c r="AG105" s="13">
        <f t="shared" si="20"/>
        <v>2.7321333191383709E-4</v>
      </c>
      <c r="AH105" s="10"/>
      <c r="AI105" s="13">
        <f t="shared" si="14"/>
        <v>2.6227175196770204E-4</v>
      </c>
      <c r="AJ105" s="10"/>
      <c r="AK105" s="10"/>
      <c r="AL105" s="10"/>
      <c r="AM105" s="10"/>
      <c r="AN105" s="10"/>
    </row>
    <row r="106" spans="19:40">
      <c r="S106" s="10"/>
      <c r="T106" s="12">
        <v>100</v>
      </c>
      <c r="U106" s="13">
        <f t="shared" si="15"/>
        <v>9.7806397824587263E-2</v>
      </c>
      <c r="V106" s="13">
        <f t="shared" si="16"/>
        <v>0.10192557175925671</v>
      </c>
      <c r="W106" s="13">
        <f t="shared" si="21"/>
        <v>0.10192557175925671</v>
      </c>
      <c r="X106" s="13">
        <v>0</v>
      </c>
      <c r="Y106" s="13">
        <v>0</v>
      </c>
      <c r="Z106" s="13">
        <v>0</v>
      </c>
      <c r="AA106" s="13">
        <f t="shared" si="22"/>
        <v>4.6746221520184958</v>
      </c>
      <c r="AB106" s="13">
        <f t="shared" si="23"/>
        <v>648.27349114155163</v>
      </c>
      <c r="AC106" s="13">
        <f t="shared" si="17"/>
        <v>653.05003886532938</v>
      </c>
      <c r="AD106" s="13">
        <f t="shared" si="18"/>
        <v>8.6397368259469705</v>
      </c>
      <c r="AE106" s="13">
        <f t="shared" si="13"/>
        <v>4.5375098477375516E-4</v>
      </c>
      <c r="AF106" s="13">
        <f t="shared" si="19"/>
        <v>3.4223876618488715E-4</v>
      </c>
      <c r="AG106" s="13">
        <f t="shared" si="20"/>
        <v>2.5553009411386261E-4</v>
      </c>
      <c r="AH106" s="10"/>
      <c r="AI106" s="13">
        <f t="shared" si="14"/>
        <v>2.3785452161295646E-4</v>
      </c>
      <c r="AJ106" s="10"/>
      <c r="AK106" s="10"/>
      <c r="AL106" s="10"/>
      <c r="AM106" s="10"/>
      <c r="AN106" s="10"/>
    </row>
    <row r="107" spans="19:40">
      <c r="S107" s="10"/>
      <c r="T107" s="12">
        <v>101</v>
      </c>
      <c r="U107" s="13">
        <f t="shared" si="15"/>
        <v>9.7974124900881129E-2</v>
      </c>
      <c r="V107" s="13">
        <f t="shared" si="16"/>
        <v>9.1921630090427295E-2</v>
      </c>
      <c r="W107" s="13">
        <f t="shared" si="21"/>
        <v>9.1921630090427295E-2</v>
      </c>
      <c r="X107" s="13">
        <v>0</v>
      </c>
      <c r="Y107" s="13">
        <v>0</v>
      </c>
      <c r="Z107" s="13">
        <v>0</v>
      </c>
      <c r="AA107" s="13">
        <f t="shared" si="22"/>
        <v>4.3903041666989138</v>
      </c>
      <c r="AB107" s="13">
        <f t="shared" si="23"/>
        <v>648.56781306854009</v>
      </c>
      <c r="AC107" s="13">
        <f t="shared" si="17"/>
        <v>653.05003886532938</v>
      </c>
      <c r="AD107" s="13">
        <f t="shared" si="18"/>
        <v>8.0671605279173804</v>
      </c>
      <c r="AE107" s="13">
        <f t="shared" si="13"/>
        <v>4.2453695614962046E-4</v>
      </c>
      <c r="AF107" s="13">
        <f t="shared" si="19"/>
        <v>3.2102029323707561E-4</v>
      </c>
      <c r="AG107" s="13">
        <f t="shared" si="20"/>
        <v>2.389811530113286E-4</v>
      </c>
      <c r="AH107" s="10"/>
      <c r="AI107" s="13">
        <f t="shared" si="14"/>
        <v>2.156741829379634E-4</v>
      </c>
      <c r="AJ107" s="10"/>
      <c r="AK107" s="10"/>
      <c r="AL107" s="10"/>
      <c r="AM107" s="10"/>
      <c r="AN107" s="10"/>
    </row>
    <row r="108" spans="19:40">
      <c r="S108" s="10"/>
      <c r="T108" s="12">
        <v>102</v>
      </c>
      <c r="U108" s="13">
        <f t="shared" si="15"/>
        <v>9.8140482861606204E-2</v>
      </c>
      <c r="V108" s="13">
        <f t="shared" si="16"/>
        <v>8.2884278179977511E-2</v>
      </c>
      <c r="W108" s="13">
        <f t="shared" si="21"/>
        <v>8.2884278179977511E-2</v>
      </c>
      <c r="X108" s="13">
        <v>0</v>
      </c>
      <c r="Y108" s="13">
        <v>0</v>
      </c>
      <c r="Z108" s="13">
        <v>0</v>
      </c>
      <c r="AA108" s="13">
        <f t="shared" si="22"/>
        <v>4.1229213884543228</v>
      </c>
      <c r="AB108" s="13">
        <f t="shared" si="23"/>
        <v>648.84423319869506</v>
      </c>
      <c r="AC108" s="13">
        <f t="shared" si="17"/>
        <v>653.05003886532938</v>
      </c>
      <c r="AD108" s="13">
        <f t="shared" si="18"/>
        <v>7.5326285006414295</v>
      </c>
      <c r="AE108" s="13">
        <f t="shared" si="13"/>
        <v>3.9718174949698447E-4</v>
      </c>
      <c r="AF108" s="13">
        <f t="shared" si="19"/>
        <v>3.0110494747185998E-4</v>
      </c>
      <c r="AG108" s="13">
        <f t="shared" si="20"/>
        <v>2.2349477179843633E-4</v>
      </c>
      <c r="AH108" s="10"/>
      <c r="AI108" s="13">
        <f t="shared" si="14"/>
        <v>1.9552953449776295E-4</v>
      </c>
      <c r="AJ108" s="10"/>
      <c r="AK108" s="10"/>
      <c r="AL108" s="10"/>
      <c r="AM108" s="10"/>
      <c r="AN108" s="10"/>
    </row>
    <row r="109" spans="19:40">
      <c r="S109" s="10"/>
      <c r="T109" s="12">
        <v>103</v>
      </c>
      <c r="U109" s="13">
        <f t="shared" si="15"/>
        <v>9.8305496142309309E-2</v>
      </c>
      <c r="V109" s="13">
        <f t="shared" si="16"/>
        <v>7.4721764071328536E-2</v>
      </c>
      <c r="W109" s="13">
        <f t="shared" si="21"/>
        <v>7.4721764071328536E-2</v>
      </c>
      <c r="X109" s="13">
        <v>0</v>
      </c>
      <c r="Y109" s="13">
        <v>0</v>
      </c>
      <c r="Z109" s="13">
        <v>0</v>
      </c>
      <c r="AA109" s="13">
        <f t="shared" si="22"/>
        <v>3.8714991959048604</v>
      </c>
      <c r="AB109" s="13">
        <f t="shared" si="23"/>
        <v>649.10381790535314</v>
      </c>
      <c r="AC109" s="13">
        <f t="shared" si="17"/>
        <v>653.05003886532938</v>
      </c>
      <c r="AD109" s="13">
        <f t="shared" si="18"/>
        <v>7.0336066252928102</v>
      </c>
      <c r="AE109" s="13">
        <f t="shared" si="13"/>
        <v>3.7156927344239859E-4</v>
      </c>
      <c r="AF109" s="13">
        <f t="shared" si="19"/>
        <v>2.8241390781791591E-4</v>
      </c>
      <c r="AG109" s="13">
        <f t="shared" si="20"/>
        <v>2.090036490260616E-4</v>
      </c>
      <c r="AH109" s="10"/>
      <c r="AI109" s="13">
        <f t="shared" si="14"/>
        <v>1.7723709199851917E-4</v>
      </c>
      <c r="AJ109" s="10"/>
      <c r="AK109" s="10"/>
      <c r="AL109" s="10"/>
      <c r="AM109" s="10"/>
      <c r="AN109" s="10"/>
    </row>
    <row r="110" spans="19:40">
      <c r="S110" s="10"/>
      <c r="T110" s="12">
        <v>104</v>
      </c>
      <c r="U110" s="13">
        <f t="shared" si="15"/>
        <v>9.8469188510335273E-2</v>
      </c>
      <c r="V110" s="13">
        <f t="shared" si="16"/>
        <v>6.7350869902005561E-2</v>
      </c>
      <c r="W110" s="13">
        <f t="shared" si="21"/>
        <v>6.7350869902005561E-2</v>
      </c>
      <c r="X110" s="13">
        <v>0</v>
      </c>
      <c r="Y110" s="13">
        <v>0</v>
      </c>
      <c r="Z110" s="13">
        <v>0</v>
      </c>
      <c r="AA110" s="13">
        <f t="shared" si="22"/>
        <v>3.6351158097100473</v>
      </c>
      <c r="AB110" s="13">
        <f t="shared" si="23"/>
        <v>649.34757218571724</v>
      </c>
      <c r="AC110" s="13">
        <f t="shared" si="17"/>
        <v>653.05003886532927</v>
      </c>
      <c r="AD110" s="13">
        <f t="shared" si="18"/>
        <v>6.5677298294836364</v>
      </c>
      <c r="AE110" s="13">
        <f t="shared" si="13"/>
        <v>3.4759047317069842E-4</v>
      </c>
      <c r="AF110" s="13">
        <f t="shared" si="19"/>
        <v>2.6487300372286473E-4</v>
      </c>
      <c r="AG110" s="13">
        <f t="shared" si="20"/>
        <v>1.9544465439256956E-4</v>
      </c>
      <c r="AH110" s="10"/>
      <c r="AI110" s="13">
        <f t="shared" si="14"/>
        <v>1.6062956695139612E-4</v>
      </c>
      <c r="AJ110" s="10"/>
      <c r="AK110" s="10"/>
      <c r="AL110" s="10"/>
      <c r="AM110" s="10"/>
      <c r="AN110" s="10"/>
    </row>
    <row r="111" spans="19:40">
      <c r="S111" s="10"/>
      <c r="T111" s="12">
        <v>105</v>
      </c>
      <c r="U111" s="13">
        <f t="shared" si="15"/>
        <v>9.8631583089324543E-2</v>
      </c>
      <c r="V111" s="13">
        <f t="shared" si="16"/>
        <v>6.0696136793524882E-2</v>
      </c>
      <c r="W111" s="13">
        <f t="shared" si="21"/>
        <v>6.0696136793524882E-2</v>
      </c>
      <c r="X111" s="13">
        <v>0</v>
      </c>
      <c r="Y111" s="13">
        <v>0</v>
      </c>
      <c r="Z111" s="13">
        <v>0</v>
      </c>
      <c r="AA111" s="13">
        <f t="shared" si="22"/>
        <v>3.4128997393624294</v>
      </c>
      <c r="AB111" s="13">
        <f t="shared" si="23"/>
        <v>649.57644298917342</v>
      </c>
      <c r="AC111" s="13">
        <f t="shared" si="17"/>
        <v>653.05003886532938</v>
      </c>
      <c r="AD111" s="13">
        <f t="shared" si="18"/>
        <v>6.1327908250805407</v>
      </c>
      <c r="AE111" s="13">
        <f t="shared" si="13"/>
        <v>3.2514292481906481E-4</v>
      </c>
      <c r="AF111" s="13">
        <f t="shared" si="19"/>
        <v>2.4841245202951017E-4</v>
      </c>
      <c r="AG111" s="13">
        <f t="shared" si="20"/>
        <v>1.8275857928205056E-4</v>
      </c>
      <c r="AH111" s="10"/>
      <c r="AI111" s="13">
        <f t="shared" si="14"/>
        <v>1.4555447201005682E-4</v>
      </c>
      <c r="AJ111" s="10"/>
      <c r="AK111" s="10"/>
      <c r="AL111" s="10"/>
      <c r="AM111" s="10"/>
      <c r="AN111" s="10"/>
    </row>
    <row r="112" spans="19:40">
      <c r="S112" s="10"/>
      <c r="T112" s="12">
        <v>106</v>
      </c>
      <c r="U112" s="13">
        <f t="shared" si="15"/>
        <v>9.8792702382588304E-2</v>
      </c>
      <c r="V112" s="13">
        <f t="shared" si="16"/>
        <v>5.4689158156360093E-2</v>
      </c>
      <c r="W112" s="13">
        <f t="shared" si="21"/>
        <v>5.4689158156360093E-2</v>
      </c>
      <c r="X112" s="13">
        <v>0</v>
      </c>
      <c r="Y112" s="13">
        <v>0</v>
      </c>
      <c r="Z112" s="13">
        <v>0</v>
      </c>
      <c r="AA112" s="13">
        <f t="shared" si="22"/>
        <v>3.2040273224463887</v>
      </c>
      <c r="AB112" s="13">
        <f t="shared" si="23"/>
        <v>649.79132238472664</v>
      </c>
      <c r="AC112" s="13">
        <f t="shared" si="17"/>
        <v>653.05003886532938</v>
      </c>
      <c r="AD112" s="13">
        <f t="shared" si="18"/>
        <v>5.7267295909301126</v>
      </c>
      <c r="AE112" s="13">
        <f t="shared" si="13"/>
        <v>3.0413045119809186E-4</v>
      </c>
      <c r="AF112" s="13">
        <f t="shared" si="19"/>
        <v>2.3296660765417563E-4</v>
      </c>
      <c r="AG112" s="13">
        <f t="shared" si="20"/>
        <v>1.7088990132761362E-4</v>
      </c>
      <c r="AH112" s="10"/>
      <c r="AI112" s="13">
        <f t="shared" si="14"/>
        <v>1.3187284284689761E-4</v>
      </c>
      <c r="AJ112" s="10"/>
      <c r="AK112" s="10"/>
      <c r="AL112" s="10"/>
      <c r="AM112" s="10"/>
      <c r="AN112" s="10"/>
    </row>
    <row r="113" spans="19:40">
      <c r="S113" s="10"/>
      <c r="T113" s="12">
        <v>107</v>
      </c>
      <c r="U113" s="13">
        <f t="shared" si="15"/>
        <v>9.895256829542326E-2</v>
      </c>
      <c r="V113" s="13">
        <f t="shared" si="16"/>
        <v>4.926793558238704E-2</v>
      </c>
      <c r="W113" s="13">
        <f t="shared" si="21"/>
        <v>4.926793558238704E-2</v>
      </c>
      <c r="X113" s="13">
        <v>0</v>
      </c>
      <c r="Y113" s="13">
        <v>0</v>
      </c>
      <c r="Z113" s="13">
        <v>0</v>
      </c>
      <c r="AA113" s="13">
        <f t="shared" si="22"/>
        <v>3.0077203563563093</v>
      </c>
      <c r="AB113" s="13">
        <f t="shared" si="23"/>
        <v>649.99305057339063</v>
      </c>
      <c r="AC113" s="13">
        <f t="shared" si="17"/>
        <v>653.05003886532938</v>
      </c>
      <c r="AD113" s="13">
        <f t="shared" si="18"/>
        <v>5.3476235521417665</v>
      </c>
      <c r="AE113" s="13">
        <f t="shared" si="13"/>
        <v>2.8446275792507624E-4</v>
      </c>
      <c r="AF113" s="13">
        <f t="shared" si="19"/>
        <v>2.184737274495051E-4</v>
      </c>
      <c r="AG113" s="13">
        <f t="shared" si="20"/>
        <v>1.597865623006336E-4</v>
      </c>
      <c r="AH113" s="10"/>
      <c r="AI113" s="13">
        <f t="shared" si="14"/>
        <v>1.1945806719384464E-4</v>
      </c>
      <c r="AJ113" s="10"/>
      <c r="AK113" s="10"/>
      <c r="AL113" s="10"/>
      <c r="AM113" s="10"/>
      <c r="AN113" s="10"/>
    </row>
    <row r="114" spans="19:40">
      <c r="S114" s="10"/>
      <c r="T114" s="12">
        <v>108</v>
      </c>
      <c r="U114" s="13">
        <f t="shared" si="15"/>
        <v>9.9111202156423384E-2</v>
      </c>
      <c r="V114" s="13">
        <f t="shared" si="16"/>
        <v>4.4376291971053014E-2</v>
      </c>
      <c r="W114" s="13">
        <f t="shared" si="21"/>
        <v>4.4376291971053014E-2</v>
      </c>
      <c r="X114" s="13">
        <v>0</v>
      </c>
      <c r="Y114" s="13">
        <v>0</v>
      </c>
      <c r="Z114" s="13">
        <v>0</v>
      </c>
      <c r="AA114" s="13">
        <f t="shared" si="22"/>
        <v>2.8232438219958493</v>
      </c>
      <c r="AB114" s="13">
        <f t="shared" si="23"/>
        <v>650.18241875136243</v>
      </c>
      <c r="AC114" s="13">
        <f t="shared" si="17"/>
        <v>653.05003886532938</v>
      </c>
      <c r="AD114" s="13">
        <f t="shared" si="18"/>
        <v>4.9936784105872167</v>
      </c>
      <c r="AE114" s="13">
        <f t="shared" si="13"/>
        <v>2.660550890717984E-4</v>
      </c>
      <c r="AF114" s="13">
        <f t="shared" si="19"/>
        <v>2.0487574665078873E-4</v>
      </c>
      <c r="AG114" s="13">
        <f t="shared" si="20"/>
        <v>1.493997586524322E-4</v>
      </c>
      <c r="AH114" s="10"/>
      <c r="AI114" s="13">
        <f t="shared" si="14"/>
        <v>1.0819481239010224E-4</v>
      </c>
      <c r="AJ114" s="10"/>
      <c r="AK114" s="10"/>
      <c r="AL114" s="10"/>
      <c r="AM114" s="10"/>
      <c r="AN114" s="10"/>
    </row>
    <row r="115" spans="19:40">
      <c r="S115" s="10"/>
      <c r="T115" s="12">
        <v>109</v>
      </c>
      <c r="U115" s="13">
        <f t="shared" si="15"/>
        <v>9.9268624737842495E-2</v>
      </c>
      <c r="V115" s="13">
        <f t="shared" si="16"/>
        <v>3.9963336973268919E-2</v>
      </c>
      <c r="W115" s="13">
        <f t="shared" si="21"/>
        <v>3.9963336973268919E-2</v>
      </c>
      <c r="X115" s="13">
        <v>0</v>
      </c>
      <c r="Y115" s="13">
        <v>0</v>
      </c>
      <c r="Z115" s="13">
        <v>0</v>
      </c>
      <c r="AA115" s="13">
        <f t="shared" si="22"/>
        <v>2.6499036985733464</v>
      </c>
      <c r="AB115" s="13">
        <f t="shared" si="23"/>
        <v>650.36017182978276</v>
      </c>
      <c r="AC115" s="13">
        <f t="shared" si="17"/>
        <v>653.05003886532938</v>
      </c>
      <c r="AD115" s="13">
        <f t="shared" si="18"/>
        <v>4.6632195841152475</v>
      </c>
      <c r="AE115" s="13">
        <f t="shared" si="13"/>
        <v>2.4882790144865012E-4</v>
      </c>
      <c r="AF115" s="13">
        <f t="shared" si="19"/>
        <v>1.921180673223938E-4</v>
      </c>
      <c r="AG115" s="13">
        <f t="shared" si="20"/>
        <v>1.396837440605667E-4</v>
      </c>
      <c r="AH115" s="10"/>
      <c r="AI115" s="13">
        <f t="shared" si="14"/>
        <v>9.7978043444968288E-5</v>
      </c>
      <c r="AJ115" s="10"/>
      <c r="AK115" s="10"/>
      <c r="AL115" s="10"/>
      <c r="AM115" s="10"/>
      <c r="AN115" s="10"/>
    </row>
    <row r="116" spans="19:40">
      <c r="S116" s="10"/>
      <c r="T116" s="12">
        <v>110</v>
      </c>
      <c r="U116" s="13">
        <f t="shared" si="15"/>
        <v>9.9424856275058496E-2</v>
      </c>
      <c r="V116" s="13">
        <f t="shared" si="16"/>
        <v>3.5982980241163774E-2</v>
      </c>
      <c r="W116" s="13">
        <f t="shared" si="21"/>
        <v>3.5982980241163774E-2</v>
      </c>
      <c r="X116" s="13">
        <v>0</v>
      </c>
      <c r="Y116" s="13">
        <v>0</v>
      </c>
      <c r="Z116" s="13">
        <v>0</v>
      </c>
      <c r="AA116" s="13">
        <f t="shared" si="22"/>
        <v>2.4870448682608286</v>
      </c>
      <c r="AB116" s="13">
        <f t="shared" si="23"/>
        <v>650.52701101682737</v>
      </c>
      <c r="AC116" s="13">
        <f t="shared" si="17"/>
        <v>653.05003886532938</v>
      </c>
      <c r="AD116" s="13">
        <f t="shared" si="18"/>
        <v>4.3546842146566114</v>
      </c>
      <c r="AE116" s="13">
        <f t="shared" si="13"/>
        <v>2.3270655666863255E-4</v>
      </c>
      <c r="AF116" s="13">
        <f t="shared" si="19"/>
        <v>1.8014935823904682E-4</v>
      </c>
      <c r="AG116" s="13">
        <f t="shared" si="20"/>
        <v>1.30595643357563E-4</v>
      </c>
      <c r="AH116" s="10"/>
      <c r="AI116" s="13">
        <f t="shared" si="14"/>
        <v>8.8712124241842468E-5</v>
      </c>
      <c r="AJ116" s="10"/>
      <c r="AK116" s="10"/>
      <c r="AL116" s="10"/>
      <c r="AM116" s="10"/>
      <c r="AN116" s="10"/>
    </row>
    <row r="117" spans="19:40">
      <c r="S117" s="10"/>
      <c r="T117" s="12">
        <v>111</v>
      </c>
      <c r="U117" s="13">
        <f t="shared" si="15"/>
        <v>9.9579916485186257E-2</v>
      </c>
      <c r="V117" s="13">
        <f t="shared" si="16"/>
        <v>3.2393488344709766E-2</v>
      </c>
      <c r="W117" s="13">
        <f t="shared" si="21"/>
        <v>3.2393488344709766E-2</v>
      </c>
      <c r="X117" s="13">
        <v>0</v>
      </c>
      <c r="Y117" s="13">
        <v>0</v>
      </c>
      <c r="Z117" s="13">
        <v>0</v>
      </c>
      <c r="AA117" s="13">
        <f t="shared" si="22"/>
        <v>2.3340491091896265</v>
      </c>
      <c r="AB117" s="13">
        <f t="shared" si="23"/>
        <v>650.68359626779511</v>
      </c>
      <c r="AC117" s="13">
        <f t="shared" si="17"/>
        <v>653.0500388653295</v>
      </c>
      <c r="AD117" s="13">
        <f t="shared" si="18"/>
        <v>4.0666137079141897</v>
      </c>
      <c r="AE117" s="13">
        <f t="shared" si="13"/>
        <v>2.1762103015808139E-4</v>
      </c>
      <c r="AF117" s="13">
        <f t="shared" si="19"/>
        <v>1.689213656553228E-4</v>
      </c>
      <c r="AG117" s="13">
        <f t="shared" si="20"/>
        <v>1.2209527724541317E-4</v>
      </c>
      <c r="AH117" s="10"/>
      <c r="AI117" s="13">
        <f t="shared" si="14"/>
        <v>8.0309995083004623E-5</v>
      </c>
      <c r="AJ117" s="10"/>
      <c r="AK117" s="10"/>
      <c r="AL117" s="10"/>
      <c r="AM117" s="10"/>
      <c r="AN117" s="10"/>
    </row>
    <row r="118" spans="19:40">
      <c r="S118" s="10"/>
      <c r="T118" s="12">
        <v>112</v>
      </c>
      <c r="U118" s="13">
        <f t="shared" si="15"/>
        <v>9.9733824584884251E-2</v>
      </c>
      <c r="V118" s="13">
        <f t="shared" si="16"/>
        <v>2.9157081560027977E-2</v>
      </c>
      <c r="W118" s="13">
        <f t="shared" si="21"/>
        <v>2.9157081560027977E-2</v>
      </c>
      <c r="X118" s="13">
        <v>0</v>
      </c>
      <c r="Y118" s="13">
        <v>0</v>
      </c>
      <c r="Z118" s="13">
        <v>0</v>
      </c>
      <c r="AA118" s="13">
        <f t="shared" si="22"/>
        <v>2.190333175008635</v>
      </c>
      <c r="AB118" s="13">
        <f t="shared" si="23"/>
        <v>650.83054860876075</v>
      </c>
      <c r="AC118" s="13">
        <f t="shared" si="17"/>
        <v>653.05003886532938</v>
      </c>
      <c r="AD118" s="13">
        <f t="shared" si="18"/>
        <v>3.7976467697054432</v>
      </c>
      <c r="AE118" s="13">
        <f t="shared" si="13"/>
        <v>2.0350563630560983E-4</v>
      </c>
      <c r="AF118" s="13">
        <f t="shared" si="19"/>
        <v>1.5838873443560435E-4</v>
      </c>
      <c r="AG118" s="13">
        <f t="shared" si="20"/>
        <v>1.1414499722434757E-4</v>
      </c>
      <c r="AH118" s="10"/>
      <c r="AI118" s="13">
        <f t="shared" si="14"/>
        <v>7.2692420306340297E-5</v>
      </c>
      <c r="AJ118" s="10"/>
      <c r="AK118" s="10"/>
      <c r="AL118" s="10"/>
      <c r="AM118" s="10"/>
      <c r="AN118" s="10"/>
    </row>
    <row r="119" spans="19:40">
      <c r="S119" s="10"/>
      <c r="T119" s="12">
        <v>113</v>
      </c>
      <c r="U119" s="13">
        <f t="shared" si="15"/>
        <v>9.988659930739606E-2</v>
      </c>
      <c r="V119" s="13">
        <f t="shared" si="16"/>
        <v>2.6239567050994467E-2</v>
      </c>
      <c r="W119" s="13">
        <f t="shared" si="21"/>
        <v>2.6239567050994467E-2</v>
      </c>
      <c r="X119" s="13">
        <v>0</v>
      </c>
      <c r="Y119" s="13">
        <v>0</v>
      </c>
      <c r="Z119" s="13">
        <v>0</v>
      </c>
      <c r="AA119" s="13">
        <f t="shared" si="22"/>
        <v>2.0553469590268194</v>
      </c>
      <c r="AB119" s="13">
        <f t="shared" si="23"/>
        <v>650.9684523392516</v>
      </c>
      <c r="AC119" s="13">
        <f t="shared" si="17"/>
        <v>653.05003886532938</v>
      </c>
      <c r="AD119" s="13">
        <f t="shared" si="18"/>
        <v>3.5465129062550087</v>
      </c>
      <c r="AE119" s="13">
        <f t="shared" si="13"/>
        <v>1.90298768966389E-4</v>
      </c>
      <c r="AF119" s="13">
        <f t="shared" si="19"/>
        <v>1.4850883903582727E-4</v>
      </c>
      <c r="AG119" s="13">
        <f t="shared" si="20"/>
        <v>1.0670953018918474E-4</v>
      </c>
      <c r="AH119" s="10"/>
      <c r="AI119" s="13">
        <f t="shared" si="14"/>
        <v>6.5787300197923363E-5</v>
      </c>
      <c r="AJ119" s="10"/>
      <c r="AK119" s="10"/>
      <c r="AL119" s="10"/>
      <c r="AM119" s="10"/>
      <c r="AN119" s="10"/>
    </row>
    <row r="120" spans="19:40">
      <c r="S120" s="10"/>
      <c r="T120" s="12">
        <v>114</v>
      </c>
      <c r="U120" s="13">
        <f t="shared" si="15"/>
        <v>0.10003825891886656</v>
      </c>
      <c r="V120" s="13">
        <f t="shared" si="16"/>
        <v>2.3610005257531295E-2</v>
      </c>
      <c r="W120" s="13">
        <f t="shared" si="21"/>
        <v>2.3610005257531295E-2</v>
      </c>
      <c r="X120" s="13">
        <v>0</v>
      </c>
      <c r="Y120" s="13">
        <v>0</v>
      </c>
      <c r="Z120" s="13">
        <v>0</v>
      </c>
      <c r="AA120" s="13">
        <f t="shared" si="22"/>
        <v>1.9285717407949563</v>
      </c>
      <c r="AB120" s="13">
        <f t="shared" si="23"/>
        <v>651.09785711927691</v>
      </c>
      <c r="AC120" s="13">
        <f t="shared" si="17"/>
        <v>653.05003886532938</v>
      </c>
      <c r="AD120" s="13">
        <f t="shared" si="18"/>
        <v>3.3120263578323614</v>
      </c>
      <c r="AE120" s="13">
        <f t="shared" si="13"/>
        <v>1.7794265656521916E-4</v>
      </c>
      <c r="AF120" s="13">
        <f t="shared" si="19"/>
        <v>1.3924162384742325E-4</v>
      </c>
      <c r="AG120" s="13">
        <f t="shared" si="20"/>
        <v>9.975583217088172E-5</v>
      </c>
      <c r="AH120" s="10"/>
      <c r="AI120" s="13">
        <f t="shared" si="14"/>
        <v>5.9529041880535117E-5</v>
      </c>
      <c r="AJ120" s="10"/>
      <c r="AK120" s="10"/>
      <c r="AL120" s="10"/>
      <c r="AM120" s="10"/>
      <c r="AN120" s="10"/>
    </row>
    <row r="121" spans="19:40">
      <c r="S121" s="10"/>
      <c r="T121" s="12">
        <v>115</v>
      </c>
      <c r="U121" s="13">
        <f t="shared" si="15"/>
        <v>0.10018882123396988</v>
      </c>
      <c r="V121" s="13">
        <f t="shared" si="16"/>
        <v>2.1240406572514192E-2</v>
      </c>
      <c r="W121" s="13">
        <f t="shared" si="21"/>
        <v>2.1240406572514192E-2</v>
      </c>
      <c r="X121" s="13">
        <v>0</v>
      </c>
      <c r="Y121" s="13">
        <v>0</v>
      </c>
      <c r="Z121" s="13">
        <v>0</v>
      </c>
      <c r="AA121" s="13">
        <f t="shared" si="22"/>
        <v>1.8095185128486646</v>
      </c>
      <c r="AB121" s="13">
        <f t="shared" si="23"/>
        <v>651.21927994590817</v>
      </c>
      <c r="AC121" s="13">
        <f t="shared" si="17"/>
        <v>653.05003886532938</v>
      </c>
      <c r="AD121" s="13">
        <f t="shared" si="18"/>
        <v>3.0930804370994749</v>
      </c>
      <c r="AE121" s="13">
        <f t="shared" si="13"/>
        <v>1.6638313106863745E-4</v>
      </c>
      <c r="AF121" s="13">
        <f t="shared" si="19"/>
        <v>1.3054945243288292E-4</v>
      </c>
      <c r="AG121" s="13">
        <f t="shared" si="20"/>
        <v>9.3252950724677012E-5</v>
      </c>
      <c r="AH121" s="10"/>
      <c r="AI121" s="13">
        <f t="shared" si="14"/>
        <v>5.3857984280471482E-5</v>
      </c>
      <c r="AJ121" s="10"/>
      <c r="AK121" s="10"/>
      <c r="AL121" s="10"/>
      <c r="AM121" s="10"/>
      <c r="AN121" s="10"/>
    </row>
    <row r="122" spans="19:40">
      <c r="S122" s="10"/>
      <c r="T122" s="12">
        <v>116</v>
      </c>
      <c r="U122" s="13">
        <f t="shared" si="15"/>
        <v>0.10033830363088304</v>
      </c>
      <c r="V122" s="13">
        <f t="shared" si="16"/>
        <v>1.9105455636268732E-2</v>
      </c>
      <c r="W122" s="13">
        <f t="shared" si="21"/>
        <v>1.9105455636268732E-2</v>
      </c>
      <c r="X122" s="13">
        <v>0</v>
      </c>
      <c r="Y122" s="13">
        <v>0</v>
      </c>
      <c r="Z122" s="13">
        <v>0</v>
      </c>
      <c r="AA122" s="13">
        <f t="shared" si="22"/>
        <v>1.6977263852316571</v>
      </c>
      <c r="AB122" s="13">
        <f t="shared" si="23"/>
        <v>651.33320702446144</v>
      </c>
      <c r="AC122" s="13">
        <f t="shared" si="17"/>
        <v>653.05003886532938</v>
      </c>
      <c r="AD122" s="13">
        <f t="shared" si="18"/>
        <v>2.8886422453833687</v>
      </c>
      <c r="AE122" s="13">
        <f t="shared" si="13"/>
        <v>1.5556941012335768E-4</v>
      </c>
      <c r="AF122" s="13">
        <f t="shared" si="19"/>
        <v>1.2239696520121877E-4</v>
      </c>
      <c r="AG122" s="13">
        <f t="shared" si="20"/>
        <v>8.717189548938689E-5</v>
      </c>
      <c r="AH122" s="10"/>
      <c r="AI122" s="13">
        <f t="shared" si="14"/>
        <v>4.8719872665626887E-5</v>
      </c>
      <c r="AJ122" s="10"/>
      <c r="AK122" s="10"/>
      <c r="AL122" s="10"/>
      <c r="AM122" s="10"/>
      <c r="AN122" s="10"/>
    </row>
    <row r="123" spans="19:40">
      <c r="S123" s="10"/>
      <c r="T123" s="12">
        <v>117</v>
      </c>
      <c r="U123" s="13">
        <f t="shared" si="15"/>
        <v>0.10048672306563922</v>
      </c>
      <c r="V123" s="13">
        <f t="shared" si="16"/>
        <v>1.7182260804759781E-2</v>
      </c>
      <c r="W123" s="13">
        <f t="shared" si="21"/>
        <v>1.7182260804759781E-2</v>
      </c>
      <c r="X123" s="13">
        <v>0</v>
      </c>
      <c r="Y123" s="13">
        <v>0</v>
      </c>
      <c r="Z123" s="13">
        <v>0</v>
      </c>
      <c r="AA123" s="13">
        <f t="shared" si="22"/>
        <v>1.5927610653413955</v>
      </c>
      <c r="AB123" s="13">
        <f t="shared" si="23"/>
        <v>651.44009553918318</v>
      </c>
      <c r="AC123" s="13">
        <f t="shared" si="17"/>
        <v>653.05003886532938</v>
      </c>
      <c r="AD123" s="13">
        <f t="shared" si="18"/>
        <v>2.6977477418245952</v>
      </c>
      <c r="AE123" s="13">
        <f t="shared" si="13"/>
        <v>1.4545389168544603E-4</v>
      </c>
      <c r="AF123" s="13">
        <f t="shared" si="19"/>
        <v>1.147509450902208E-4</v>
      </c>
      <c r="AG123" s="13">
        <f t="shared" si="20"/>
        <v>8.1485516464938507E-5</v>
      </c>
      <c r="AH123" s="10"/>
      <c r="AI123" s="13">
        <f t="shared" si="14"/>
        <v>4.4065378608911941E-5</v>
      </c>
      <c r="AJ123" s="10"/>
      <c r="AK123" s="10"/>
      <c r="AL123" s="10"/>
      <c r="AM123" s="10"/>
      <c r="AN123" s="10"/>
    </row>
    <row r="124" spans="19:40">
      <c r="S124" s="10"/>
      <c r="T124" s="12">
        <v>118</v>
      </c>
      <c r="U124" s="13">
        <f t="shared" si="15"/>
        <v>0.10063409608589025</v>
      </c>
      <c r="V124" s="13">
        <f t="shared" si="16"/>
        <v>1.5450126556299883E-2</v>
      </c>
      <c r="W124" s="13">
        <f t="shared" si="21"/>
        <v>1.5450126556299883E-2</v>
      </c>
      <c r="X124" s="13">
        <v>0</v>
      </c>
      <c r="Y124" s="13">
        <v>0</v>
      </c>
      <c r="Z124" s="13">
        <v>0</v>
      </c>
      <c r="AA124" s="13">
        <f t="shared" si="22"/>
        <v>1.4942134105857734</v>
      </c>
      <c r="AB124" s="13">
        <f t="shared" si="23"/>
        <v>651.54037532818734</v>
      </c>
      <c r="AC124" s="13">
        <f t="shared" si="17"/>
        <v>653.05003886532938</v>
      </c>
      <c r="AD124" s="13">
        <f t="shared" si="18"/>
        <v>2.5194971419814949</v>
      </c>
      <c r="AE124" s="13">
        <f t="shared" si="13"/>
        <v>1.3599196049165005E-4</v>
      </c>
      <c r="AF124" s="13">
        <f t="shared" si="19"/>
        <v>1.0758019084070649E-4</v>
      </c>
      <c r="AG124" s="13">
        <f t="shared" si="20"/>
        <v>7.6168389577061508E-5</v>
      </c>
      <c r="AH124" s="10"/>
      <c r="AI124" s="13">
        <f t="shared" si="14"/>
        <v>3.9849661564778204E-5</v>
      </c>
      <c r="AJ124" s="10"/>
      <c r="AK124" s="10"/>
      <c r="AL124" s="10"/>
      <c r="AM124" s="10"/>
      <c r="AN124" s="10"/>
    </row>
    <row r="125" spans="19:40">
      <c r="S125" s="10"/>
      <c r="T125" s="12">
        <v>119</v>
      </c>
      <c r="U125" s="13">
        <f t="shared" si="15"/>
        <v>0.10078043884410839</v>
      </c>
      <c r="V125" s="13">
        <f t="shared" si="16"/>
        <v>1.3890346793305329E-2</v>
      </c>
      <c r="W125" s="13">
        <f t="shared" si="21"/>
        <v>1.3890346793305329E-2</v>
      </c>
      <c r="X125" s="13">
        <v>0</v>
      </c>
      <c r="Y125" s="13">
        <v>0</v>
      </c>
      <c r="Z125" s="13">
        <v>0</v>
      </c>
      <c r="AA125" s="13">
        <f t="shared" si="22"/>
        <v>1.4016980513062496</v>
      </c>
      <c r="AB125" s="13">
        <f t="shared" si="23"/>
        <v>651.63445046722984</v>
      </c>
      <c r="AC125" s="13">
        <f t="shared" si="17"/>
        <v>653.05003886532938</v>
      </c>
      <c r="AD125" s="13">
        <f t="shared" si="18"/>
        <v>2.3530506239972961</v>
      </c>
      <c r="AE125" s="13">
        <f t="shared" si="13"/>
        <v>1.2714180575108445E-4</v>
      </c>
      <c r="AF125" s="13">
        <f t="shared" si="19"/>
        <v>1.008553974659175E-4</v>
      </c>
      <c r="AG125" s="13">
        <f t="shared" si="20"/>
        <v>7.1196709119192322E-5</v>
      </c>
      <c r="AH125" s="10"/>
      <c r="AI125" s="13">
        <f t="shared" si="14"/>
        <v>3.6031968554790876E-5</v>
      </c>
      <c r="AJ125" s="10"/>
      <c r="AK125" s="10"/>
      <c r="AL125" s="10"/>
      <c r="AM125" s="10"/>
      <c r="AN125" s="10"/>
    </row>
    <row r="126" spans="19:40">
      <c r="S126" s="10"/>
      <c r="T126" s="12">
        <v>120</v>
      </c>
      <c r="U126" s="13">
        <f t="shared" si="15"/>
        <v>0.10092576711025424</v>
      </c>
      <c r="V126" s="13">
        <f t="shared" si="16"/>
        <v>1.2486017171614136E-2</v>
      </c>
      <c r="W126" s="13">
        <f t="shared" si="21"/>
        <v>1.2486017171614136E-2</v>
      </c>
      <c r="X126" s="13">
        <v>0</v>
      </c>
      <c r="Y126" s="13">
        <v>0</v>
      </c>
      <c r="Z126" s="13">
        <v>0</v>
      </c>
      <c r="AA126" s="13">
        <f t="shared" si="22"/>
        <v>1.3148520814074336</v>
      </c>
      <c r="AB126" s="13">
        <f t="shared" si="23"/>
        <v>651.72270076675034</v>
      </c>
      <c r="AC126" s="13">
        <f t="shared" si="17"/>
        <v>653.05003886532938</v>
      </c>
      <c r="AD126" s="13">
        <f t="shared" si="18"/>
        <v>2.1976243218688087</v>
      </c>
      <c r="AE126" s="13">
        <f t="shared" si="13"/>
        <v>1.188642494619087E-4</v>
      </c>
      <c r="AF126" s="13">
        <f t="shared" si="19"/>
        <v>9.4549043536760059E-5</v>
      </c>
      <c r="AG126" s="13">
        <f t="shared" si="20"/>
        <v>6.6548186682052263E-5</v>
      </c>
      <c r="AH126" s="10"/>
      <c r="AI126" s="13">
        <f t="shared" si="14"/>
        <v>3.2575268742665294E-5</v>
      </c>
      <c r="AJ126" s="10"/>
      <c r="AK126" s="10"/>
      <c r="AL126" s="10"/>
      <c r="AM126" s="10"/>
      <c r="AN126" s="10"/>
    </row>
    <row r="127" spans="19:40">
      <c r="S127" s="10"/>
      <c r="T127" s="12">
        <v>121</v>
      </c>
      <c r="U127" s="13">
        <f t="shared" si="15"/>
        <v>0.10107009628393654</v>
      </c>
      <c r="V127" s="13">
        <f t="shared" si="16"/>
        <v>1.1221864751358173E-2</v>
      </c>
      <c r="W127" s="13">
        <f t="shared" si="21"/>
        <v>1.1221864751358173E-2</v>
      </c>
      <c r="X127" s="13">
        <v>0</v>
      </c>
      <c r="Y127" s="13">
        <v>0</v>
      </c>
      <c r="Z127" s="13">
        <v>0</v>
      </c>
      <c r="AA127" s="13">
        <f t="shared" si="22"/>
        <v>1.2333338141331411</v>
      </c>
      <c r="AB127" s="13">
        <f t="shared" si="23"/>
        <v>651.80548318644492</v>
      </c>
      <c r="AC127" s="13">
        <f t="shared" si="17"/>
        <v>653.05003886532938</v>
      </c>
      <c r="AD127" s="13">
        <f t="shared" si="18"/>
        <v>2.0524865866967477</v>
      </c>
      <c r="AE127" s="13">
        <f t="shared" si="13"/>
        <v>1.1112258478362143E-4</v>
      </c>
      <c r="AF127" s="13">
        <f t="shared" si="19"/>
        <v>8.863528492069093E-5</v>
      </c>
      <c r="AG127" s="13">
        <f t="shared" si="20"/>
        <v>6.2201956201028699E-5</v>
      </c>
      <c r="AH127" s="10"/>
      <c r="AI127" s="13">
        <f t="shared" si="14"/>
        <v>2.9445919941666071E-5</v>
      </c>
      <c r="AJ127" s="10"/>
      <c r="AK127" s="10"/>
      <c r="AL127" s="10"/>
      <c r="AM127" s="10"/>
      <c r="AN127" s="10"/>
    </row>
    <row r="128" spans="19:40">
      <c r="S128" s="10"/>
      <c r="T128" s="12">
        <v>122</v>
      </c>
      <c r="U128" s="13">
        <f t="shared" si="15"/>
        <v>0.10121344140608875</v>
      </c>
      <c r="V128" s="13">
        <f t="shared" si="16"/>
        <v>1.0084093411478163E-2</v>
      </c>
      <c r="W128" s="13">
        <f t="shared" si="21"/>
        <v>1.0084093411478163E-2</v>
      </c>
      <c r="X128" s="13">
        <v>0</v>
      </c>
      <c r="Y128" s="13">
        <v>0</v>
      </c>
      <c r="Z128" s="13">
        <v>0</v>
      </c>
      <c r="AA128" s="13">
        <f t="shared" si="22"/>
        <v>1.1568216004423153</v>
      </c>
      <c r="AB128" s="13">
        <f t="shared" si="23"/>
        <v>651.88313317147572</v>
      </c>
      <c r="AC128" s="13">
        <f t="shared" si="17"/>
        <v>653.0500388653295</v>
      </c>
      <c r="AD128" s="13">
        <f t="shared" si="18"/>
        <v>1.9169544980541819</v>
      </c>
      <c r="AE128" s="13">
        <f t="shared" si="13"/>
        <v>1.0388242392105682E-4</v>
      </c>
      <c r="AF128" s="13">
        <f t="shared" si="19"/>
        <v>8.3089854628683892E-5</v>
      </c>
      <c r="AG128" s="13">
        <f t="shared" si="20"/>
        <v>5.8138484770415268E-5</v>
      </c>
      <c r="AH128" s="10"/>
      <c r="AI128" s="13">
        <f t="shared" si="14"/>
        <v>2.661336433931982E-5</v>
      </c>
      <c r="AJ128" s="10"/>
      <c r="AK128" s="10"/>
      <c r="AL128" s="10"/>
      <c r="AM128" s="10"/>
      <c r="AN128" s="10"/>
    </row>
    <row r="129" spans="19:40">
      <c r="S129" s="10"/>
      <c r="T129" s="12">
        <v>123</v>
      </c>
      <c r="U129" s="13">
        <f t="shared" si="15"/>
        <v>0.10135581717018483</v>
      </c>
      <c r="V129" s="13">
        <f t="shared" si="16"/>
        <v>9.0602436057313062E-3</v>
      </c>
      <c r="W129" s="13">
        <f t="shared" si="21"/>
        <v>9.0602436057313062E-3</v>
      </c>
      <c r="X129" s="13">
        <v>0</v>
      </c>
      <c r="Y129" s="13">
        <v>0</v>
      </c>
      <c r="Z129" s="13">
        <v>0</v>
      </c>
      <c r="AA129" s="13">
        <f t="shared" si="22"/>
        <v>1.0850127074630453</v>
      </c>
      <c r="AB129" s="13">
        <f t="shared" si="23"/>
        <v>651.95596591426067</v>
      </c>
      <c r="AC129" s="13">
        <f t="shared" si="17"/>
        <v>653.0500388653295</v>
      </c>
      <c r="AD129" s="13">
        <f t="shared" si="18"/>
        <v>1.7903906087860071</v>
      </c>
      <c r="AE129" s="13">
        <f t="shared" si="13"/>
        <v>9.7111555001032029E-5</v>
      </c>
      <c r="AF129" s="13">
        <f t="shared" si="19"/>
        <v>7.7889968440852223E-5</v>
      </c>
      <c r="AG129" s="13">
        <f t="shared" si="20"/>
        <v>5.4339488891749495E-5</v>
      </c>
      <c r="AH129" s="10"/>
      <c r="AI129" s="13">
        <f t="shared" si="14"/>
        <v>2.4049850947521685E-5</v>
      </c>
      <c r="AJ129" s="10"/>
      <c r="AK129" s="10"/>
      <c r="AL129" s="10"/>
      <c r="AM129" s="10"/>
      <c r="AN129" s="10"/>
    </row>
    <row r="130" spans="19:40">
      <c r="S130" s="10"/>
      <c r="T130" s="12">
        <v>124</v>
      </c>
      <c r="U130" s="13">
        <f t="shared" si="15"/>
        <v>0.10149723793301646</v>
      </c>
      <c r="V130" s="13">
        <f t="shared" si="16"/>
        <v>8.1390651624380951E-3</v>
      </c>
      <c r="W130" s="13">
        <f t="shared" si="21"/>
        <v>8.1390651624380951E-3</v>
      </c>
      <c r="X130" s="13">
        <v>0</v>
      </c>
      <c r="Y130" s="13">
        <v>0</v>
      </c>
      <c r="Z130" s="13">
        <v>0</v>
      </c>
      <c r="AA130" s="13">
        <f t="shared" si="22"/>
        <v>1.0176222545375384</v>
      </c>
      <c r="AB130" s="13">
        <f t="shared" si="23"/>
        <v>652.0242775456295</v>
      </c>
      <c r="AC130" s="13">
        <f t="shared" si="17"/>
        <v>653.0500388653295</v>
      </c>
      <c r="AD130" s="13">
        <f t="shared" si="18"/>
        <v>1.6721999076534937</v>
      </c>
      <c r="AE130" s="13">
        <f t="shared" si="13"/>
        <v>9.0779807446809968E-5</v>
      </c>
      <c r="AF130" s="13">
        <f t="shared" si="19"/>
        <v>7.301423599693234E-5</v>
      </c>
      <c r="AG130" s="13">
        <f t="shared" si="20"/>
        <v>5.0787855840928719E-5</v>
      </c>
      <c r="AH130" s="10"/>
      <c r="AI130" s="13">
        <f t="shared" si="14"/>
        <v>2.1730182491706226E-5</v>
      </c>
      <c r="AJ130" s="10"/>
      <c r="AK130" s="10"/>
      <c r="AL130" s="10"/>
      <c r="AM130" s="10"/>
      <c r="AN130" s="10"/>
    </row>
    <row r="131" spans="19:40">
      <c r="S131" s="10"/>
      <c r="T131" s="12">
        <v>125</v>
      </c>
      <c r="U131" s="13">
        <f t="shared" si="15"/>
        <v>0.10163771772505198</v>
      </c>
      <c r="V131" s="13">
        <f t="shared" si="16"/>
        <v>7.3104019441485521E-3</v>
      </c>
      <c r="W131" s="13">
        <f t="shared" si="21"/>
        <v>7.3104019441485521E-3</v>
      </c>
      <c r="X131" s="13">
        <v>0</v>
      </c>
      <c r="Y131" s="13">
        <v>0</v>
      </c>
      <c r="Z131" s="13">
        <v>0</v>
      </c>
      <c r="AA131" s="13">
        <f t="shared" si="22"/>
        <v>0.95438220441377175</v>
      </c>
      <c r="AB131" s="13">
        <f t="shared" si="23"/>
        <v>652.08834625897157</v>
      </c>
      <c r="AC131" s="13">
        <f t="shared" si="17"/>
        <v>653.0500388653295</v>
      </c>
      <c r="AD131" s="13">
        <f t="shared" si="18"/>
        <v>1.5618269852684696</v>
      </c>
      <c r="AE131" s="13">
        <f t="shared" si="13"/>
        <v>8.4858925379063544E-5</v>
      </c>
      <c r="AF131" s="13">
        <f t="shared" si="19"/>
        <v>6.8442577052940513E-5</v>
      </c>
      <c r="AG131" s="13">
        <f t="shared" si="20"/>
        <v>4.746756985549617E-5</v>
      </c>
      <c r="AH131" s="10"/>
      <c r="AI131" s="13">
        <f t="shared" si="14"/>
        <v>1.9631484642089666E-5</v>
      </c>
      <c r="AJ131" s="10"/>
      <c r="AK131" s="10"/>
      <c r="AL131" s="10"/>
      <c r="AM131" s="10"/>
      <c r="AN131" s="10"/>
    </row>
    <row r="132" spans="19:40">
      <c r="S132" s="10"/>
      <c r="T132" s="12">
        <v>126</v>
      </c>
      <c r="U132" s="13">
        <f t="shared" si="15"/>
        <v>0.10177727026039632</v>
      </c>
      <c r="V132" s="13">
        <f t="shared" si="16"/>
        <v>6.5650872877136253E-3</v>
      </c>
      <c r="W132" s="13">
        <f t="shared" si="21"/>
        <v>6.5650872877136253E-3</v>
      </c>
      <c r="X132" s="13">
        <v>0</v>
      </c>
      <c r="Y132" s="13">
        <v>0</v>
      </c>
      <c r="Z132" s="13">
        <v>0</v>
      </c>
      <c r="AA132" s="13">
        <f t="shared" si="22"/>
        <v>0.89504040718934863</v>
      </c>
      <c r="AB132" s="13">
        <f t="shared" si="23"/>
        <v>652.14843337085244</v>
      </c>
      <c r="AC132" s="13">
        <f t="shared" si="17"/>
        <v>653.0500388653295</v>
      </c>
      <c r="AD132" s="13">
        <f t="shared" si="18"/>
        <v>1.4587533897256673</v>
      </c>
      <c r="AE132" s="13">
        <f t="shared" si="13"/>
        <v>7.9322448594821822E-5</v>
      </c>
      <c r="AF132" s="13">
        <f t="shared" si="19"/>
        <v>6.4156142619893584E-5</v>
      </c>
      <c r="AG132" s="13">
        <f t="shared" si="20"/>
        <v>4.4363642859477296E-5</v>
      </c>
      <c r="AH132" s="10"/>
      <c r="AI132" s="13">
        <f t="shared" si="14"/>
        <v>1.7732995664290736E-5</v>
      </c>
      <c r="AJ132" s="10"/>
      <c r="AK132" s="10"/>
      <c r="AL132" s="10"/>
      <c r="AM132" s="10"/>
      <c r="AN132" s="10"/>
    </row>
    <row r="133" spans="19:40">
      <c r="S133" s="10"/>
      <c r="T133" s="12">
        <v>127</v>
      </c>
      <c r="U133" s="13">
        <f t="shared" si="15"/>
        <v>0.10191590894637108</v>
      </c>
      <c r="V133" s="13">
        <f t="shared" si="16"/>
        <v>5.8948492406981183E-3</v>
      </c>
      <c r="W133" s="13">
        <f t="shared" si="21"/>
        <v>5.8948492406981183E-3</v>
      </c>
      <c r="X133" s="13">
        <v>0</v>
      </c>
      <c r="Y133" s="13">
        <v>0</v>
      </c>
      <c r="Z133" s="13">
        <v>0</v>
      </c>
      <c r="AA133" s="13">
        <f t="shared" si="22"/>
        <v>0.83935969466856386</v>
      </c>
      <c r="AB133" s="13">
        <f t="shared" si="23"/>
        <v>652.20478432142022</v>
      </c>
      <c r="AC133" s="13">
        <f t="shared" si="17"/>
        <v>653.0500388653295</v>
      </c>
      <c r="AD133" s="13">
        <f t="shared" si="18"/>
        <v>1.3624951592433892</v>
      </c>
      <c r="AE133" s="13">
        <f t="shared" si="13"/>
        <v>7.4145600697924022E-5</v>
      </c>
      <c r="AF133" s="13">
        <f t="shared" si="19"/>
        <v>6.0137240714526224E-5</v>
      </c>
      <c r="AG133" s="13">
        <f t="shared" si="20"/>
        <v>4.1462049458425301E-5</v>
      </c>
      <c r="AH133" s="10"/>
      <c r="AI133" s="13">
        <f t="shared" si="14"/>
        <v>1.601587472704066E-5</v>
      </c>
      <c r="AJ133" s="10"/>
      <c r="AK133" s="10"/>
      <c r="AL133" s="10"/>
      <c r="AM133" s="10"/>
      <c r="AN133" s="10"/>
    </row>
    <row r="134" spans="19:40">
      <c r="S134" s="10"/>
      <c r="T134" s="12">
        <v>128</v>
      </c>
      <c r="U134" s="13">
        <f t="shared" si="15"/>
        <v>0.10205364689273093</v>
      </c>
      <c r="V134" s="13">
        <f t="shared" si="16"/>
        <v>5.2922246973829985E-3</v>
      </c>
      <c r="W134" s="13">
        <f t="shared" si="21"/>
        <v>5.2922246973829985E-3</v>
      </c>
      <c r="X134" s="13">
        <v>0</v>
      </c>
      <c r="Y134" s="13">
        <v>0</v>
      </c>
      <c r="Z134" s="13">
        <v>0</v>
      </c>
      <c r="AA134" s="13">
        <f t="shared" si="22"/>
        <v>0.78711702285380913</v>
      </c>
      <c r="AB134" s="13">
        <f t="shared" si="23"/>
        <v>652.25762961777832</v>
      </c>
      <c r="AC134" s="13">
        <f t="shared" si="17"/>
        <v>653.0500388653295</v>
      </c>
      <c r="AD134" s="13">
        <f t="shared" si="18"/>
        <v>1.272600519965722</v>
      </c>
      <c r="AE134" s="13">
        <f t="shared" ref="AE134:AE197" si="24">(V134+AA134)/AC134/12/(1+rdis_Month)^T134</f>
        <v>6.9305183975783163E-5</v>
      </c>
      <c r="AF134" s="13">
        <f t="shared" si="19"/>
        <v>5.6369266465449439E-5</v>
      </c>
      <c r="AG134" s="13">
        <f t="shared" si="20"/>
        <v>3.8749665951922674E-5</v>
      </c>
      <c r="AH134" s="10"/>
      <c r="AI134" s="13">
        <f t="shared" ref="AI134:AI197" si="25">EXP(-lambda_capi*(T134^gamma_capi))</f>
        <v>1.4463027252220217E-5</v>
      </c>
      <c r="AJ134" s="10"/>
      <c r="AK134" s="10"/>
      <c r="AL134" s="10"/>
      <c r="AM134" s="10"/>
      <c r="AN134" s="10"/>
    </row>
    <row r="135" spans="19:40">
      <c r="S135" s="10"/>
      <c r="T135" s="12">
        <v>129</v>
      </c>
      <c r="U135" s="13">
        <f t="shared" ref="U135:U198" si="26">gamma_capi*lambda_capi*T135^(gamma_capi-1)</f>
        <v>0.10219049692053407</v>
      </c>
      <c r="V135" s="13">
        <f t="shared" ref="V135:V198" si="27">SUM(W135:Z135)</f>
        <v>4.750481617438883E-3</v>
      </c>
      <c r="W135" s="13">
        <f t="shared" si="21"/>
        <v>4.750481617438883E-3</v>
      </c>
      <c r="X135" s="13">
        <v>0</v>
      </c>
      <c r="Y135" s="13">
        <v>0</v>
      </c>
      <c r="Z135" s="13">
        <v>0</v>
      </c>
      <c r="AA135" s="13">
        <f t="shared" si="22"/>
        <v>0.7381026603562415</v>
      </c>
      <c r="AB135" s="13">
        <f t="shared" si="23"/>
        <v>652.30718572335581</v>
      </c>
      <c r="AC135" s="13">
        <f t="shared" ref="AC135:AC198" si="28">V135+AA135+AB135</f>
        <v>653.0500388653295</v>
      </c>
      <c r="AD135" s="13">
        <f t="shared" ref="AD135:AD198" si="29">(V135*cPFS_CAPI_after+AA135*cP)/AC135/(1+rdis_Month)^T134</f>
        <v>1.1886477378676261</v>
      </c>
      <c r="AE135" s="13">
        <f t="shared" si="24"/>
        <v>6.4779480637761847E-5</v>
      </c>
      <c r="AF135" s="13">
        <f t="shared" ref="AF135:AF198" si="30">(SUM(W135:Z135)*uS+AA135*uP)/AC135/12</f>
        <v>5.2836636331172569E-5</v>
      </c>
      <c r="AG135" s="13">
        <f t="shared" ref="AG135:AG198" si="31">(W135*uS/12+X135*(uS+duAE1_CAPI)/12+Y135*(uS+duAE2_CAPI)/12+Z135*(uS+duAE3_CAPI)/12+AA135*uP/12)/AC135/(1+rdis_Month)^T134</f>
        <v>3.6214213124693311E-5</v>
      </c>
      <c r="AH135" s="10"/>
      <c r="AI135" s="13">
        <f t="shared" si="25"/>
        <v>1.3058945828116456E-5</v>
      </c>
      <c r="AJ135" s="10"/>
      <c r="AK135" s="10"/>
      <c r="AL135" s="10"/>
      <c r="AM135" s="10"/>
      <c r="AN135" s="10"/>
    </row>
    <row r="136" spans="19:40">
      <c r="S136" s="10"/>
      <c r="T136" s="12">
        <v>130</v>
      </c>
      <c r="U136" s="13">
        <f t="shared" si="26"/>
        <v>0.10232647157068142</v>
      </c>
      <c r="V136" s="13">
        <f t="shared" si="27"/>
        <v>4.2635485833204126E-3</v>
      </c>
      <c r="W136" s="13">
        <f t="shared" ref="W136:W199" si="32">(1-($Q$13+U136))*V135</f>
        <v>4.2635485833204126E-3</v>
      </c>
      <c r="X136" s="13">
        <v>0</v>
      </c>
      <c r="Y136" s="13">
        <v>0</v>
      </c>
      <c r="Z136" s="13">
        <v>0</v>
      </c>
      <c r="AA136" s="13">
        <f t="shared" si="22"/>
        <v>0.69211942057727116</v>
      </c>
      <c r="AB136" s="13">
        <f t="shared" si="23"/>
        <v>652.3536558961689</v>
      </c>
      <c r="AC136" s="13">
        <f t="shared" si="28"/>
        <v>653.0500388653295</v>
      </c>
      <c r="AD136" s="13">
        <f t="shared" si="29"/>
        <v>1.110243114440876</v>
      </c>
      <c r="AE136" s="13">
        <f t="shared" si="24"/>
        <v>6.0548160050178965E-5</v>
      </c>
      <c r="AF136" s="13">
        <f t="shared" si="30"/>
        <v>4.9524726198863829E-5</v>
      </c>
      <c r="AG136" s="13">
        <f t="shared" si="31"/>
        <v>3.3844202590732957E-5</v>
      </c>
      <c r="AH136" s="10"/>
      <c r="AI136" s="13">
        <f t="shared" si="25"/>
        <v>1.178956533147032E-5</v>
      </c>
      <c r="AJ136" s="10"/>
      <c r="AK136" s="10"/>
      <c r="AL136" s="10"/>
      <c r="AM136" s="10"/>
      <c r="AN136" s="10"/>
    </row>
    <row r="137" spans="19:40">
      <c r="S137" s="10"/>
      <c r="T137" s="12">
        <v>131</v>
      </c>
      <c r="U137" s="13">
        <f t="shared" si="26"/>
        <v>0.10246158311213989</v>
      </c>
      <c r="V137" s="13">
        <f t="shared" si="27"/>
        <v>3.8259510190976529E-3</v>
      </c>
      <c r="W137" s="13">
        <f t="shared" si="32"/>
        <v>3.8259510190976529E-3</v>
      </c>
      <c r="X137" s="13">
        <v>0</v>
      </c>
      <c r="Y137" s="13">
        <v>0</v>
      </c>
      <c r="Z137" s="13">
        <v>0</v>
      </c>
      <c r="AA137" s="13">
        <f t="shared" si="22"/>
        <v>0.64898193558115014</v>
      </c>
      <c r="AB137" s="13">
        <f t="shared" si="23"/>
        <v>652.39723097872923</v>
      </c>
      <c r="AC137" s="13">
        <f t="shared" si="28"/>
        <v>653.0500388653295</v>
      </c>
      <c r="AD137" s="13">
        <f t="shared" si="29"/>
        <v>1.0370191165271339</v>
      </c>
      <c r="AE137" s="13">
        <f t="shared" si="24"/>
        <v>5.6592191621904152E-5</v>
      </c>
      <c r="AF137" s="13">
        <f t="shared" si="30"/>
        <v>4.6419813144658755E-5</v>
      </c>
      <c r="AG137" s="13">
        <f t="shared" si="31"/>
        <v>3.162888647747813E-5</v>
      </c>
      <c r="AH137" s="10"/>
      <c r="AI137" s="13">
        <f t="shared" si="25"/>
        <v>1.0642131018435373E-5</v>
      </c>
      <c r="AJ137" s="10"/>
      <c r="AK137" s="10"/>
      <c r="AL137" s="10"/>
      <c r="AM137" s="10"/>
      <c r="AN137" s="10"/>
    </row>
    <row r="138" spans="19:40">
      <c r="S138" s="10"/>
      <c r="T138" s="12">
        <v>132</v>
      </c>
      <c r="U138" s="13">
        <f t="shared" si="26"/>
        <v>0.10259584354986337</v>
      </c>
      <c r="V138" s="13">
        <f t="shared" si="27"/>
        <v>3.4327534543266247E-3</v>
      </c>
      <c r="W138" s="13">
        <f t="shared" si="32"/>
        <v>3.4327534543266247E-3</v>
      </c>
      <c r="X138" s="13">
        <v>0</v>
      </c>
      <c r="Y138" s="13">
        <v>0</v>
      </c>
      <c r="Z138" s="13">
        <v>0</v>
      </c>
      <c r="AA138" s="13">
        <f t="shared" si="22"/>
        <v>0.60851596964910937</v>
      </c>
      <c r="AB138" s="13">
        <f t="shared" si="23"/>
        <v>652.43809014222609</v>
      </c>
      <c r="AC138" s="13">
        <f t="shared" si="28"/>
        <v>653.0500388653295</v>
      </c>
      <c r="AD138" s="13">
        <f t="shared" si="29"/>
        <v>0.96863263130756694</v>
      </c>
      <c r="AE138" s="13">
        <f t="shared" si="24"/>
        <v>5.2893763012656973E-5</v>
      </c>
      <c r="AF138" s="13">
        <f t="shared" si="30"/>
        <v>4.3509020647748681E-5</v>
      </c>
      <c r="AG138" s="13">
        <f t="shared" si="31"/>
        <v>2.9558210249028959E-5</v>
      </c>
      <c r="AH138" s="10"/>
      <c r="AI138" s="13">
        <f t="shared" si="25"/>
        <v>9.605078449767648E-6</v>
      </c>
      <c r="AJ138" s="10"/>
      <c r="AK138" s="10"/>
      <c r="AL138" s="10"/>
      <c r="AM138" s="10"/>
      <c r="AN138" s="10"/>
    </row>
    <row r="139" spans="19:40">
      <c r="S139" s="10"/>
      <c r="T139" s="12">
        <v>133</v>
      </c>
      <c r="U139" s="13">
        <f t="shared" si="26"/>
        <v>0.10272926463242497</v>
      </c>
      <c r="V139" s="13">
        <f t="shared" si="27"/>
        <v>3.0795072721469387E-3</v>
      </c>
      <c r="W139" s="13">
        <f t="shared" si="32"/>
        <v>3.0795072721469387E-3</v>
      </c>
      <c r="X139" s="13">
        <v>0</v>
      </c>
      <c r="Y139" s="13">
        <v>0</v>
      </c>
      <c r="Z139" s="13">
        <v>0</v>
      </c>
      <c r="AA139" s="13">
        <f t="shared" si="22"/>
        <v>0.57055777057653367</v>
      </c>
      <c r="AB139" s="13">
        <f t="shared" si="23"/>
        <v>652.47640158748084</v>
      </c>
      <c r="AC139" s="13">
        <f t="shared" si="28"/>
        <v>653.0500388653295</v>
      </c>
      <c r="AD139" s="13">
        <f t="shared" si="29"/>
        <v>0.90476333805916975</v>
      </c>
      <c r="AE139" s="13">
        <f t="shared" si="24"/>
        <v>4.9436203353521704E-5</v>
      </c>
      <c r="AF139" s="13">
        <f t="shared" si="30"/>
        <v>4.0780267061406382E-5</v>
      </c>
      <c r="AG139" s="13">
        <f t="shared" si="31"/>
        <v>2.762276847884006E-5</v>
      </c>
      <c r="AH139" s="10"/>
      <c r="AI139" s="13">
        <f t="shared" si="25"/>
        <v>8.6679242121533517E-6</v>
      </c>
      <c r="AJ139" s="10"/>
      <c r="AK139" s="10"/>
      <c r="AL139" s="10"/>
      <c r="AM139" s="10"/>
      <c r="AN139" s="10"/>
    </row>
    <row r="140" spans="19:40">
      <c r="S140" s="10"/>
      <c r="T140" s="12">
        <v>134</v>
      </c>
      <c r="U140" s="13">
        <f t="shared" si="26"/>
        <v>0.10286185785937321</v>
      </c>
      <c r="V140" s="13">
        <f t="shared" si="27"/>
        <v>2.7622034315230807E-3</v>
      </c>
      <c r="W140" s="13">
        <f t="shared" si="32"/>
        <v>2.7622034315230807E-3</v>
      </c>
      <c r="X140" s="13">
        <v>0</v>
      </c>
      <c r="Y140" s="13">
        <v>0</v>
      </c>
      <c r="Z140" s="13">
        <v>0</v>
      </c>
      <c r="AA140" s="13">
        <f t="shared" si="22"/>
        <v>0.5349534568460762</v>
      </c>
      <c r="AB140" s="13">
        <f t="shared" si="23"/>
        <v>652.51232320505198</v>
      </c>
      <c r="AC140" s="13">
        <f t="shared" si="28"/>
        <v>653.05003886532961</v>
      </c>
      <c r="AD140" s="13">
        <f t="shared" si="29"/>
        <v>0.84511218884901818</v>
      </c>
      <c r="AE140" s="13">
        <f t="shared" si="24"/>
        <v>4.6203911185827478E-5</v>
      </c>
      <c r="AF140" s="13">
        <f t="shared" si="30"/>
        <v>3.822221715454163E-5</v>
      </c>
      <c r="AG140" s="13">
        <f t="shared" si="31"/>
        <v>2.5813763393115477E-5</v>
      </c>
      <c r="AH140" s="10"/>
      <c r="AI140" s="13">
        <f t="shared" si="25"/>
        <v>7.8211664862169552E-6</v>
      </c>
      <c r="AJ140" s="10"/>
      <c r="AK140" s="10"/>
      <c r="AL140" s="10"/>
      <c r="AM140" s="10"/>
      <c r="AN140" s="10"/>
    </row>
    <row r="141" spans="19:40">
      <c r="S141" s="10"/>
      <c r="T141" s="12">
        <v>135</v>
      </c>
      <c r="U141" s="13">
        <f t="shared" si="26"/>
        <v>0.10299363448832373</v>
      </c>
      <c r="V141" s="13">
        <f t="shared" si="27"/>
        <v>2.4772296998249186E-3</v>
      </c>
      <c r="W141" s="13">
        <f t="shared" si="32"/>
        <v>2.4772296998249186E-3</v>
      </c>
      <c r="X141" s="13">
        <v>0</v>
      </c>
      <c r="Y141" s="13">
        <v>0</v>
      </c>
      <c r="Z141" s="13">
        <v>0</v>
      </c>
      <c r="AA141" s="13">
        <f t="shared" ref="AA141:AA204" si="33">(1-$Q$17)*AA140+(U141*W140)</f>
        <v>0.50155843888097218</v>
      </c>
      <c r="AB141" s="13">
        <f t="shared" ref="AB141:AB204" si="34">(AB140*1)+(AA140*$Q$17)+(W140*$Q$13)</f>
        <v>652.54600319674876</v>
      </c>
      <c r="AC141" s="13">
        <f t="shared" si="28"/>
        <v>653.0500388653295</v>
      </c>
      <c r="AD141" s="13">
        <f t="shared" si="29"/>
        <v>0.78939999086167101</v>
      </c>
      <c r="AE141" s="13">
        <f t="shared" si="24"/>
        <v>4.3182286840441076E-5</v>
      </c>
      <c r="AF141" s="13">
        <f t="shared" si="30"/>
        <v>3.5824236547341029E-5</v>
      </c>
      <c r="AG141" s="13">
        <f t="shared" si="31"/>
        <v>2.4122966016412422E-5</v>
      </c>
      <c r="AH141" s="10"/>
      <c r="AI141" s="13">
        <f t="shared" si="25"/>
        <v>7.0561945930722219E-6</v>
      </c>
      <c r="AJ141" s="10"/>
      <c r="AK141" s="10"/>
      <c r="AL141" s="10"/>
      <c r="AM141" s="10"/>
      <c r="AN141" s="10"/>
    </row>
    <row r="142" spans="19:40">
      <c r="S142" s="10"/>
      <c r="T142" s="12">
        <v>136</v>
      </c>
      <c r="U142" s="13">
        <f t="shared" si="26"/>
        <v>0.10312460554179838</v>
      </c>
      <c r="V142" s="13">
        <f t="shared" si="27"/>
        <v>2.2213319741478219E-3</v>
      </c>
      <c r="W142" s="13">
        <f t="shared" si="32"/>
        <v>2.2213319741478219E-3</v>
      </c>
      <c r="X142" s="13">
        <v>0</v>
      </c>
      <c r="Y142" s="13">
        <v>0</v>
      </c>
      <c r="Z142" s="13">
        <v>0</v>
      </c>
      <c r="AA142" s="13">
        <f t="shared" si="33"/>
        <v>0.47023687265374753</v>
      </c>
      <c r="AB142" s="13">
        <f t="shared" si="34"/>
        <v>652.57758066070164</v>
      </c>
      <c r="AC142" s="13">
        <f t="shared" si="28"/>
        <v>653.0500388653295</v>
      </c>
      <c r="AD142" s="13">
        <f t="shared" si="29"/>
        <v>0.737366083544161</v>
      </c>
      <c r="AE142" s="13">
        <f t="shared" si="24"/>
        <v>4.0357668994692956E-5</v>
      </c>
      <c r="AF142" s="13">
        <f t="shared" si="30"/>
        <v>3.3576348874045509E-5</v>
      </c>
      <c r="AG142" s="13">
        <f t="shared" si="31"/>
        <v>2.2542679760695021E-5</v>
      </c>
      <c r="AH142" s="10"/>
      <c r="AI142" s="13">
        <f t="shared" si="25"/>
        <v>6.3652067258584351E-6</v>
      </c>
      <c r="AJ142" s="10"/>
      <c r="AK142" s="10"/>
      <c r="AL142" s="10"/>
      <c r="AM142" s="10"/>
      <c r="AN142" s="10"/>
    </row>
    <row r="143" spans="19:40">
      <c r="S143" s="10"/>
      <c r="T143" s="12">
        <v>137</v>
      </c>
      <c r="U143" s="13">
        <f t="shared" si="26"/>
        <v>0.10325478181382208</v>
      </c>
      <c r="V143" s="13">
        <f t="shared" si="27"/>
        <v>1.9915793082487311E-3</v>
      </c>
      <c r="W143" s="13">
        <f t="shared" si="32"/>
        <v>1.9915793082487311E-3</v>
      </c>
      <c r="X143" s="13">
        <v>0</v>
      </c>
      <c r="Y143" s="13">
        <v>0</v>
      </c>
      <c r="Z143" s="13">
        <v>0</v>
      </c>
      <c r="AA143" s="13">
        <f t="shared" si="33"/>
        <v>0.44086114399570164</v>
      </c>
      <c r="AB143" s="13">
        <f t="shared" si="34"/>
        <v>652.60718614202563</v>
      </c>
      <c r="AC143" s="13">
        <f t="shared" si="28"/>
        <v>653.05003886532961</v>
      </c>
      <c r="AD143" s="13">
        <f t="shared" si="29"/>
        <v>0.68876710420977239</v>
      </c>
      <c r="AE143" s="13">
        <f t="shared" si="24"/>
        <v>3.7717275158624921E-5</v>
      </c>
      <c r="AF143" s="13">
        <f t="shared" si="30"/>
        <v>3.1469195514970641E-5</v>
      </c>
      <c r="AG143" s="13">
        <f t="shared" si="31"/>
        <v>2.106570630830393E-5</v>
      </c>
      <c r="AH143" s="10"/>
      <c r="AI143" s="13">
        <f t="shared" si="25"/>
        <v>5.7411351410738412E-6</v>
      </c>
      <c r="AJ143" s="10"/>
      <c r="AK143" s="10"/>
      <c r="AL143" s="10"/>
      <c r="AM143" s="10"/>
      <c r="AN143" s="10"/>
    </row>
    <row r="144" spans="19:40">
      <c r="S144" s="10"/>
      <c r="T144" s="12">
        <v>138</v>
      </c>
      <c r="U144" s="13">
        <f t="shared" si="26"/>
        <v>0.10338417387628814</v>
      </c>
      <c r="V144" s="13">
        <f t="shared" si="27"/>
        <v>1.7853322970390214E-3</v>
      </c>
      <c r="W144" s="13">
        <f t="shared" si="32"/>
        <v>1.7853322970390214E-3</v>
      </c>
      <c r="X144" s="13">
        <v>0</v>
      </c>
      <c r="Y144" s="13">
        <v>0</v>
      </c>
      <c r="Z144" s="13">
        <v>0</v>
      </c>
      <c r="AA144" s="13">
        <f t="shared" si="33"/>
        <v>0.41331138202172085</v>
      </c>
      <c r="AB144" s="13">
        <f t="shared" si="34"/>
        <v>652.63494215101082</v>
      </c>
      <c r="AC144" s="13">
        <f t="shared" si="28"/>
        <v>653.05003886532961</v>
      </c>
      <c r="AD144" s="13">
        <f t="shared" si="29"/>
        <v>0.64337583616817373</v>
      </c>
      <c r="AE144" s="13">
        <f t="shared" si="24"/>
        <v>3.5249145856029078E-5</v>
      </c>
      <c r="AF144" s="13">
        <f t="shared" si="30"/>
        <v>2.949399774849337E-5</v>
      </c>
      <c r="AG144" s="13">
        <f t="shared" si="31"/>
        <v>1.9685313648044218E-5</v>
      </c>
      <c r="AH144" s="10"/>
      <c r="AI144" s="13">
        <f t="shared" si="25"/>
        <v>5.1775781471852213E-6</v>
      </c>
      <c r="AJ144" s="10"/>
      <c r="AK144" s="10"/>
      <c r="AL144" s="10"/>
      <c r="AM144" s="10"/>
      <c r="AN144" s="10"/>
    </row>
    <row r="145" spans="19:40">
      <c r="S145" s="10"/>
      <c r="T145" s="12">
        <v>139</v>
      </c>
      <c r="U145" s="13">
        <f t="shared" si="26"/>
        <v>0.10351279208510118</v>
      </c>
      <c r="V145" s="13">
        <f t="shared" si="27"/>
        <v>1.6002145025198497E-3</v>
      </c>
      <c r="W145" s="13">
        <f t="shared" si="32"/>
        <v>1.6002145025198497E-3</v>
      </c>
      <c r="X145" s="13">
        <v>0</v>
      </c>
      <c r="Y145" s="13">
        <v>0</v>
      </c>
      <c r="Z145" s="13">
        <v>0</v>
      </c>
      <c r="AA145" s="13">
        <f t="shared" si="33"/>
        <v>0.38747500015290998</v>
      </c>
      <c r="AB145" s="13">
        <f t="shared" si="34"/>
        <v>652.66096365067415</v>
      </c>
      <c r="AC145" s="13">
        <f t="shared" si="28"/>
        <v>653.05003886532961</v>
      </c>
      <c r="AD145" s="13">
        <f t="shared" si="29"/>
        <v>0.60098013384744553</v>
      </c>
      <c r="AE145" s="13">
        <f t="shared" si="24"/>
        <v>3.2942092278863239E-5</v>
      </c>
      <c r="AF145" s="13">
        <f t="shared" si="30"/>
        <v>2.7642521181928602E-5</v>
      </c>
      <c r="AG145" s="13">
        <f t="shared" si="31"/>
        <v>1.8395206131861122E-5</v>
      </c>
      <c r="AH145" s="10"/>
      <c r="AI145" s="13">
        <f t="shared" si="25"/>
        <v>4.6687382854013985E-6</v>
      </c>
      <c r="AJ145" s="10"/>
      <c r="AK145" s="10"/>
      <c r="AL145" s="10"/>
      <c r="AM145" s="10"/>
      <c r="AN145" s="10"/>
    </row>
    <row r="146" spans="19:40">
      <c r="S146" s="10"/>
      <c r="T146" s="12">
        <v>140</v>
      </c>
      <c r="U146" s="13">
        <f t="shared" si="26"/>
        <v>0.10364064658610785</v>
      </c>
      <c r="V146" s="13">
        <f t="shared" si="27"/>
        <v>1.4340866341387877E-3</v>
      </c>
      <c r="W146" s="13">
        <f t="shared" si="32"/>
        <v>1.4340866341387877E-3</v>
      </c>
      <c r="X146" s="13">
        <v>0</v>
      </c>
      <c r="Y146" s="13">
        <v>0</v>
      </c>
      <c r="Z146" s="13">
        <v>0</v>
      </c>
      <c r="AA146" s="13">
        <f t="shared" si="33"/>
        <v>0.3632462632860306</v>
      </c>
      <c r="AB146" s="13">
        <f t="shared" si="34"/>
        <v>652.68535851540935</v>
      </c>
      <c r="AC146" s="13">
        <f t="shared" si="28"/>
        <v>653.0500388653295</v>
      </c>
      <c r="AD146" s="13">
        <f t="shared" si="29"/>
        <v>0.56138191974497598</v>
      </c>
      <c r="AE146" s="13">
        <f t="shared" si="24"/>
        <v>3.0785647206100139E-5</v>
      </c>
      <c r="AF146" s="13">
        <f t="shared" si="30"/>
        <v>2.5907042328015683E-5</v>
      </c>
      <c r="AG146" s="13">
        <f t="shared" si="31"/>
        <v>1.7189496427393568E-5</v>
      </c>
      <c r="AH146" s="10"/>
      <c r="AI146" s="13">
        <f t="shared" si="25"/>
        <v>4.2093661500831838E-6</v>
      </c>
      <c r="AJ146" s="10"/>
      <c r="AK146" s="10"/>
      <c r="AL146" s="10"/>
      <c r="AM146" s="10"/>
      <c r="AN146" s="10"/>
    </row>
    <row r="147" spans="19:40">
      <c r="S147" s="10"/>
      <c r="T147" s="12">
        <v>141</v>
      </c>
      <c r="U147" s="13">
        <f t="shared" si="26"/>
        <v>0.103767747320823</v>
      </c>
      <c r="V147" s="13">
        <f t="shared" si="27"/>
        <v>1.2850232230339016E-3</v>
      </c>
      <c r="W147" s="13">
        <f t="shared" si="32"/>
        <v>1.2850232230339016E-3</v>
      </c>
      <c r="X147" s="13">
        <v>0</v>
      </c>
      <c r="Y147" s="13">
        <v>0</v>
      </c>
      <c r="Z147" s="13">
        <v>0</v>
      </c>
      <c r="AA147" s="13">
        <f t="shared" si="33"/>
        <v>0.34052587972365184</v>
      </c>
      <c r="AB147" s="13">
        <f t="shared" si="34"/>
        <v>652.70822796238281</v>
      </c>
      <c r="AC147" s="13">
        <f t="shared" si="28"/>
        <v>653.0500388653295</v>
      </c>
      <c r="AD147" s="13">
        <f t="shared" si="29"/>
        <v>0.52439624839080801</v>
      </c>
      <c r="AE147" s="13">
        <f t="shared" si="24"/>
        <v>2.877001898991758E-5</v>
      </c>
      <c r="AF147" s="13">
        <f t="shared" si="30"/>
        <v>2.4280317201142937E-5</v>
      </c>
      <c r="AG147" s="13">
        <f t="shared" si="31"/>
        <v>1.6062679249087931E-5</v>
      </c>
      <c r="AH147" s="10"/>
      <c r="AI147" s="13">
        <f t="shared" si="25"/>
        <v>3.7947093444086335E-6</v>
      </c>
      <c r="AJ147" s="10"/>
      <c r="AK147" s="10"/>
      <c r="AL147" s="10"/>
      <c r="AM147" s="10"/>
      <c r="AN147" s="10"/>
    </row>
    <row r="148" spans="19:40">
      <c r="S148" s="10"/>
      <c r="T148" s="12">
        <v>142</v>
      </c>
      <c r="U148" s="13">
        <f t="shared" si="26"/>
        <v>0.10389410403196098</v>
      </c>
      <c r="V148" s="13">
        <f t="shared" si="27"/>
        <v>1.1512915537387235E-3</v>
      </c>
      <c r="W148" s="13">
        <f t="shared" si="32"/>
        <v>1.1512915537387235E-3</v>
      </c>
      <c r="X148" s="13">
        <v>0</v>
      </c>
      <c r="Y148" s="13">
        <v>0</v>
      </c>
      <c r="Z148" s="13">
        <v>0</v>
      </c>
      <c r="AA148" s="13">
        <f t="shared" si="33"/>
        <v>0.31922061654212086</v>
      </c>
      <c r="AB148" s="13">
        <f t="shared" si="34"/>
        <v>652.72966695723369</v>
      </c>
      <c r="AC148" s="13">
        <f t="shared" si="28"/>
        <v>653.0500388653295</v>
      </c>
      <c r="AD148" s="13">
        <f t="shared" si="29"/>
        <v>0.48985043283047103</v>
      </c>
      <c r="AE148" s="13">
        <f t="shared" si="24"/>
        <v>2.6886048423387695E-5</v>
      </c>
      <c r="AF148" s="13">
        <f t="shared" si="30"/>
        <v>2.2755551814472745E-5</v>
      </c>
      <c r="AG148" s="13">
        <f t="shared" si="31"/>
        <v>1.5009606757540117E-5</v>
      </c>
      <c r="AH148" s="10"/>
      <c r="AI148" s="13">
        <f t="shared" si="25"/>
        <v>3.4204661109805713E-6</v>
      </c>
      <c r="AJ148" s="10"/>
      <c r="AK148" s="10"/>
      <c r="AL148" s="10"/>
      <c r="AM148" s="10"/>
      <c r="AN148" s="10"/>
    </row>
    <row r="149" spans="19:40">
      <c r="S149" s="10"/>
      <c r="T149" s="12">
        <v>143</v>
      </c>
      <c r="U149" s="13">
        <f t="shared" si="26"/>
        <v>0.10401972626877888</v>
      </c>
      <c r="V149" s="13">
        <f t="shared" si="27"/>
        <v>1.0313326388557364E-3</v>
      </c>
      <c r="W149" s="13">
        <f t="shared" si="32"/>
        <v>1.0313326388557364E-3</v>
      </c>
      <c r="X149" s="13">
        <v>0</v>
      </c>
      <c r="Y149" s="13">
        <v>0</v>
      </c>
      <c r="Z149" s="13">
        <v>0</v>
      </c>
      <c r="AA149" s="13">
        <f t="shared" si="33"/>
        <v>0.2992429371358567</v>
      </c>
      <c r="AB149" s="13">
        <f t="shared" si="34"/>
        <v>652.74976459555478</v>
      </c>
      <c r="AC149" s="13">
        <f t="shared" si="28"/>
        <v>653.0500388653295</v>
      </c>
      <c r="AD149" s="13">
        <f t="shared" si="29"/>
        <v>0.45758322943612695</v>
      </c>
      <c r="AE149" s="13">
        <f t="shared" si="24"/>
        <v>2.5125168314497381E-5</v>
      </c>
      <c r="AF149" s="13">
        <f t="shared" si="30"/>
        <v>2.1326374465806117E-5</v>
      </c>
      <c r="AG149" s="13">
        <f t="shared" si="31"/>
        <v>1.4025465523330781E-5</v>
      </c>
      <c r="AH149" s="10"/>
      <c r="AI149" s="13">
        <f t="shared" si="25"/>
        <v>3.0827432173906254E-6</v>
      </c>
      <c r="AJ149" s="10"/>
      <c r="AK149" s="10"/>
      <c r="AL149" s="10"/>
      <c r="AM149" s="10"/>
      <c r="AN149" s="10"/>
    </row>
    <row r="150" spans="19:40">
      <c r="S150" s="10"/>
      <c r="T150" s="12">
        <v>144</v>
      </c>
      <c r="U150" s="13">
        <f t="shared" si="26"/>
        <v>0.10414462339224034</v>
      </c>
      <c r="V150" s="13">
        <f t="shared" si="27"/>
        <v>9.2374404215677817E-4</v>
      </c>
      <c r="W150" s="13">
        <f t="shared" si="32"/>
        <v>9.2374404215677817E-4</v>
      </c>
      <c r="X150" s="13">
        <v>0</v>
      </c>
      <c r="Y150" s="13">
        <v>0</v>
      </c>
      <c r="Z150" s="13">
        <v>0</v>
      </c>
      <c r="AA150" s="13">
        <f t="shared" si="33"/>
        <v>0.28051065973597655</v>
      </c>
      <c r="AB150" s="13">
        <f t="shared" si="34"/>
        <v>652.76860446155138</v>
      </c>
      <c r="AC150" s="13">
        <f t="shared" si="28"/>
        <v>653.0500388653295</v>
      </c>
      <c r="AD150" s="13">
        <f t="shared" si="29"/>
        <v>0.42744407713642879</v>
      </c>
      <c r="AE150" s="13">
        <f t="shared" si="24"/>
        <v>2.3479365601452338E-5</v>
      </c>
      <c r="AF150" s="13">
        <f t="shared" si="30"/>
        <v>1.9986809706357669E-5</v>
      </c>
      <c r="AG150" s="13">
        <f t="shared" si="31"/>
        <v>1.3105754957846724E-5</v>
      </c>
      <c r="AH150" s="10"/>
      <c r="AI150" s="13">
        <f t="shared" si="25"/>
        <v>2.7780177136429379E-6</v>
      </c>
      <c r="AJ150" s="10"/>
      <c r="AK150" s="10"/>
      <c r="AL150" s="10"/>
      <c r="AM150" s="10"/>
      <c r="AN150" s="10"/>
    </row>
    <row r="151" spans="19:40">
      <c r="S151" s="10"/>
      <c r="T151" s="12">
        <v>145</v>
      </c>
      <c r="U151" s="13">
        <f t="shared" si="26"/>
        <v>0.10426880458000637</v>
      </c>
      <c r="V151" s="13">
        <f t="shared" si="27"/>
        <v>8.2726437370997635E-4</v>
      </c>
      <c r="W151" s="13">
        <f t="shared" si="32"/>
        <v>8.2726437370997635E-4</v>
      </c>
      <c r="X151" s="13">
        <v>0</v>
      </c>
      <c r="Y151" s="13">
        <v>0</v>
      </c>
      <c r="Z151" s="13">
        <v>0</v>
      </c>
      <c r="AA151" s="13">
        <f t="shared" si="33"/>
        <v>0.26294663575883342</v>
      </c>
      <c r="AB151" s="13">
        <f t="shared" si="34"/>
        <v>652.78626496519701</v>
      </c>
      <c r="AC151" s="13">
        <f t="shared" si="28"/>
        <v>653.0500388653295</v>
      </c>
      <c r="AD151" s="13">
        <f t="shared" si="29"/>
        <v>0.39929238741819484</v>
      </c>
      <c r="AE151" s="13">
        <f t="shared" si="24"/>
        <v>2.1941145853806076E-5</v>
      </c>
      <c r="AF151" s="13">
        <f t="shared" si="30"/>
        <v>1.8731253892615493E-5</v>
      </c>
      <c r="AG151" s="13">
        <f t="shared" si="31"/>
        <v>1.2246267119457444E-5</v>
      </c>
      <c r="AH151" s="10"/>
      <c r="AI151" s="13">
        <f t="shared" si="25"/>
        <v>2.5031022120762857E-6</v>
      </c>
      <c r="AJ151" s="10"/>
      <c r="AK151" s="10"/>
      <c r="AL151" s="10"/>
      <c r="AM151" s="10"/>
      <c r="AN151" s="10"/>
    </row>
    <row r="152" spans="19:40">
      <c r="S152" s="10"/>
      <c r="T152" s="12">
        <v>146</v>
      </c>
      <c r="U152" s="13">
        <f t="shared" si="26"/>
        <v>0.10439227883126073</v>
      </c>
      <c r="V152" s="13">
        <f t="shared" si="27"/>
        <v>7.4075929712362531E-4</v>
      </c>
      <c r="W152" s="13">
        <f t="shared" si="32"/>
        <v>7.4075929712362531E-4</v>
      </c>
      <c r="X152" s="13">
        <v>0</v>
      </c>
      <c r="Y152" s="13">
        <v>0</v>
      </c>
      <c r="Z152" s="13">
        <v>0</v>
      </c>
      <c r="AA152" s="13">
        <f t="shared" si="33"/>
        <v>0.24647844689563256</v>
      </c>
      <c r="AB152" s="13">
        <f t="shared" si="34"/>
        <v>652.80281965913673</v>
      </c>
      <c r="AC152" s="13">
        <f t="shared" si="28"/>
        <v>653.0500388653295</v>
      </c>
      <c r="AD152" s="13">
        <f t="shared" si="29"/>
        <v>0.37299688169805795</v>
      </c>
      <c r="AE152" s="13">
        <f t="shared" si="24"/>
        <v>2.0503500013034954E-5</v>
      </c>
      <c r="AF152" s="13">
        <f t="shared" si="30"/>
        <v>1.7554452227147834E-5</v>
      </c>
      <c r="AG152" s="13">
        <f t="shared" si="31"/>
        <v>1.1443067808958537E-5</v>
      </c>
      <c r="AH152" s="10"/>
      <c r="AI152" s="13">
        <f t="shared" si="25"/>
        <v>2.2551133712657072E-6</v>
      </c>
      <c r="AJ152" s="10"/>
      <c r="AK152" s="10"/>
      <c r="AL152" s="10"/>
      <c r="AM152" s="10"/>
      <c r="AN152" s="10"/>
    </row>
    <row r="153" spans="19:40">
      <c r="S153" s="10"/>
      <c r="T153" s="12">
        <v>147</v>
      </c>
      <c r="U153" s="13">
        <f t="shared" si="26"/>
        <v>0.10451505497137607</v>
      </c>
      <c r="V153" s="13">
        <f t="shared" si="27"/>
        <v>6.6320890398353807E-4</v>
      </c>
      <c r="W153" s="13">
        <f t="shared" si="32"/>
        <v>6.6320890398353807E-4</v>
      </c>
      <c r="X153" s="13">
        <v>0</v>
      </c>
      <c r="Y153" s="13">
        <v>0</v>
      </c>
      <c r="Z153" s="13">
        <v>0</v>
      </c>
      <c r="AA153" s="13">
        <f t="shared" si="33"/>
        <v>0.23103811990788764</v>
      </c>
      <c r="AB153" s="13">
        <f t="shared" si="34"/>
        <v>652.81833753651767</v>
      </c>
      <c r="AC153" s="13">
        <f t="shared" si="28"/>
        <v>653.0500388653295</v>
      </c>
      <c r="AD153" s="13">
        <f t="shared" si="29"/>
        <v>0.34843497289086861</v>
      </c>
      <c r="AE153" s="13">
        <f t="shared" si="24"/>
        <v>1.91598732347733E-5</v>
      </c>
      <c r="AF153" s="13">
        <f t="shared" si="30"/>
        <v>1.6451477199606347E-5</v>
      </c>
      <c r="AG153" s="13">
        <f t="shared" si="31"/>
        <v>1.0692478873419229E-5</v>
      </c>
      <c r="AH153" s="10"/>
      <c r="AI153" s="13">
        <f t="shared" si="25"/>
        <v>2.0314432935757596E-6</v>
      </c>
      <c r="AJ153" s="10"/>
      <c r="AK153" s="10"/>
      <c r="AL153" s="10"/>
      <c r="AM153" s="10"/>
      <c r="AN153" s="10"/>
    </row>
    <row r="154" spans="19:40">
      <c r="S154" s="10"/>
      <c r="T154" s="12">
        <v>148</v>
      </c>
      <c r="U154" s="13">
        <f t="shared" si="26"/>
        <v>0.10463714165642721</v>
      </c>
      <c r="V154" s="13">
        <f t="shared" si="27"/>
        <v>5.9369632417514821E-4</v>
      </c>
      <c r="W154" s="13">
        <f t="shared" si="32"/>
        <v>5.9369632417514821E-4</v>
      </c>
      <c r="X154" s="13">
        <v>0</v>
      </c>
      <c r="Y154" s="13">
        <v>0</v>
      </c>
      <c r="Z154" s="13">
        <v>0</v>
      </c>
      <c r="AA154" s="13">
        <f t="shared" si="33"/>
        <v>0.21656185814506482</v>
      </c>
      <c r="AB154" s="13">
        <f t="shared" si="34"/>
        <v>652.83288331086021</v>
      </c>
      <c r="AC154" s="13">
        <f t="shared" si="28"/>
        <v>653.0500388653295</v>
      </c>
      <c r="AD154" s="13">
        <f t="shared" si="29"/>
        <v>0.3254921882148753</v>
      </c>
      <c r="AE154" s="13">
        <f t="shared" si="24"/>
        <v>1.7904135703050353E-5</v>
      </c>
      <c r="AF154" s="13">
        <f t="shared" si="30"/>
        <v>1.5417708344274649E-5</v>
      </c>
      <c r="AG154" s="13">
        <f t="shared" si="31"/>
        <v>9.9910616424961457E-6</v>
      </c>
      <c r="AH154" s="10"/>
      <c r="AI154" s="13">
        <f t="shared" si="25"/>
        <v>1.8297335717938479E-6</v>
      </c>
      <c r="AJ154" s="10"/>
      <c r="AK154" s="10"/>
      <c r="AL154" s="10"/>
      <c r="AM154" s="10"/>
      <c r="AN154" s="10"/>
    </row>
    <row r="155" spans="19:40">
      <c r="S155" s="10"/>
      <c r="T155" s="12">
        <v>149</v>
      </c>
      <c r="U155" s="13">
        <f t="shared" si="26"/>
        <v>0.10475854737755777</v>
      </c>
      <c r="V155" s="13">
        <f t="shared" si="27"/>
        <v>5.3139745314696089E-4</v>
      </c>
      <c r="W155" s="13">
        <f t="shared" si="32"/>
        <v>5.3139745314696089E-4</v>
      </c>
      <c r="X155" s="13">
        <v>0</v>
      </c>
      <c r="Y155" s="13">
        <v>0</v>
      </c>
      <c r="Z155" s="13">
        <v>0</v>
      </c>
      <c r="AA155" s="13">
        <f t="shared" si="33"/>
        <v>0.20298978885034819</v>
      </c>
      <c r="AB155" s="13">
        <f t="shared" si="34"/>
        <v>652.84651767902596</v>
      </c>
      <c r="AC155" s="13">
        <f t="shared" si="28"/>
        <v>653.0500388653295</v>
      </c>
      <c r="AD155" s="13">
        <f t="shared" si="29"/>
        <v>0.30406163047262358</v>
      </c>
      <c r="AE155" s="13">
        <f t="shared" si="24"/>
        <v>1.6730555294554036E-5</v>
      </c>
      <c r="AF155" s="13">
        <f t="shared" si="30"/>
        <v>1.444881323533692E-5</v>
      </c>
      <c r="AG155" s="13">
        <f t="shared" si="31"/>
        <v>9.335601425915256E-6</v>
      </c>
      <c r="AH155" s="10"/>
      <c r="AI155" s="13">
        <f t="shared" si="25"/>
        <v>1.6478517438031718E-6</v>
      </c>
      <c r="AJ155" s="10"/>
      <c r="AK155" s="10"/>
      <c r="AL155" s="10"/>
      <c r="AM155" s="10"/>
      <c r="AN155" s="10"/>
    </row>
    <row r="156" spans="19:40">
      <c r="S156" s="10"/>
      <c r="T156" s="12">
        <v>150</v>
      </c>
      <c r="U156" s="13">
        <f t="shared" si="26"/>
        <v>0.1048792804652055</v>
      </c>
      <c r="V156" s="13">
        <f t="shared" si="27"/>
        <v>4.755716883993173E-4</v>
      </c>
      <c r="W156" s="13">
        <f t="shared" si="32"/>
        <v>4.755716883993173E-4</v>
      </c>
      <c r="X156" s="13">
        <v>0</v>
      </c>
      <c r="Y156" s="13">
        <v>0</v>
      </c>
      <c r="Z156" s="13">
        <v>0</v>
      </c>
      <c r="AA156" s="13">
        <f t="shared" si="33"/>
        <v>0.19026572536806138</v>
      </c>
      <c r="AB156" s="13">
        <f t="shared" si="34"/>
        <v>652.85929756827295</v>
      </c>
      <c r="AC156" s="13">
        <f t="shared" si="28"/>
        <v>653.05003886532938</v>
      </c>
      <c r="AD156" s="13">
        <f t="shared" si="29"/>
        <v>0.28404347523204931</v>
      </c>
      <c r="AE156" s="13">
        <f t="shared" si="24"/>
        <v>1.5633771978206607E-5</v>
      </c>
      <c r="AF156" s="13">
        <f t="shared" si="30"/>
        <v>1.3540729645604892E-5</v>
      </c>
      <c r="AG156" s="13">
        <f t="shared" si="31"/>
        <v>8.7230930051936253E-6</v>
      </c>
      <c r="AH156" s="10"/>
      <c r="AI156" s="13">
        <f t="shared" si="25"/>
        <v>1.4838699357409931E-6</v>
      </c>
      <c r="AJ156" s="10"/>
      <c r="AK156" s="10"/>
      <c r="AL156" s="10"/>
      <c r="AM156" s="10"/>
      <c r="AN156" s="10"/>
    </row>
    <row r="157" spans="19:40">
      <c r="S157" s="10"/>
      <c r="T157" s="12">
        <v>151</v>
      </c>
      <c r="U157" s="13">
        <f t="shared" si="26"/>
        <v>0.10499934909319215</v>
      </c>
      <c r="V157" s="13">
        <f t="shared" si="27"/>
        <v>4.2555357767373064E-4</v>
      </c>
      <c r="W157" s="13">
        <f t="shared" si="32"/>
        <v>4.2555357767373064E-4</v>
      </c>
      <c r="X157" s="13">
        <v>0</v>
      </c>
      <c r="Y157" s="13">
        <v>0</v>
      </c>
      <c r="Z157" s="13">
        <v>0</v>
      </c>
      <c r="AA157" s="13">
        <f t="shared" si="33"/>
        <v>0.17833694341191705</v>
      </c>
      <c r="AB157" s="13">
        <f t="shared" si="34"/>
        <v>652.87127636833986</v>
      </c>
      <c r="AC157" s="13">
        <f t="shared" si="28"/>
        <v>653.0500388653295</v>
      </c>
      <c r="AD157" s="13">
        <f t="shared" si="29"/>
        <v>0.2653445015052962</v>
      </c>
      <c r="AE157" s="13">
        <f t="shared" si="24"/>
        <v>1.4608773842193676E-5</v>
      </c>
      <c r="AF157" s="13">
        <f t="shared" si="30"/>
        <v>1.2689648798757291E-5</v>
      </c>
      <c r="AG157" s="13">
        <f t="shared" si="31"/>
        <v>8.1507270567865205E-6</v>
      </c>
      <c r="AH157" s="10"/>
      <c r="AI157" s="13">
        <f t="shared" si="25"/>
        <v>1.3360454937068612E-6</v>
      </c>
      <c r="AJ157" s="10"/>
      <c r="AK157" s="10"/>
      <c r="AL157" s="10"/>
      <c r="AM157" s="10"/>
      <c r="AN157" s="10"/>
    </row>
    <row r="158" spans="19:40">
      <c r="S158" s="10"/>
      <c r="T158" s="12">
        <v>152</v>
      </c>
      <c r="U158" s="13">
        <f t="shared" si="26"/>
        <v>0.1051187612826828</v>
      </c>
      <c r="V158" s="13">
        <f t="shared" si="27"/>
        <v>3.8074529056632359E-4</v>
      </c>
      <c r="W158" s="13">
        <f t="shared" si="32"/>
        <v>3.8074529056632359E-4</v>
      </c>
      <c r="X158" s="13">
        <v>0</v>
      </c>
      <c r="Y158" s="13">
        <v>0</v>
      </c>
      <c r="Z158" s="13">
        <v>0</v>
      </c>
      <c r="AA158" s="13">
        <f t="shared" si="33"/>
        <v>0.16715397059697157</v>
      </c>
      <c r="AB158" s="13">
        <f t="shared" si="34"/>
        <v>652.88250414944184</v>
      </c>
      <c r="AC158" s="13">
        <f t="shared" si="28"/>
        <v>653.05003886532938</v>
      </c>
      <c r="AD158" s="13">
        <f t="shared" si="29"/>
        <v>0.24787765368419495</v>
      </c>
      <c r="AE158" s="13">
        <f t="shared" si="24"/>
        <v>1.3650874647060626E-5</v>
      </c>
      <c r="AF158" s="13">
        <f t="shared" si="30"/>
        <v>1.1891999649223737E-5</v>
      </c>
      <c r="AG158" s="13">
        <f t="shared" si="31"/>
        <v>7.6158774477174668E-6</v>
      </c>
      <c r="AH158" s="10"/>
      <c r="AI158" s="13">
        <f t="shared" si="25"/>
        <v>1.2028034219917466E-6</v>
      </c>
      <c r="AJ158" s="10"/>
      <c r="AK158" s="10"/>
      <c r="AL158" s="10"/>
      <c r="AM158" s="10"/>
      <c r="AN158" s="10"/>
    </row>
    <row r="159" spans="19:40">
      <c r="S159" s="10"/>
      <c r="T159" s="12">
        <v>153</v>
      </c>
      <c r="U159" s="13">
        <f t="shared" si="26"/>
        <v>0.10523752490601991</v>
      </c>
      <c r="V159" s="13">
        <f t="shared" si="27"/>
        <v>3.4060983367913307E-4</v>
      </c>
      <c r="W159" s="13">
        <f t="shared" si="32"/>
        <v>3.4060983367913307E-4</v>
      </c>
      <c r="X159" s="13">
        <v>0</v>
      </c>
      <c r="Y159" s="13">
        <v>0</v>
      </c>
      <c r="Z159" s="13">
        <v>0</v>
      </c>
      <c r="AA159" s="13">
        <f t="shared" si="33"/>
        <v>0.15667038847997292</v>
      </c>
      <c r="AB159" s="13">
        <f t="shared" si="34"/>
        <v>652.89302786701569</v>
      </c>
      <c r="AC159" s="13">
        <f t="shared" si="28"/>
        <v>653.05003886532938</v>
      </c>
      <c r="AD159" s="13">
        <f t="shared" si="29"/>
        <v>0.23156163264187896</v>
      </c>
      <c r="AE159" s="13">
        <f t="shared" si="24"/>
        <v>1.2755692809597864E-5</v>
      </c>
      <c r="AF159" s="13">
        <f t="shared" si="30"/>
        <v>1.1144434127698476E-5</v>
      </c>
      <c r="AG159" s="13">
        <f t="shared" si="31"/>
        <v>7.1160893483917615E-6</v>
      </c>
      <c r="AH159" s="10"/>
      <c r="AI159" s="13">
        <f t="shared" si="25"/>
        <v>1.0827204621379699E-6</v>
      </c>
      <c r="AJ159" s="10"/>
      <c r="AK159" s="10"/>
      <c r="AL159" s="10"/>
      <c r="AM159" s="10"/>
      <c r="AN159" s="10"/>
    </row>
    <row r="160" spans="19:40">
      <c r="S160" s="10"/>
      <c r="T160" s="12">
        <v>154</v>
      </c>
      <c r="U160" s="13">
        <f t="shared" si="26"/>
        <v>0.10535564769043664</v>
      </c>
      <c r="V160" s="13">
        <f t="shared" si="27"/>
        <v>3.0466493703280514E-4</v>
      </c>
      <c r="W160" s="13">
        <f t="shared" si="32"/>
        <v>3.0466493703280514E-4</v>
      </c>
      <c r="X160" s="13">
        <v>0</v>
      </c>
      <c r="Y160" s="13">
        <v>0</v>
      </c>
      <c r="Z160" s="13">
        <v>0</v>
      </c>
      <c r="AA160" s="13">
        <f t="shared" si="33"/>
        <v>0.14684264639274661</v>
      </c>
      <c r="AB160" s="13">
        <f t="shared" si="34"/>
        <v>652.90289155399955</v>
      </c>
      <c r="AC160" s="13">
        <f t="shared" si="28"/>
        <v>653.05003886532938</v>
      </c>
      <c r="AD160" s="13">
        <f t="shared" si="29"/>
        <v>0.21632051405041963</v>
      </c>
      <c r="AE160" s="13">
        <f t="shared" si="24"/>
        <v>1.1919131727996985E-5</v>
      </c>
      <c r="AF160" s="13">
        <f t="shared" si="30"/>
        <v>1.044381329390826E-5</v>
      </c>
      <c r="AG160" s="13">
        <f t="shared" si="31"/>
        <v>6.649068110720832E-6</v>
      </c>
      <c r="AH160" s="10"/>
      <c r="AI160" s="13">
        <f t="shared" si="25"/>
        <v>9.745106620467275E-7</v>
      </c>
      <c r="AJ160" s="10"/>
      <c r="AK160" s="10"/>
      <c r="AL160" s="10"/>
      <c r="AM160" s="10"/>
      <c r="AN160" s="10"/>
    </row>
    <row r="161" spans="19:40">
      <c r="S161" s="10"/>
      <c r="T161" s="12">
        <v>155</v>
      </c>
      <c r="U161" s="13">
        <f t="shared" si="26"/>
        <v>0.10547313722165393</v>
      </c>
      <c r="V161" s="13">
        <f t="shared" si="27"/>
        <v>2.7247754636425882E-4</v>
      </c>
      <c r="W161" s="13">
        <f t="shared" si="32"/>
        <v>2.7247754636425882E-4</v>
      </c>
      <c r="X161" s="13">
        <v>0</v>
      </c>
      <c r="Y161" s="13">
        <v>0</v>
      </c>
      <c r="Z161" s="13">
        <v>0</v>
      </c>
      <c r="AA161" s="13">
        <f t="shared" si="33"/>
        <v>0.13762988639141402</v>
      </c>
      <c r="AB161" s="13">
        <f t="shared" si="34"/>
        <v>652.9121365013915</v>
      </c>
      <c r="AC161" s="13">
        <f t="shared" si="28"/>
        <v>653.05003886532927</v>
      </c>
      <c r="AD161" s="13">
        <f t="shared" si="29"/>
        <v>0.20208339209530959</v>
      </c>
      <c r="AE161" s="13">
        <f t="shared" si="24"/>
        <v>1.1137361364190936E-5</v>
      </c>
      <c r="AF161" s="13">
        <f t="shared" si="30"/>
        <v>9.7871943416943855E-6</v>
      </c>
      <c r="AG161" s="13">
        <f t="shared" si="31"/>
        <v>6.2126688629070085E-6</v>
      </c>
      <c r="AH161" s="10"/>
      <c r="AI161" s="13">
        <f t="shared" si="25"/>
        <v>8.7701229794516728E-7</v>
      </c>
      <c r="AJ161" s="10"/>
      <c r="AK161" s="10"/>
      <c r="AL161" s="10"/>
      <c r="AM161" s="10"/>
      <c r="AN161" s="10"/>
    </row>
    <row r="162" spans="19:40">
      <c r="S162" s="10"/>
      <c r="T162" s="12">
        <v>156</v>
      </c>
      <c r="U162" s="13">
        <f t="shared" si="26"/>
        <v>0.1055900009473662</v>
      </c>
      <c r="V162" s="13">
        <f t="shared" si="27"/>
        <v>2.4365886218780209E-4</v>
      </c>
      <c r="W162" s="13">
        <f t="shared" si="32"/>
        <v>2.4365886218780209E-4</v>
      </c>
      <c r="X162" s="13">
        <v>0</v>
      </c>
      <c r="Y162" s="13">
        <v>0</v>
      </c>
      <c r="Z162" s="13">
        <v>0</v>
      </c>
      <c r="AA162" s="13">
        <f t="shared" si="33"/>
        <v>0.12899377868063008</v>
      </c>
      <c r="AB162" s="13">
        <f t="shared" si="34"/>
        <v>652.9208014277865</v>
      </c>
      <c r="AC162" s="13">
        <f t="shared" si="28"/>
        <v>653.05003886532927</v>
      </c>
      <c r="AD162" s="13">
        <f t="shared" si="29"/>
        <v>0.18878404688975164</v>
      </c>
      <c r="AE162" s="13">
        <f t="shared" si="24"/>
        <v>1.0406801004410317E-5</v>
      </c>
      <c r="AF162" s="13">
        <f t="shared" si="30"/>
        <v>9.1718184047117849E-6</v>
      </c>
      <c r="AG162" s="13">
        <f t="shared" si="31"/>
        <v>5.8048867752676422E-6</v>
      </c>
      <c r="AH162" s="10"/>
      <c r="AI162" s="13">
        <f t="shared" si="25"/>
        <v>7.8917602442057648E-7</v>
      </c>
      <c r="AJ162" s="10"/>
      <c r="AK162" s="10"/>
      <c r="AL162" s="10"/>
      <c r="AM162" s="10"/>
      <c r="AN162" s="10"/>
    </row>
    <row r="163" spans="19:40">
      <c r="S163" s="10"/>
      <c r="T163" s="12">
        <v>157</v>
      </c>
      <c r="U163" s="13">
        <f t="shared" si="26"/>
        <v>0.10570624618061909</v>
      </c>
      <c r="V163" s="13">
        <f t="shared" si="27"/>
        <v>2.178598721667948E-4</v>
      </c>
      <c r="W163" s="13">
        <f t="shared" si="32"/>
        <v>2.178598721667948E-4</v>
      </c>
      <c r="X163" s="13">
        <v>0</v>
      </c>
      <c r="Y163" s="13">
        <v>0</v>
      </c>
      <c r="Z163" s="13">
        <v>0</v>
      </c>
      <c r="AA163" s="13">
        <f t="shared" si="33"/>
        <v>0.12089836690671259</v>
      </c>
      <c r="AB163" s="13">
        <f t="shared" si="34"/>
        <v>652.92892263855049</v>
      </c>
      <c r="AC163" s="13">
        <f t="shared" si="28"/>
        <v>653.05003886532938</v>
      </c>
      <c r="AD163" s="13">
        <f t="shared" si="29"/>
        <v>0.17636063400561841</v>
      </c>
      <c r="AE163" s="13">
        <f t="shared" si="24"/>
        <v>9.7241031238103016E-6</v>
      </c>
      <c r="AF163" s="13">
        <f t="shared" si="30"/>
        <v>8.5950991141076274E-6</v>
      </c>
      <c r="AG163" s="13">
        <f t="shared" si="31"/>
        <v>5.4238479543246548E-6</v>
      </c>
      <c r="AH163" s="10"/>
      <c r="AI163" s="13">
        <f t="shared" si="25"/>
        <v>7.1005413903077076E-7</v>
      </c>
      <c r="AJ163" s="10"/>
      <c r="AK163" s="10"/>
      <c r="AL163" s="10"/>
      <c r="AM163" s="10"/>
      <c r="AN163" s="10"/>
    </row>
    <row r="164" spans="19:40">
      <c r="S164" s="10"/>
      <c r="T164" s="12">
        <v>158</v>
      </c>
      <c r="U164" s="13">
        <f t="shared" si="26"/>
        <v>0.1058218801030838</v>
      </c>
      <c r="V164" s="13">
        <f t="shared" si="27"/>
        <v>1.9476732847891726E-4</v>
      </c>
      <c r="W164" s="13">
        <f t="shared" si="32"/>
        <v>1.9476732847891726E-4</v>
      </c>
      <c r="X164" s="13">
        <v>0</v>
      </c>
      <c r="Y164" s="13">
        <v>0</v>
      </c>
      <c r="Z164" s="13">
        <v>0</v>
      </c>
      <c r="AA164" s="13">
        <f t="shared" si="33"/>
        <v>0.11330992274657001</v>
      </c>
      <c r="AB164" s="13">
        <f t="shared" si="34"/>
        <v>652.93653417525434</v>
      </c>
      <c r="AC164" s="13">
        <f t="shared" si="28"/>
        <v>653.05003886532938</v>
      </c>
      <c r="AD164" s="13">
        <f t="shared" si="29"/>
        <v>0.16475539464417213</v>
      </c>
      <c r="AE164" s="13">
        <f t="shared" si="24"/>
        <v>9.0861382855647253E-6</v>
      </c>
      <c r="AF164" s="13">
        <f t="shared" si="30"/>
        <v>8.0546118624282293E-6</v>
      </c>
      <c r="AG164" s="13">
        <f t="shared" si="31"/>
        <v>5.0678009250607491E-6</v>
      </c>
      <c r="AH164" s="10"/>
      <c r="AI164" s="13">
        <f t="shared" si="25"/>
        <v>6.3879085829754415E-7</v>
      </c>
      <c r="AJ164" s="10"/>
      <c r="AK164" s="10"/>
      <c r="AL164" s="10"/>
      <c r="AM164" s="10"/>
      <c r="AN164" s="10"/>
    </row>
    <row r="165" spans="19:40">
      <c r="S165" s="10"/>
      <c r="T165" s="12">
        <v>159</v>
      </c>
      <c r="U165" s="13">
        <f t="shared" si="26"/>
        <v>0.10593690976823152</v>
      </c>
      <c r="V165" s="13">
        <f t="shared" si="27"/>
        <v>1.7410012651029468E-4</v>
      </c>
      <c r="W165" s="13">
        <f t="shared" si="32"/>
        <v>1.7410012651029468E-4</v>
      </c>
      <c r="X165" s="13">
        <v>0</v>
      </c>
      <c r="Y165" s="13">
        <v>0</v>
      </c>
      <c r="Z165" s="13">
        <v>0</v>
      </c>
      <c r="AA165" s="13">
        <f t="shared" si="33"/>
        <v>0.10619680925077078</v>
      </c>
      <c r="AB165" s="13">
        <f t="shared" si="34"/>
        <v>652.94366795595215</v>
      </c>
      <c r="AC165" s="13">
        <f t="shared" si="28"/>
        <v>653.05003886532938</v>
      </c>
      <c r="AD165" s="13">
        <f t="shared" si="29"/>
        <v>0.1539143850687153</v>
      </c>
      <c r="AE165" s="13">
        <f t="shared" si="24"/>
        <v>8.4899810091001083E-6</v>
      </c>
      <c r="AF165" s="13">
        <f t="shared" si="30"/>
        <v>7.5480837307245357E-6</v>
      </c>
      <c r="AG165" s="13">
        <f t="shared" si="31"/>
        <v>4.7351086637566753E-6</v>
      </c>
      <c r="AH165" s="10"/>
      <c r="AI165" s="13">
        <f t="shared" si="25"/>
        <v>5.7461351127490958E-7</v>
      </c>
      <c r="AJ165" s="10"/>
      <c r="AK165" s="10"/>
      <c r="AL165" s="10"/>
      <c r="AM165" s="10"/>
      <c r="AN165" s="10"/>
    </row>
    <row r="166" spans="19:40">
      <c r="S166" s="10"/>
      <c r="T166" s="12">
        <v>160</v>
      </c>
      <c r="U166" s="13">
        <f t="shared" si="26"/>
        <v>0.10605134210441192</v>
      </c>
      <c r="V166" s="13">
        <f t="shared" si="27"/>
        <v>1.5560604542667075E-4</v>
      </c>
      <c r="W166" s="13">
        <f t="shared" si="32"/>
        <v>1.5560604542667075E-4</v>
      </c>
      <c r="X166" s="13">
        <v>0</v>
      </c>
      <c r="Y166" s="13">
        <v>0</v>
      </c>
      <c r="Z166" s="13">
        <v>0</v>
      </c>
      <c r="AA166" s="13">
        <f t="shared" si="33"/>
        <v>9.9529352428994106E-2</v>
      </c>
      <c r="AB166" s="13">
        <f t="shared" si="34"/>
        <v>652.95035390685496</v>
      </c>
      <c r="AC166" s="13">
        <f t="shared" si="28"/>
        <v>653.05003886532938</v>
      </c>
      <c r="AD166" s="13">
        <f t="shared" si="29"/>
        <v>0.14378722401374444</v>
      </c>
      <c r="AE166" s="13">
        <f t="shared" si="24"/>
        <v>7.9328965461671381E-6</v>
      </c>
      <c r="AF166" s="13">
        <f t="shared" si="30"/>
        <v>7.0733840383926216E-6</v>
      </c>
      <c r="AG166" s="13">
        <f t="shared" si="31"/>
        <v>4.4242411461843541E-6</v>
      </c>
      <c r="AH166" s="10"/>
      <c r="AI166" s="13">
        <f t="shared" si="25"/>
        <v>5.1682456543108104E-7</v>
      </c>
      <c r="AJ166" s="10"/>
      <c r="AK166" s="10"/>
      <c r="AL166" s="10"/>
      <c r="AM166" s="10"/>
      <c r="AN166" s="10"/>
    </row>
    <row r="167" spans="19:40">
      <c r="S167" s="10"/>
      <c r="T167" s="12">
        <v>161</v>
      </c>
      <c r="U167" s="13">
        <f t="shared" si="26"/>
        <v>0.10616518391783873</v>
      </c>
      <c r="V167" s="13">
        <f t="shared" si="27"/>
        <v>1.3905881498404844E-4</v>
      </c>
      <c r="W167" s="13">
        <f t="shared" si="32"/>
        <v>1.3905881498404844E-4</v>
      </c>
      <c r="X167" s="13">
        <v>0</v>
      </c>
      <c r="Y167" s="13">
        <v>0</v>
      </c>
      <c r="Z167" s="13">
        <v>0</v>
      </c>
      <c r="AA167" s="13">
        <f t="shared" si="33"/>
        <v>9.3279720594513796E-2</v>
      </c>
      <c r="AB167" s="13">
        <f t="shared" si="34"/>
        <v>652.95662008591989</v>
      </c>
      <c r="AC167" s="13">
        <f t="shared" si="28"/>
        <v>653.05003886532938</v>
      </c>
      <c r="AD167" s="13">
        <f t="shared" si="29"/>
        <v>0.1343268568713592</v>
      </c>
      <c r="AE167" s="13">
        <f t="shared" si="24"/>
        <v>7.4123285072341651E-6</v>
      </c>
      <c r="AF167" s="13">
        <f t="shared" si="30"/>
        <v>6.628515477703927E-6</v>
      </c>
      <c r="AG167" s="13">
        <f t="shared" si="31"/>
        <v>4.1337683781468547E-6</v>
      </c>
      <c r="AH167" s="10"/>
      <c r="AI167" s="13">
        <f t="shared" si="25"/>
        <v>4.6479440736898001E-7</v>
      </c>
      <c r="AJ167" s="10"/>
      <c r="AK167" s="10"/>
      <c r="AL167" s="10"/>
      <c r="AM167" s="10"/>
      <c r="AN167" s="10"/>
    </row>
    <row r="168" spans="19:40">
      <c r="S168" s="10"/>
      <c r="T168" s="12">
        <v>162</v>
      </c>
      <c r="U168" s="13">
        <f t="shared" si="26"/>
        <v>0.10627844189548624</v>
      </c>
      <c r="V168" s="13">
        <f t="shared" si="27"/>
        <v>1.2425547639362147E-4</v>
      </c>
      <c r="W168" s="13">
        <f t="shared" si="32"/>
        <v>1.2425547639362147E-4</v>
      </c>
      <c r="X168" s="13">
        <v>0</v>
      </c>
      <c r="Y168" s="13">
        <v>0</v>
      </c>
      <c r="Z168" s="13">
        <v>0</v>
      </c>
      <c r="AA168" s="13">
        <f t="shared" si="33"/>
        <v>8.7421811011351297E-2</v>
      </c>
      <c r="AB168" s="13">
        <f t="shared" si="34"/>
        <v>652.96249279884159</v>
      </c>
      <c r="AC168" s="13">
        <f t="shared" si="28"/>
        <v>653.05003886532938</v>
      </c>
      <c r="AD168" s="13">
        <f t="shared" si="29"/>
        <v>0.12548933553605676</v>
      </c>
      <c r="AE168" s="13">
        <f t="shared" si="24"/>
        <v>6.9258872842494733E-6</v>
      </c>
      <c r="AF168" s="13">
        <f t="shared" si="30"/>
        <v>6.2116057972589597E-6</v>
      </c>
      <c r="AG168" s="13">
        <f t="shared" si="31"/>
        <v>3.8623538774370224E-6</v>
      </c>
      <c r="AH168" s="10"/>
      <c r="AI168" s="13">
        <f t="shared" si="25"/>
        <v>4.1795480799796816E-7</v>
      </c>
      <c r="AJ168" s="10"/>
      <c r="AK168" s="10"/>
      <c r="AL168" s="10"/>
      <c r="AM168" s="10"/>
      <c r="AN168" s="10"/>
    </row>
    <row r="169" spans="19:40">
      <c r="S169" s="10"/>
      <c r="T169" s="12">
        <v>163</v>
      </c>
      <c r="U169" s="13">
        <f t="shared" si="26"/>
        <v>0.1063911226078996</v>
      </c>
      <c r="V169" s="13">
        <f t="shared" si="27"/>
        <v>1.1101400817997761E-4</v>
      </c>
      <c r="W169" s="13">
        <f t="shared" si="32"/>
        <v>1.1101400817997761E-4</v>
      </c>
      <c r="X169" s="13">
        <v>0</v>
      </c>
      <c r="Y169" s="13">
        <v>0</v>
      </c>
      <c r="Z169" s="13">
        <v>0</v>
      </c>
      <c r="AA169" s="13">
        <f t="shared" si="33"/>
        <v>8.1931143413347271E-2</v>
      </c>
      <c r="AB169" s="13">
        <f t="shared" si="34"/>
        <v>652.96799670790779</v>
      </c>
      <c r="AC169" s="13">
        <f t="shared" si="28"/>
        <v>653.05003886532927</v>
      </c>
      <c r="AD169" s="13">
        <f t="shared" si="29"/>
        <v>0.11723361286400996</v>
      </c>
      <c r="AE169" s="13">
        <f t="shared" si="24"/>
        <v>6.4713392191689139E-6</v>
      </c>
      <c r="AF169" s="13">
        <f t="shared" si="30"/>
        <v>5.8209000007451226E-6</v>
      </c>
      <c r="AG169" s="13">
        <f t="shared" si="31"/>
        <v>3.6087485782394665E-6</v>
      </c>
      <c r="AH169" s="10"/>
      <c r="AI169" s="13">
        <f t="shared" si="25"/>
        <v>3.7579300822215537E-7</v>
      </c>
      <c r="AJ169" s="10"/>
      <c r="AK169" s="10"/>
      <c r="AL169" s="10"/>
      <c r="AM169" s="10"/>
      <c r="AN169" s="10"/>
    </row>
    <row r="170" spans="19:40">
      <c r="S170" s="10"/>
      <c r="T170" s="12">
        <v>164</v>
      </c>
      <c r="U170" s="13">
        <f t="shared" si="26"/>
        <v>0.10650323251192201</v>
      </c>
      <c r="V170" s="13">
        <f t="shared" si="27"/>
        <v>9.9171190798000476E-5</v>
      </c>
      <c r="W170" s="13">
        <f t="shared" si="32"/>
        <v>9.9171190798000476E-5</v>
      </c>
      <c r="X170" s="13">
        <v>0</v>
      </c>
      <c r="Y170" s="13">
        <v>0</v>
      </c>
      <c r="Z170" s="13">
        <v>0</v>
      </c>
      <c r="AA170" s="13">
        <f t="shared" si="33"/>
        <v>7.6784759988698575E-2</v>
      </c>
      <c r="AB170" s="13">
        <f t="shared" si="34"/>
        <v>652.97315493414987</v>
      </c>
      <c r="AC170" s="13">
        <f t="shared" si="28"/>
        <v>653.05003886532938</v>
      </c>
      <c r="AD170" s="13">
        <f t="shared" si="29"/>
        <v>0.10952135077284382</v>
      </c>
      <c r="AE170" s="13">
        <f t="shared" si="24"/>
        <v>6.0465964707947803E-6</v>
      </c>
      <c r="AF170" s="13">
        <f t="shared" si="30"/>
        <v>5.4547530294014475E-6</v>
      </c>
      <c r="AG170" s="13">
        <f t="shared" si="31"/>
        <v>3.3717851308333391E-6</v>
      </c>
      <c r="AH170" s="10"/>
      <c r="AI170" s="13">
        <f t="shared" si="25"/>
        <v>3.3784636708360319E-7</v>
      </c>
      <c r="AJ170" s="10"/>
      <c r="AK170" s="10"/>
      <c r="AL170" s="10"/>
      <c r="AM170" s="10"/>
      <c r="AN170" s="10"/>
    </row>
    <row r="171" spans="19:40">
      <c r="S171" s="10"/>
      <c r="T171" s="12">
        <v>165</v>
      </c>
      <c r="U171" s="13">
        <f t="shared" si="26"/>
        <v>0.10661477795334202</v>
      </c>
      <c r="V171" s="13">
        <f t="shared" si="27"/>
        <v>8.8580686330403489E-5</v>
      </c>
      <c r="W171" s="13">
        <f t="shared" si="32"/>
        <v>8.8580686330403489E-5</v>
      </c>
      <c r="X171" s="13">
        <v>0</v>
      </c>
      <c r="Y171" s="13">
        <v>0</v>
      </c>
      <c r="Z171" s="13">
        <v>0</v>
      </c>
      <c r="AA171" s="13">
        <f t="shared" si="33"/>
        <v>7.1961131446545409E-2</v>
      </c>
      <c r="AB171" s="13">
        <f t="shared" si="34"/>
        <v>652.97798915319652</v>
      </c>
      <c r="AC171" s="13">
        <f t="shared" si="28"/>
        <v>653.05003886532938</v>
      </c>
      <c r="AD171" s="13">
        <f t="shared" si="29"/>
        <v>0.10231674107314466</v>
      </c>
      <c r="AE171" s="13">
        <f t="shared" si="24"/>
        <v>5.6497075354318625E-6</v>
      </c>
      <c r="AF171" s="13">
        <f t="shared" si="30"/>
        <v>5.1116228984971966E-6</v>
      </c>
      <c r="AG171" s="13">
        <f t="shared" si="31"/>
        <v>3.1503725711729456E-6</v>
      </c>
      <c r="AH171" s="10"/>
      <c r="AI171" s="13">
        <f t="shared" si="25"/>
        <v>3.0369751964169347E-7</v>
      </c>
      <c r="AJ171" s="10"/>
      <c r="AK171" s="10"/>
      <c r="AL171" s="10"/>
      <c r="AM171" s="10"/>
      <c r="AN171" s="10"/>
    </row>
    <row r="172" spans="19:40">
      <c r="S172" s="10"/>
      <c r="T172" s="12">
        <v>166</v>
      </c>
      <c r="U172" s="13">
        <f t="shared" si="26"/>
        <v>0.10672576516946351</v>
      </c>
      <c r="V172" s="13">
        <f t="shared" si="27"/>
        <v>7.9111311899638273E-5</v>
      </c>
      <c r="W172" s="13">
        <f t="shared" si="32"/>
        <v>7.9111311899638273E-5</v>
      </c>
      <c r="X172" s="13">
        <v>0</v>
      </c>
      <c r="Y172" s="13">
        <v>0</v>
      </c>
      <c r="Z172" s="13">
        <v>0</v>
      </c>
      <c r="AA172" s="13">
        <f t="shared" si="33"/>
        <v>6.7440068804024325E-2</v>
      </c>
      <c r="AB172" s="13">
        <f t="shared" si="34"/>
        <v>652.98251968521345</v>
      </c>
      <c r="AC172" s="13">
        <f t="shared" si="28"/>
        <v>653.05003886532938</v>
      </c>
      <c r="AD172" s="13">
        <f t="shared" si="29"/>
        <v>9.5586338183759709E-2</v>
      </c>
      <c r="AE172" s="13">
        <f t="shared" si="24"/>
        <v>5.2788483796478782E-6</v>
      </c>
      <c r="AF172" s="13">
        <f t="shared" si="30"/>
        <v>4.790064259924075E-6</v>
      </c>
      <c r="AG172" s="13">
        <f t="shared" si="31"/>
        <v>2.9434913365363042E-6</v>
      </c>
      <c r="AH172" s="10"/>
      <c r="AI172" s="13">
        <f t="shared" si="25"/>
        <v>2.7296999673131345E-7</v>
      </c>
      <c r="AJ172" s="10"/>
      <c r="AK172" s="10"/>
      <c r="AL172" s="10"/>
      <c r="AM172" s="10"/>
      <c r="AN172" s="10"/>
    </row>
    <row r="173" spans="19:40">
      <c r="S173" s="10"/>
      <c r="T173" s="12">
        <v>167</v>
      </c>
      <c r="U173" s="13">
        <f t="shared" si="26"/>
        <v>0.10683620029160083</v>
      </c>
      <c r="V173" s="13">
        <f t="shared" si="27"/>
        <v>7.0645487517973188E-5</v>
      </c>
      <c r="W173" s="13">
        <f t="shared" si="32"/>
        <v>7.0645487517973188E-5</v>
      </c>
      <c r="X173" s="13">
        <v>0</v>
      </c>
      <c r="Y173" s="13">
        <v>0</v>
      </c>
      <c r="Z173" s="13">
        <v>0</v>
      </c>
      <c r="AA173" s="13">
        <f t="shared" si="33"/>
        <v>6.3202640552881342E-2</v>
      </c>
      <c r="AB173" s="13">
        <f t="shared" si="34"/>
        <v>652.986765579289</v>
      </c>
      <c r="AC173" s="13">
        <f t="shared" si="28"/>
        <v>653.05003886532938</v>
      </c>
      <c r="AD173" s="13">
        <f t="shared" si="29"/>
        <v>8.9298902939683233E-2</v>
      </c>
      <c r="AE173" s="13">
        <f t="shared" si="24"/>
        <v>4.9323141460386294E-6</v>
      </c>
      <c r="AF173" s="13">
        <f t="shared" si="30"/>
        <v>4.488722364689274E-6</v>
      </c>
      <c r="AG173" s="13">
        <f t="shared" si="31"/>
        <v>2.7501886049448361E-6</v>
      </c>
      <c r="AH173" s="10"/>
      <c r="AI173" s="13">
        <f t="shared" si="25"/>
        <v>2.4532426316353928E-7</v>
      </c>
      <c r="AJ173" s="10"/>
      <c r="AK173" s="10"/>
      <c r="AL173" s="10"/>
      <c r="AM173" s="10"/>
      <c r="AN173" s="10"/>
    </row>
    <row r="174" spans="19:40">
      <c r="S174" s="10"/>
      <c r="T174" s="12">
        <v>168</v>
      </c>
      <c r="U174" s="13">
        <f t="shared" si="26"/>
        <v>0.10694608934750252</v>
      </c>
      <c r="V174" s="13">
        <f t="shared" si="27"/>
        <v>6.3077840988678361E-5</v>
      </c>
      <c r="W174" s="13">
        <f t="shared" si="32"/>
        <v>6.3077840988678361E-5</v>
      </c>
      <c r="X174" s="13">
        <v>0</v>
      </c>
      <c r="Y174" s="13">
        <v>0</v>
      </c>
      <c r="Z174" s="13">
        <v>0</v>
      </c>
      <c r="AA174" s="13">
        <f t="shared" si="33"/>
        <v>5.9231094884316188E-2</v>
      </c>
      <c r="AB174" s="13">
        <f t="shared" si="34"/>
        <v>652.99074469260404</v>
      </c>
      <c r="AC174" s="13">
        <f t="shared" si="28"/>
        <v>653.05003886532938</v>
      </c>
      <c r="AD174" s="13">
        <f t="shared" si="29"/>
        <v>8.3425256754245072E-2</v>
      </c>
      <c r="AE174" s="13">
        <f t="shared" si="24"/>
        <v>4.6085113953522513E-6</v>
      </c>
      <c r="AF174" s="13">
        <f t="shared" si="30"/>
        <v>4.206327400684745E-6</v>
      </c>
      <c r="AG174" s="13">
        <f t="shared" si="31"/>
        <v>2.5695739374762423E-6</v>
      </c>
      <c r="AH174" s="10"/>
      <c r="AI174" s="13">
        <f t="shared" si="25"/>
        <v>2.2045413495241251E-7</v>
      </c>
      <c r="AJ174" s="10"/>
      <c r="AK174" s="10"/>
      <c r="AL174" s="10"/>
      <c r="AM174" s="10"/>
      <c r="AN174" s="10"/>
    </row>
    <row r="175" spans="19:40">
      <c r="S175" s="10"/>
      <c r="T175" s="12">
        <v>169</v>
      </c>
      <c r="U175" s="13">
        <f t="shared" si="26"/>
        <v>0.10705543826370502</v>
      </c>
      <c r="V175" s="13">
        <f t="shared" si="27"/>
        <v>5.6313954178410391E-5</v>
      </c>
      <c r="W175" s="13">
        <f t="shared" si="32"/>
        <v>5.6313954178410391E-5</v>
      </c>
      <c r="X175" s="13">
        <v>0</v>
      </c>
      <c r="Y175" s="13">
        <v>0</v>
      </c>
      <c r="Z175" s="13">
        <v>0</v>
      </c>
      <c r="AA175" s="13">
        <f t="shared" si="33"/>
        <v>5.5508786669254795E-2</v>
      </c>
      <c r="AB175" s="13">
        <f t="shared" si="34"/>
        <v>652.99447376470596</v>
      </c>
      <c r="AC175" s="13">
        <f t="shared" si="28"/>
        <v>653.05003886532938</v>
      </c>
      <c r="AD175" s="13">
        <f t="shared" si="29"/>
        <v>7.7938145446680498E-2</v>
      </c>
      <c r="AE175" s="13">
        <f t="shared" si="24"/>
        <v>4.3059508506315827E-6</v>
      </c>
      <c r="AF175" s="13">
        <f t="shared" si="30"/>
        <v>3.9416891826024147E-6</v>
      </c>
      <c r="AG175" s="13">
        <f t="shared" si="31"/>
        <v>2.4008152039230022E-6</v>
      </c>
      <c r="AH175" s="10"/>
      <c r="AI175" s="13">
        <f t="shared" si="25"/>
        <v>1.9808353980655659E-7</v>
      </c>
      <c r="AJ175" s="10"/>
      <c r="AK175" s="10"/>
      <c r="AL175" s="10"/>
      <c r="AM175" s="10"/>
      <c r="AN175" s="10"/>
    </row>
    <row r="176" spans="19:40">
      <c r="S176" s="10"/>
      <c r="T176" s="12">
        <v>170</v>
      </c>
      <c r="U176" s="13">
        <f t="shared" si="26"/>
        <v>0.10716425286781964</v>
      </c>
      <c r="V176" s="13">
        <f t="shared" si="27"/>
        <v>5.0269236523251318E-5</v>
      </c>
      <c r="W176" s="13">
        <f t="shared" si="32"/>
        <v>5.0269236523251318E-5</v>
      </c>
      <c r="X176" s="13">
        <v>0</v>
      </c>
      <c r="Y176" s="13">
        <v>0</v>
      </c>
      <c r="Z176" s="13">
        <v>0</v>
      </c>
      <c r="AA176" s="13">
        <f t="shared" si="33"/>
        <v>5.2020108908771401E-2</v>
      </c>
      <c r="AB176" s="13">
        <f t="shared" si="34"/>
        <v>652.99796848718415</v>
      </c>
      <c r="AC176" s="13">
        <f t="shared" si="28"/>
        <v>653.0500388653295</v>
      </c>
      <c r="AD176" s="13">
        <f t="shared" si="29"/>
        <v>7.2812112092207504E-2</v>
      </c>
      <c r="AE176" s="13">
        <f t="shared" si="24"/>
        <v>4.0232406111971866E-6</v>
      </c>
      <c r="AF176" s="13">
        <f t="shared" si="30"/>
        <v>3.6936921722709738E-6</v>
      </c>
      <c r="AG176" s="13">
        <f t="shared" si="31"/>
        <v>2.2431347734962575E-6</v>
      </c>
      <c r="AH176" s="10"/>
      <c r="AI176" s="13">
        <f t="shared" si="25"/>
        <v>1.779635884461128E-7</v>
      </c>
      <c r="AJ176" s="10"/>
      <c r="AK176" s="10"/>
      <c r="AL176" s="10"/>
      <c r="AM176" s="10"/>
      <c r="AN176" s="10"/>
    </row>
    <row r="177" spans="19:40">
      <c r="S177" s="10"/>
      <c r="T177" s="12">
        <v>171</v>
      </c>
      <c r="U177" s="13">
        <f t="shared" si="26"/>
        <v>0.10727253889075462</v>
      </c>
      <c r="V177" s="13">
        <f t="shared" si="27"/>
        <v>4.4867913024023711E-5</v>
      </c>
      <c r="W177" s="13">
        <f t="shared" si="32"/>
        <v>4.4867913024023711E-5</v>
      </c>
      <c r="X177" s="13">
        <v>0</v>
      </c>
      <c r="Y177" s="13">
        <v>0</v>
      </c>
      <c r="Z177" s="13">
        <v>0</v>
      </c>
      <c r="AA177" s="13">
        <f t="shared" si="33"/>
        <v>4.8750428385951346E-2</v>
      </c>
      <c r="AB177" s="13">
        <f t="shared" si="34"/>
        <v>653.00124356903041</v>
      </c>
      <c r="AC177" s="13">
        <f t="shared" si="28"/>
        <v>653.05003886532938</v>
      </c>
      <c r="AD177" s="13">
        <f t="shared" si="29"/>
        <v>6.8023378294688686E-2</v>
      </c>
      <c r="AE177" s="13">
        <f t="shared" si="24"/>
        <v>3.759079806324472E-6</v>
      </c>
      <c r="AF177" s="13">
        <f t="shared" si="30"/>
        <v>3.4612908090122365E-6</v>
      </c>
      <c r="AG177" s="13">
        <f t="shared" si="31"/>
        <v>2.095805953443923E-6</v>
      </c>
      <c r="AH177" s="10"/>
      <c r="AI177" s="13">
        <f t="shared" si="25"/>
        <v>1.598699273242716E-7</v>
      </c>
      <c r="AJ177" s="10"/>
      <c r="AK177" s="10"/>
      <c r="AL177" s="10"/>
      <c r="AM177" s="10"/>
      <c r="AN177" s="10"/>
    </row>
    <row r="178" spans="19:40">
      <c r="S178" s="10"/>
      <c r="T178" s="12">
        <v>172</v>
      </c>
      <c r="U178" s="13">
        <f t="shared" si="26"/>
        <v>0.10738030196887458</v>
      </c>
      <c r="V178" s="13">
        <f t="shared" si="27"/>
        <v>4.0042115244634908E-5</v>
      </c>
      <c r="W178" s="13">
        <f t="shared" si="32"/>
        <v>4.0042115244634908E-5</v>
      </c>
      <c r="X178" s="13">
        <v>0</v>
      </c>
      <c r="Y178" s="13">
        <v>0</v>
      </c>
      <c r="Z178" s="13">
        <v>0</v>
      </c>
      <c r="AA178" s="13">
        <f t="shared" si="33"/>
        <v>4.5686025266147248E-2</v>
      </c>
      <c r="AB178" s="13">
        <f t="shared" si="34"/>
        <v>653.00431279794793</v>
      </c>
      <c r="AC178" s="13">
        <f t="shared" si="28"/>
        <v>653.05003886532927</v>
      </c>
      <c r="AD178" s="13">
        <f t="shared" si="29"/>
        <v>6.3549733322023641E-2</v>
      </c>
      <c r="AE178" s="13">
        <f t="shared" si="24"/>
        <v>3.512252660374223E-6</v>
      </c>
      <c r="AF178" s="13">
        <f t="shared" si="30"/>
        <v>3.2435051308587717E-6</v>
      </c>
      <c r="AG178" s="13">
        <f t="shared" si="31"/>
        <v>1.9581496595476697E-6</v>
      </c>
      <c r="AH178" s="10"/>
      <c r="AI178" s="13">
        <f t="shared" si="25"/>
        <v>1.4360034607552154E-7</v>
      </c>
      <c r="AJ178" s="10"/>
      <c r="AK178" s="10"/>
      <c r="AL178" s="10"/>
      <c r="AM178" s="10"/>
      <c r="AN178" s="10"/>
    </row>
    <row r="179" spans="19:40">
      <c r="S179" s="10"/>
      <c r="T179" s="12">
        <v>173</v>
      </c>
      <c r="U179" s="13">
        <f t="shared" si="26"/>
        <v>0.10748754764609961</v>
      </c>
      <c r="V179" s="13">
        <f t="shared" si="27"/>
        <v>3.5731064963141936E-5</v>
      </c>
      <c r="W179" s="13">
        <f t="shared" si="32"/>
        <v>3.5731064963141936E-5</v>
      </c>
      <c r="X179" s="13">
        <v>0</v>
      </c>
      <c r="Y179" s="13">
        <v>0</v>
      </c>
      <c r="Z179" s="13">
        <v>0</v>
      </c>
      <c r="AA179" s="13">
        <f t="shared" si="33"/>
        <v>4.2814036407378471E-2</v>
      </c>
      <c r="AB179" s="13">
        <f t="shared" si="34"/>
        <v>653.00718909785701</v>
      </c>
      <c r="AC179" s="13">
        <f t="shared" si="28"/>
        <v>653.05003886532938</v>
      </c>
      <c r="AD179" s="13">
        <f t="shared" si="29"/>
        <v>5.937043058179664E-2</v>
      </c>
      <c r="AE179" s="13">
        <f t="shared" si="24"/>
        <v>3.2816229429241282E-6</v>
      </c>
      <c r="AF179" s="13">
        <f t="shared" si="30"/>
        <v>3.0394166686439945E-6</v>
      </c>
      <c r="AG179" s="13">
        <f t="shared" si="31"/>
        <v>1.8295313034903234E-6</v>
      </c>
      <c r="AH179" s="10"/>
      <c r="AI179" s="13">
        <f t="shared" si="25"/>
        <v>1.2897261550406582E-7</v>
      </c>
      <c r="AJ179" s="10"/>
      <c r="AK179" s="10"/>
      <c r="AL179" s="10"/>
      <c r="AM179" s="10"/>
      <c r="AN179" s="10"/>
    </row>
    <row r="180" spans="19:40">
      <c r="S180" s="10"/>
      <c r="T180" s="12">
        <v>174</v>
      </c>
      <c r="U180" s="13">
        <f t="shared" si="26"/>
        <v>0.1075942813759458</v>
      </c>
      <c r="V180" s="13">
        <f t="shared" si="27"/>
        <v>3.1880341150623694E-5</v>
      </c>
      <c r="W180" s="13">
        <f t="shared" si="32"/>
        <v>3.1880341150623694E-5</v>
      </c>
      <c r="X180" s="13">
        <v>0</v>
      </c>
      <c r="Y180" s="13">
        <v>0</v>
      </c>
      <c r="Z180" s="13">
        <v>0</v>
      </c>
      <c r="AA180" s="13">
        <f t="shared" si="33"/>
        <v>4.012240215660004E-2</v>
      </c>
      <c r="AB180" s="13">
        <f t="shared" si="34"/>
        <v>653.00988458283155</v>
      </c>
      <c r="AC180" s="13">
        <f t="shared" si="28"/>
        <v>653.05003886532927</v>
      </c>
      <c r="AD180" s="13">
        <f t="shared" si="29"/>
        <v>5.5466090949572187E-2</v>
      </c>
      <c r="AE180" s="13">
        <f t="shared" si="24"/>
        <v>3.0661287791266154E-6</v>
      </c>
      <c r="AF180" s="13">
        <f t="shared" si="30"/>
        <v>2.8481645960754647E-6</v>
      </c>
      <c r="AG180" s="13">
        <f t="shared" si="31"/>
        <v>1.7093578830473175E-6</v>
      </c>
      <c r="AH180" s="10"/>
      <c r="AI180" s="13">
        <f t="shared" si="25"/>
        <v>1.1582253418857274E-7</v>
      </c>
      <c r="AJ180" s="10"/>
      <c r="AK180" s="10"/>
      <c r="AL180" s="10"/>
      <c r="AM180" s="10"/>
      <c r="AN180" s="10"/>
    </row>
    <row r="181" spans="19:40">
      <c r="S181" s="10"/>
      <c r="T181" s="12">
        <v>175</v>
      </c>
      <c r="U181" s="13">
        <f t="shared" si="26"/>
        <v>0.10770050852350931</v>
      </c>
      <c r="V181" s="13">
        <f t="shared" si="27"/>
        <v>2.8441221878360571E-5</v>
      </c>
      <c r="W181" s="13">
        <f t="shared" si="32"/>
        <v>2.8441221878360571E-5</v>
      </c>
      <c r="X181" s="13">
        <v>0</v>
      </c>
      <c r="Y181" s="13">
        <v>0</v>
      </c>
      <c r="Z181" s="13">
        <v>0</v>
      </c>
      <c r="AA181" s="13">
        <f t="shared" si="33"/>
        <v>3.7599816420763058E-2</v>
      </c>
      <c r="AB181" s="13">
        <f t="shared" si="34"/>
        <v>653.01241060768666</v>
      </c>
      <c r="AC181" s="13">
        <f t="shared" si="28"/>
        <v>653.05003886532927</v>
      </c>
      <c r="AD181" s="13">
        <f t="shared" si="29"/>
        <v>5.1818612494763404E-2</v>
      </c>
      <c r="AE181" s="13">
        <f t="shared" si="24"/>
        <v>2.8647777970917941E-6</v>
      </c>
      <c r="AF181" s="13">
        <f t="shared" si="30"/>
        <v>2.668942119935744E-6</v>
      </c>
      <c r="AG181" s="13">
        <f t="shared" si="31"/>
        <v>1.5970752619573506E-6</v>
      </c>
      <c r="AH181" s="10"/>
      <c r="AI181" s="13">
        <f t="shared" si="25"/>
        <v>1.0400216383390313E-7</v>
      </c>
      <c r="AJ181" s="10"/>
      <c r="AK181" s="10"/>
      <c r="AL181" s="10"/>
      <c r="AM181" s="10"/>
      <c r="AN181" s="10"/>
    </row>
    <row r="182" spans="19:40">
      <c r="S182" s="10"/>
      <c r="T182" s="12">
        <v>176</v>
      </c>
      <c r="U182" s="13">
        <f t="shared" si="26"/>
        <v>0.10780623436739586</v>
      </c>
      <c r="V182" s="13">
        <f t="shared" si="27"/>
        <v>2.5370093588827497E-5</v>
      </c>
      <c r="W182" s="13">
        <f t="shared" si="32"/>
        <v>2.5370093588827497E-5</v>
      </c>
      <c r="X182" s="13">
        <v>0</v>
      </c>
      <c r="Y182" s="13">
        <v>0</v>
      </c>
      <c r="Z182" s="13">
        <v>0</v>
      </c>
      <c r="AA182" s="13">
        <f t="shared" si="33"/>
        <v>3.5235679814044303E-2</v>
      </c>
      <c r="AB182" s="13">
        <f t="shared" si="34"/>
        <v>653.01477781542167</v>
      </c>
      <c r="AC182" s="13">
        <f t="shared" si="28"/>
        <v>653.05003886532927</v>
      </c>
      <c r="AD182" s="13">
        <f t="shared" si="29"/>
        <v>4.8411086179346433E-2</v>
      </c>
      <c r="AE182" s="13">
        <f t="shared" si="24"/>
        <v>2.6766425905702243E-6</v>
      </c>
      <c r="AF182" s="13">
        <f t="shared" si="30"/>
        <v>2.5009930955268019E-6</v>
      </c>
      <c r="AG182" s="13">
        <f t="shared" si="31"/>
        <v>1.4921656271718382E-6</v>
      </c>
      <c r="AH182" s="10"/>
      <c r="AI182" s="13">
        <f t="shared" si="25"/>
        <v>9.3378235365725821E-8</v>
      </c>
      <c r="AJ182" s="10"/>
      <c r="AK182" s="10"/>
      <c r="AL182" s="10"/>
      <c r="AM182" s="10"/>
      <c r="AN182" s="10"/>
    </row>
    <row r="183" spans="19:40">
      <c r="S183" s="10"/>
      <c r="T183" s="12">
        <v>177</v>
      </c>
      <c r="U183" s="13">
        <f t="shared" si="26"/>
        <v>0.10791146410159763</v>
      </c>
      <c r="V183" s="13">
        <f t="shared" si="27"/>
        <v>2.2627920919281465E-5</v>
      </c>
      <c r="W183" s="13">
        <f t="shared" si="32"/>
        <v>2.2627920919281465E-5</v>
      </c>
      <c r="X183" s="13">
        <v>0</v>
      </c>
      <c r="Y183" s="13">
        <v>0</v>
      </c>
      <c r="Z183" s="13">
        <v>0</v>
      </c>
      <c r="AA183" s="13">
        <f t="shared" si="33"/>
        <v>3.3020055694375397E-2</v>
      </c>
      <c r="AB183" s="13">
        <f t="shared" si="34"/>
        <v>653.01699618171392</v>
      </c>
      <c r="AC183" s="13">
        <f t="shared" si="28"/>
        <v>653.05003886532927</v>
      </c>
      <c r="AD183" s="13">
        <f t="shared" si="29"/>
        <v>4.5227717133008771E-2</v>
      </c>
      <c r="AE183" s="13">
        <f t="shared" si="24"/>
        <v>2.5008564765938634E-6</v>
      </c>
      <c r="AF183" s="13">
        <f t="shared" si="30"/>
        <v>2.3436088533869718E-6</v>
      </c>
      <c r="AG183" s="13">
        <f t="shared" si="31"/>
        <v>1.3941451119736946E-6</v>
      </c>
      <c r="AH183" s="10"/>
      <c r="AI183" s="13">
        <f t="shared" si="25"/>
        <v>8.3830709456676577E-8</v>
      </c>
      <c r="AJ183" s="10"/>
      <c r="AK183" s="10"/>
      <c r="AL183" s="10"/>
      <c r="AM183" s="10"/>
      <c r="AN183" s="10"/>
    </row>
    <row r="184" spans="19:40">
      <c r="S184" s="10"/>
      <c r="T184" s="12">
        <v>178</v>
      </c>
      <c r="U184" s="13">
        <f t="shared" si="26"/>
        <v>0.10801620283731847</v>
      </c>
      <c r="V184" s="13">
        <f t="shared" si="27"/>
        <v>2.0179770946128603E-5</v>
      </c>
      <c r="W184" s="13">
        <f t="shared" si="32"/>
        <v>2.0179770946128603E-5</v>
      </c>
      <c r="X184" s="13">
        <v>0</v>
      </c>
      <c r="Y184" s="13">
        <v>0</v>
      </c>
      <c r="Z184" s="13">
        <v>0</v>
      </c>
      <c r="AA184" s="13">
        <f t="shared" si="33"/>
        <v>3.094362891348882E-2</v>
      </c>
      <c r="AB184" s="13">
        <f t="shared" si="34"/>
        <v>653.01907505664485</v>
      </c>
      <c r="AC184" s="13">
        <f t="shared" si="28"/>
        <v>653.05003886532927</v>
      </c>
      <c r="AD184" s="13">
        <f t="shared" si="29"/>
        <v>4.2253751134737089E-2</v>
      </c>
      <c r="AE184" s="13">
        <f t="shared" si="24"/>
        <v>2.3366095290310297E-6</v>
      </c>
      <c r="AF184" s="13">
        <f t="shared" si="30"/>
        <v>2.1961252241675682E-6</v>
      </c>
      <c r="AG184" s="13">
        <f t="shared" si="31"/>
        <v>1.3025615741968233E-6</v>
      </c>
      <c r="AH184" s="10"/>
      <c r="AI184" s="13">
        <f t="shared" si="25"/>
        <v>7.5251476709215932E-8</v>
      </c>
      <c r="AJ184" s="10"/>
      <c r="AK184" s="10"/>
      <c r="AL184" s="10"/>
      <c r="AM184" s="10"/>
      <c r="AN184" s="10"/>
    </row>
    <row r="185" spans="19:40">
      <c r="S185" s="10"/>
      <c r="T185" s="12">
        <v>179</v>
      </c>
      <c r="U185" s="13">
        <f t="shared" si="26"/>
        <v>0.1081204556047505</v>
      </c>
      <c r="V185" s="13">
        <f t="shared" si="27"/>
        <v>1.7994386330909094E-5</v>
      </c>
      <c r="W185" s="13">
        <f t="shared" si="32"/>
        <v>1.7994386330909094E-5</v>
      </c>
      <c r="X185" s="13">
        <v>0</v>
      </c>
      <c r="Y185" s="13">
        <v>0</v>
      </c>
      <c r="Z185" s="13">
        <v>0</v>
      </c>
      <c r="AA185" s="13">
        <f t="shared" si="33"/>
        <v>2.8997667115153176E-2</v>
      </c>
      <c r="AB185" s="13">
        <f t="shared" si="34"/>
        <v>653.02102320382778</v>
      </c>
      <c r="AC185" s="13">
        <f t="shared" si="28"/>
        <v>653.05003886532927</v>
      </c>
      <c r="AD185" s="13">
        <f t="shared" si="29"/>
        <v>3.9475405955498401E-2</v>
      </c>
      <c r="AE185" s="13">
        <f t="shared" si="24"/>
        <v>2.1831448702272825E-6</v>
      </c>
      <c r="AF185" s="13">
        <f t="shared" si="30"/>
        <v>2.0579197493624075E-6</v>
      </c>
      <c r="AG185" s="13">
        <f t="shared" si="31"/>
        <v>1.2169925194714177E-6</v>
      </c>
      <c r="AH185" s="10"/>
      <c r="AI185" s="13">
        <f t="shared" si="25"/>
        <v>6.754318411400549E-8</v>
      </c>
      <c r="AJ185" s="10"/>
      <c r="AK185" s="10"/>
      <c r="AL185" s="10"/>
      <c r="AM185" s="10"/>
      <c r="AN185" s="10"/>
    </row>
    <row r="186" spans="19:40">
      <c r="S186" s="10"/>
      <c r="T186" s="12">
        <v>180</v>
      </c>
      <c r="U186" s="13">
        <f t="shared" si="26"/>
        <v>0.10822422735480226</v>
      </c>
      <c r="V186" s="13">
        <f t="shared" si="27"/>
        <v>1.6043802401087613E-5</v>
      </c>
      <c r="W186" s="13">
        <f t="shared" si="32"/>
        <v>1.6043802401087613E-5</v>
      </c>
      <c r="X186" s="13">
        <v>0</v>
      </c>
      <c r="Y186" s="13">
        <v>0</v>
      </c>
      <c r="Z186" s="13">
        <v>0</v>
      </c>
      <c r="AA186" s="13">
        <f t="shared" si="33"/>
        <v>2.7173984426127524E-2</v>
      </c>
      <c r="AB186" s="13">
        <f t="shared" si="34"/>
        <v>653.0228488371007</v>
      </c>
      <c r="AC186" s="13">
        <f t="shared" si="28"/>
        <v>653.05003886532927</v>
      </c>
      <c r="AD186" s="13">
        <f t="shared" si="29"/>
        <v>3.6879807239665531E-2</v>
      </c>
      <c r="AE186" s="13">
        <f t="shared" si="24"/>
        <v>2.0397552040440314E-6</v>
      </c>
      <c r="AF186" s="13">
        <f t="shared" si="30"/>
        <v>1.9284090663409453E-6</v>
      </c>
      <c r="AG186" s="13">
        <f t="shared" si="31"/>
        <v>1.1370431600697883E-6</v>
      </c>
      <c r="AH186" s="10"/>
      <c r="AI186" s="13">
        <f t="shared" si="25"/>
        <v>6.0618175667234885E-8</v>
      </c>
      <c r="AJ186" s="10"/>
      <c r="AK186" s="10"/>
      <c r="AL186" s="10"/>
      <c r="AM186" s="10"/>
      <c r="AN186" s="10"/>
    </row>
    <row r="187" spans="19:40">
      <c r="S187" s="10"/>
      <c r="T187" s="12">
        <v>181</v>
      </c>
      <c r="U187" s="13">
        <f t="shared" si="26"/>
        <v>0.10832752296078105</v>
      </c>
      <c r="V187" s="13">
        <f t="shared" si="27"/>
        <v>1.4303003696718845E-5</v>
      </c>
      <c r="W187" s="13">
        <f t="shared" si="32"/>
        <v>1.4303003696718845E-5</v>
      </c>
      <c r="X187" s="13">
        <v>0</v>
      </c>
      <c r="Y187" s="13">
        <v>0</v>
      </c>
      <c r="Z187" s="13">
        <v>0</v>
      </c>
      <c r="AA187" s="13">
        <f t="shared" si="33"/>
        <v>2.546490739365562E-2</v>
      </c>
      <c r="AB187" s="13">
        <f t="shared" si="34"/>
        <v>653.02455965493186</v>
      </c>
      <c r="AC187" s="13">
        <f t="shared" si="28"/>
        <v>653.05003886532927</v>
      </c>
      <c r="AD187" s="13">
        <f t="shared" si="29"/>
        <v>3.4454928624297547E-2</v>
      </c>
      <c r="AE187" s="13">
        <f t="shared" si="24"/>
        <v>1.9057795746749189E-6</v>
      </c>
      <c r="AF187" s="13">
        <f t="shared" si="30"/>
        <v>1.8070464568471934E-6</v>
      </c>
      <c r="AG187" s="13">
        <f t="shared" si="31"/>
        <v>1.0623446005356647E-6</v>
      </c>
      <c r="AH187" s="10"/>
      <c r="AI187" s="13">
        <f t="shared" si="25"/>
        <v>5.4397536177012336E-8</v>
      </c>
      <c r="AJ187" s="10"/>
      <c r="AK187" s="10"/>
      <c r="AL187" s="10"/>
      <c r="AM187" s="10"/>
      <c r="AN187" s="10"/>
    </row>
    <row r="188" spans="19:40">
      <c r="S188" s="10"/>
      <c r="T188" s="12">
        <v>182</v>
      </c>
      <c r="U188" s="13">
        <f t="shared" si="26"/>
        <v>0.10843034722003021</v>
      </c>
      <c r="V188" s="13">
        <f t="shared" si="27"/>
        <v>1.2749615962754456E-5</v>
      </c>
      <c r="W188" s="13">
        <f t="shared" si="32"/>
        <v>1.2749615962754456E-5</v>
      </c>
      <c r="X188" s="13">
        <v>0</v>
      </c>
      <c r="Y188" s="13">
        <v>0</v>
      </c>
      <c r="Z188" s="13">
        <v>0</v>
      </c>
      <c r="AA188" s="13">
        <f t="shared" si="33"/>
        <v>2.3863243032076084E-2</v>
      </c>
      <c r="AB188" s="13">
        <f t="shared" si="34"/>
        <v>653.0261628726812</v>
      </c>
      <c r="AC188" s="13">
        <f t="shared" si="28"/>
        <v>653.05003886532927</v>
      </c>
      <c r="AD188" s="13">
        <f t="shared" si="29"/>
        <v>3.2189535815408205E-2</v>
      </c>
      <c r="AE188" s="13">
        <f t="shared" si="24"/>
        <v>1.7806003366209434E-6</v>
      </c>
      <c r="AF188" s="13">
        <f t="shared" si="30"/>
        <v>1.6933195487948859E-6</v>
      </c>
      <c r="AG188" s="13">
        <f t="shared" si="31"/>
        <v>9.9255214184934912E-7</v>
      </c>
      <c r="AH188" s="10"/>
      <c r="AI188" s="13">
        <f t="shared" si="25"/>
        <v>4.881022832893404E-8</v>
      </c>
      <c r="AJ188" s="10"/>
      <c r="AK188" s="10"/>
      <c r="AL188" s="10"/>
      <c r="AM188" s="10"/>
      <c r="AN188" s="10"/>
    </row>
    <row r="189" spans="19:40">
      <c r="S189" s="10"/>
      <c r="T189" s="12">
        <v>183</v>
      </c>
      <c r="U189" s="13">
        <f t="shared" si="26"/>
        <v>0.1085327048555233</v>
      </c>
      <c r="V189" s="13">
        <f t="shared" si="27"/>
        <v>1.1363629971049553E-5</v>
      </c>
      <c r="W189" s="13">
        <f t="shared" si="32"/>
        <v>1.1363629971049553E-5</v>
      </c>
      <c r="X189" s="13">
        <v>0</v>
      </c>
      <c r="Y189" s="13">
        <v>0</v>
      </c>
      <c r="Z189" s="13">
        <v>0</v>
      </c>
      <c r="AA189" s="13">
        <f t="shared" si="33"/>
        <v>2.2362248849372882E-2</v>
      </c>
      <c r="AB189" s="13">
        <f t="shared" si="34"/>
        <v>653.02766525284983</v>
      </c>
      <c r="AC189" s="13">
        <f t="shared" si="28"/>
        <v>653.05003886532916</v>
      </c>
      <c r="AD189" s="13">
        <f t="shared" si="29"/>
        <v>3.0073134359039924E-2</v>
      </c>
      <c r="AE189" s="13">
        <f t="shared" si="24"/>
        <v>1.6636403221431839E-6</v>
      </c>
      <c r="AF189" s="13">
        <f t="shared" si="30"/>
        <v>1.5867481618170191E-6</v>
      </c>
      <c r="AG189" s="13">
        <f t="shared" si="31"/>
        <v>9.2734369641413654E-7</v>
      </c>
      <c r="AH189" s="10"/>
      <c r="AI189" s="13">
        <f t="shared" si="25"/>
        <v>4.379231402368502E-8</v>
      </c>
      <c r="AJ189" s="10"/>
      <c r="AK189" s="10"/>
      <c r="AL189" s="10"/>
      <c r="AM189" s="10"/>
      <c r="AN189" s="10"/>
    </row>
    <row r="190" spans="19:40">
      <c r="S190" s="10"/>
      <c r="T190" s="12">
        <v>184</v>
      </c>
      <c r="U190" s="13">
        <f t="shared" si="26"/>
        <v>0.10863460051741607</v>
      </c>
      <c r="V190" s="13">
        <f t="shared" si="27"/>
        <v>1.0127153920336786E-5</v>
      </c>
      <c r="W190" s="13">
        <f t="shared" si="32"/>
        <v>1.0127153920336786E-5</v>
      </c>
      <c r="X190" s="13">
        <v>0</v>
      </c>
      <c r="Y190" s="13">
        <v>0</v>
      </c>
      <c r="Z190" s="13">
        <v>0</v>
      </c>
      <c r="AA190" s="13">
        <f t="shared" si="33"/>
        <v>2.095560473225952E-2</v>
      </c>
      <c r="AB190" s="13">
        <f t="shared" si="34"/>
        <v>653.02907313344303</v>
      </c>
      <c r="AC190" s="13">
        <f t="shared" si="28"/>
        <v>653.05003886532927</v>
      </c>
      <c r="AD190" s="13">
        <f t="shared" si="29"/>
        <v>2.8095920862396307E-2</v>
      </c>
      <c r="AE190" s="13">
        <f t="shared" si="24"/>
        <v>1.5543601933904718E-6</v>
      </c>
      <c r="AF190" s="13">
        <f t="shared" si="30"/>
        <v>1.4868822876172974E-6</v>
      </c>
      <c r="AG190" s="13">
        <f t="shared" si="31"/>
        <v>8.6641830664841706E-7</v>
      </c>
      <c r="AH190" s="10"/>
      <c r="AI190" s="13">
        <f t="shared" si="25"/>
        <v>3.9286251854254078E-8</v>
      </c>
      <c r="AJ190" s="10"/>
      <c r="AK190" s="10"/>
      <c r="AL190" s="10"/>
      <c r="AM190" s="10"/>
      <c r="AN190" s="10"/>
    </row>
    <row r="191" spans="19:40">
      <c r="S191" s="10"/>
      <c r="T191" s="12">
        <v>185</v>
      </c>
      <c r="U191" s="13">
        <f t="shared" si="26"/>
        <v>0.10873603878455797</v>
      </c>
      <c r="V191" s="13">
        <f t="shared" si="27"/>
        <v>9.0241914904757168E-6</v>
      </c>
      <c r="W191" s="13">
        <f t="shared" si="32"/>
        <v>9.0241914904757168E-6</v>
      </c>
      <c r="X191" s="13">
        <v>0</v>
      </c>
      <c r="Y191" s="13">
        <v>0</v>
      </c>
      <c r="Z191" s="13">
        <v>0</v>
      </c>
      <c r="AA191" s="13">
        <f t="shared" si="33"/>
        <v>1.9637386575706413E-2</v>
      </c>
      <c r="AB191" s="13">
        <f t="shared" si="34"/>
        <v>653.03039245456193</v>
      </c>
      <c r="AC191" s="13">
        <f t="shared" si="28"/>
        <v>653.05003886532916</v>
      </c>
      <c r="AD191" s="13">
        <f t="shared" si="29"/>
        <v>2.6248737436556292E-2</v>
      </c>
      <c r="AE191" s="13">
        <f t="shared" si="24"/>
        <v>1.4522559672223897E-6</v>
      </c>
      <c r="AF191" s="13">
        <f t="shared" si="30"/>
        <v>1.3933001967245062E-6</v>
      </c>
      <c r="AG191" s="13">
        <f t="shared" si="31"/>
        <v>8.094947604348595E-7</v>
      </c>
      <c r="AH191" s="10"/>
      <c r="AI191" s="13">
        <f t="shared" si="25"/>
        <v>3.5240263364806434E-8</v>
      </c>
      <c r="AJ191" s="10"/>
      <c r="AK191" s="10"/>
      <c r="AL191" s="10"/>
      <c r="AM191" s="10"/>
      <c r="AN191" s="10"/>
    </row>
    <row r="192" spans="19:40">
      <c r="S192" s="10"/>
      <c r="T192" s="12">
        <v>186</v>
      </c>
      <c r="U192" s="13">
        <f t="shared" si="26"/>
        <v>0.10883702416596441</v>
      </c>
      <c r="V192" s="13">
        <f t="shared" si="27"/>
        <v>8.0404429226895049E-6</v>
      </c>
      <c r="W192" s="13">
        <f t="shared" si="32"/>
        <v>8.0404429226895049E-6</v>
      </c>
      <c r="X192" s="13">
        <v>0</v>
      </c>
      <c r="Y192" s="13">
        <v>0</v>
      </c>
      <c r="Z192" s="13">
        <v>0</v>
      </c>
      <c r="AA192" s="13">
        <f t="shared" si="33"/>
        <v>1.8402041549708818E-2</v>
      </c>
      <c r="AB192" s="13">
        <f t="shared" si="34"/>
        <v>653.03162878333649</v>
      </c>
      <c r="AC192" s="13">
        <f t="shared" si="28"/>
        <v>653.05003886532916</v>
      </c>
      <c r="AD192" s="13">
        <f t="shared" si="29"/>
        <v>2.4523029147476803E-2</v>
      </c>
      <c r="AE192" s="13">
        <f t="shared" si="24"/>
        <v>1.3568567015186885E-6</v>
      </c>
      <c r="AF192" s="13">
        <f t="shared" si="30"/>
        <v>1.3056066637704662E-6</v>
      </c>
      <c r="AG192" s="13">
        <f t="shared" si="31"/>
        <v>7.5631029711518192E-7</v>
      </c>
      <c r="AH192" s="10"/>
      <c r="AI192" s="13">
        <f t="shared" si="25"/>
        <v>3.1607761435203074E-8</v>
      </c>
      <c r="AJ192" s="10"/>
      <c r="AK192" s="10"/>
      <c r="AL192" s="10"/>
      <c r="AM192" s="10"/>
      <c r="AN192" s="10"/>
    </row>
    <row r="193" spans="19:40">
      <c r="S193" s="10"/>
      <c r="T193" s="12">
        <v>187</v>
      </c>
      <c r="U193" s="13">
        <f t="shared" si="26"/>
        <v>0.10893756110225046</v>
      </c>
      <c r="V193" s="13">
        <f t="shared" si="27"/>
        <v>7.1631267634670039E-6</v>
      </c>
      <c r="W193" s="13">
        <f t="shared" si="32"/>
        <v>7.1631267634670039E-6</v>
      </c>
      <c r="X193" s="13">
        <v>0</v>
      </c>
      <c r="Y193" s="13">
        <v>0</v>
      </c>
      <c r="Z193" s="13">
        <v>0</v>
      </c>
      <c r="AA193" s="13">
        <f t="shared" si="33"/>
        <v>1.7244364902576553E-2</v>
      </c>
      <c r="AB193" s="13">
        <f t="shared" si="34"/>
        <v>653.03278733729985</v>
      </c>
      <c r="AC193" s="13">
        <f t="shared" si="28"/>
        <v>653.05003886532916</v>
      </c>
      <c r="AD193" s="13">
        <f t="shared" si="29"/>
        <v>2.291080427616083E-2</v>
      </c>
      <c r="AE193" s="13">
        <f t="shared" si="24"/>
        <v>1.2677223324881168E-6</v>
      </c>
      <c r="AF193" s="13">
        <f t="shared" si="30"/>
        <v>1.2234313039001512E-6</v>
      </c>
      <c r="AG193" s="13">
        <f t="shared" si="31"/>
        <v>7.0661939812804713E-7</v>
      </c>
      <c r="AH193" s="10"/>
      <c r="AI193" s="13">
        <f t="shared" si="25"/>
        <v>2.8346834770995331E-8</v>
      </c>
      <c r="AJ193" s="10"/>
      <c r="AK193" s="10"/>
      <c r="AL193" s="10"/>
      <c r="AM193" s="10"/>
      <c r="AN193" s="10"/>
    </row>
    <row r="194" spans="19:40">
      <c r="S194" s="10"/>
      <c r="T194" s="12">
        <v>188</v>
      </c>
      <c r="U194" s="13">
        <f t="shared" si="26"/>
        <v>0.10903765396702816</v>
      </c>
      <c r="V194" s="13">
        <f t="shared" si="27"/>
        <v>6.3808201492246832E-6</v>
      </c>
      <c r="W194" s="13">
        <f t="shared" si="32"/>
        <v>6.3808201492246832E-6</v>
      </c>
      <c r="X194" s="13">
        <v>0</v>
      </c>
      <c r="Y194" s="13">
        <v>0</v>
      </c>
      <c r="Z194" s="13">
        <v>0</v>
      </c>
      <c r="AA194" s="13">
        <f t="shared" si="33"/>
        <v>1.6159478206128695E-2</v>
      </c>
      <c r="AB194" s="13">
        <f t="shared" si="34"/>
        <v>653.033873006303</v>
      </c>
      <c r="AC194" s="13">
        <f t="shared" si="28"/>
        <v>653.05003886532927</v>
      </c>
      <c r="AD194" s="13">
        <f t="shared" si="29"/>
        <v>2.1404597202092035E-2</v>
      </c>
      <c r="AE194" s="13">
        <f t="shared" si="24"/>
        <v>1.1844416531655543E-6</v>
      </c>
      <c r="AF194" s="13">
        <f t="shared" si="30"/>
        <v>1.1464270133805166E-6</v>
      </c>
      <c r="AG194" s="13">
        <f t="shared" si="31"/>
        <v>6.6019265677037793E-7</v>
      </c>
      <c r="AH194" s="10"/>
      <c r="AI194" s="13">
        <f t="shared" si="25"/>
        <v>2.541978305469372E-8</v>
      </c>
      <c r="AJ194" s="10"/>
      <c r="AK194" s="10"/>
      <c r="AL194" s="10"/>
      <c r="AM194" s="10"/>
      <c r="AN194" s="10"/>
    </row>
    <row r="195" spans="19:40">
      <c r="S195" s="10"/>
      <c r="T195" s="12">
        <v>189</v>
      </c>
      <c r="U195" s="13">
        <f t="shared" si="26"/>
        <v>0.10913730706826769</v>
      </c>
      <c r="V195" s="13">
        <f t="shared" si="27"/>
        <v>5.6833157242997499E-6</v>
      </c>
      <c r="W195" s="13">
        <f t="shared" si="32"/>
        <v>5.6833157242997499E-6</v>
      </c>
      <c r="X195" s="13">
        <v>0</v>
      </c>
      <c r="Y195" s="13">
        <v>0</v>
      </c>
      <c r="Z195" s="13">
        <v>0</v>
      </c>
      <c r="AA195" s="13">
        <f t="shared" si="33"/>
        <v>1.5142808953918212E-2</v>
      </c>
      <c r="AB195" s="13">
        <f t="shared" si="34"/>
        <v>653.03489037305962</v>
      </c>
      <c r="AC195" s="13">
        <f t="shared" si="28"/>
        <v>653.05003886532927</v>
      </c>
      <c r="AD195" s="13">
        <f t="shared" si="29"/>
        <v>1.99974337363794E-2</v>
      </c>
      <c r="AE195" s="13">
        <f t="shared" si="24"/>
        <v>1.1066304239192824E-6</v>
      </c>
      <c r="AF195" s="13">
        <f t="shared" si="30"/>
        <v>1.0742685079045474E-6</v>
      </c>
      <c r="AG195" s="13">
        <f t="shared" si="31"/>
        <v>6.168157219205458E-7</v>
      </c>
      <c r="AH195" s="10"/>
      <c r="AI195" s="13">
        <f t="shared" si="25"/>
        <v>2.2792697835823886E-8</v>
      </c>
      <c r="AJ195" s="10"/>
      <c r="AK195" s="10"/>
      <c r="AL195" s="10"/>
      <c r="AM195" s="10"/>
      <c r="AN195" s="10"/>
    </row>
    <row r="196" spans="19:40">
      <c r="S196" s="10"/>
      <c r="T196" s="12">
        <v>190</v>
      </c>
      <c r="U196" s="13">
        <f t="shared" si="26"/>
        <v>0.10923652464962379</v>
      </c>
      <c r="V196" s="13">
        <f t="shared" si="27"/>
        <v>5.0614934787413741E-6</v>
      </c>
      <c r="W196" s="13">
        <f t="shared" si="32"/>
        <v>5.0614934787413741E-6</v>
      </c>
      <c r="X196" s="13">
        <v>0</v>
      </c>
      <c r="Y196" s="13">
        <v>0</v>
      </c>
      <c r="Z196" s="13">
        <v>0</v>
      </c>
      <c r="AA196" s="13">
        <f t="shared" si="33"/>
        <v>1.4190071429013358E-2</v>
      </c>
      <c r="AB196" s="13">
        <f t="shared" si="34"/>
        <v>653.03584373240676</v>
      </c>
      <c r="AC196" s="13">
        <f t="shared" si="28"/>
        <v>653.05003886532927</v>
      </c>
      <c r="AD196" s="13">
        <f t="shared" si="29"/>
        <v>1.868279874257436E-2</v>
      </c>
      <c r="AE196" s="13">
        <f t="shared" si="24"/>
        <v>1.0339296063827418E-6</v>
      </c>
      <c r="AF196" s="13">
        <f t="shared" si="30"/>
        <v>1.0066509524905538E-6</v>
      </c>
      <c r="AG196" s="13">
        <f t="shared" si="31"/>
        <v>5.762883108969875E-7</v>
      </c>
      <c r="AH196" s="10"/>
      <c r="AI196" s="13">
        <f t="shared" si="25"/>
        <v>2.0435084709604645E-8</v>
      </c>
      <c r="AJ196" s="10"/>
      <c r="AK196" s="10"/>
      <c r="AL196" s="10"/>
      <c r="AM196" s="10"/>
      <c r="AN196" s="10"/>
    </row>
    <row r="197" spans="19:40">
      <c r="S197" s="10"/>
      <c r="T197" s="12">
        <v>191</v>
      </c>
      <c r="U197" s="13">
        <f t="shared" si="26"/>
        <v>0.1093353108917289</v>
      </c>
      <c r="V197" s="13">
        <f t="shared" si="27"/>
        <v>4.5072059668107008E-6</v>
      </c>
      <c r="W197" s="13">
        <f t="shared" si="32"/>
        <v>4.5072059668107008E-6</v>
      </c>
      <c r="X197" s="13">
        <v>0</v>
      </c>
      <c r="Y197" s="13">
        <v>0</v>
      </c>
      <c r="Z197" s="13">
        <v>0</v>
      </c>
      <c r="AA197" s="13">
        <f t="shared" si="33"/>
        <v>1.3297248762943732E-2</v>
      </c>
      <c r="AB197" s="13">
        <f t="shared" si="34"/>
        <v>653.03673710936039</v>
      </c>
      <c r="AC197" s="13">
        <f t="shared" si="28"/>
        <v>653.05003886532927</v>
      </c>
      <c r="AD197" s="13">
        <f t="shared" si="29"/>
        <v>1.7454605893874372E-2</v>
      </c>
      <c r="AE197" s="13">
        <f t="shared" si="24"/>
        <v>9.6600371277987579E-7</v>
      </c>
      <c r="AF197" s="13">
        <f t="shared" si="30"/>
        <v>9.4328867725549451E-7</v>
      </c>
      <c r="AG197" s="13">
        <f t="shared" si="31"/>
        <v>5.3842328693931018E-7</v>
      </c>
      <c r="AH197" s="10"/>
      <c r="AI197" s="13">
        <f t="shared" si="25"/>
        <v>1.8319522761754813E-8</v>
      </c>
      <c r="AJ197" s="10"/>
      <c r="AK197" s="10"/>
      <c r="AL197" s="10"/>
      <c r="AM197" s="10"/>
      <c r="AN197" s="10"/>
    </row>
    <row r="198" spans="19:40">
      <c r="S198" s="10"/>
      <c r="T198" s="12">
        <v>192</v>
      </c>
      <c r="U198" s="13">
        <f t="shared" si="26"/>
        <v>0.10943366991345327</v>
      </c>
      <c r="V198" s="13">
        <f t="shared" si="27"/>
        <v>4.0131755240153632E-6</v>
      </c>
      <c r="W198" s="13">
        <f t="shared" si="32"/>
        <v>4.0131755240153632E-6</v>
      </c>
      <c r="X198" s="13">
        <v>0</v>
      </c>
      <c r="Y198" s="13">
        <v>0</v>
      </c>
      <c r="Z198" s="13">
        <v>0</v>
      </c>
      <c r="AA198" s="13">
        <f t="shared" si="33"/>
        <v>1.2460576112197705E-2</v>
      </c>
      <c r="AB198" s="13">
        <f t="shared" si="34"/>
        <v>653.0375742760416</v>
      </c>
      <c r="AC198" s="13">
        <f t="shared" si="28"/>
        <v>653.05003886532927</v>
      </c>
      <c r="AD198" s="13">
        <f t="shared" si="29"/>
        <v>1.6307169425461902E-2</v>
      </c>
      <c r="AE198" s="13">
        <f t="shared" ref="AE198:AE261" si="35">(V198+AA198)/AC198/12/(1+rdis_Month)^T198</f>
        <v>9.0253926313238972E-7</v>
      </c>
      <c r="AF198" s="13">
        <f t="shared" si="30"/>
        <v>8.8391397369655372E-7</v>
      </c>
      <c r="AG198" s="13">
        <f t="shared" si="31"/>
        <v>5.0304579709226147E-7</v>
      </c>
      <c r="AH198" s="10"/>
      <c r="AI198" s="13">
        <f t="shared" ref="AI198:AI261" si="36">EXP(-lambda_capi*(T198^gamma_capi))</f>
        <v>1.6421357644081289E-8</v>
      </c>
      <c r="AJ198" s="10"/>
      <c r="AK198" s="10"/>
      <c r="AL198" s="10"/>
      <c r="AM198" s="10"/>
      <c r="AN198" s="10"/>
    </row>
    <row r="199" spans="19:40">
      <c r="S199" s="10"/>
      <c r="T199" s="12">
        <v>193</v>
      </c>
      <c r="U199" s="13">
        <f t="shared" ref="U199:U262" si="37">gamma_capi*lambda_capi*T199^(gamma_capi-1)</f>
        <v>0.10953160577313381</v>
      </c>
      <c r="V199" s="13">
        <f t="shared" ref="V199:V262" si="38">SUM(W199:Z199)</f>
        <v>3.5729022416264432E-6</v>
      </c>
      <c r="W199" s="13">
        <f t="shared" si="32"/>
        <v>3.5729022416264432E-6</v>
      </c>
      <c r="X199" s="13">
        <v>0</v>
      </c>
      <c r="Y199" s="13">
        <v>0</v>
      </c>
      <c r="Z199" s="13">
        <v>0</v>
      </c>
      <c r="AA199" s="13">
        <f t="shared" si="33"/>
        <v>1.1676524883151566E-2</v>
      </c>
      <c r="AB199" s="13">
        <f t="shared" si="34"/>
        <v>653.03835876754397</v>
      </c>
      <c r="AC199" s="13">
        <f t="shared" ref="AC199:AC262" si="39">V199+AA199+AB199</f>
        <v>653.05003886532938</v>
      </c>
      <c r="AD199" s="13">
        <f t="shared" ref="AD199:AD262" si="40">(V199*cPFS_CAPI_after+AA199*cP)/AC199/(1+rdis_Month)^T198</f>
        <v>1.523517775009417E-2</v>
      </c>
      <c r="AE199" s="13">
        <f t="shared" si="35"/>
        <v>8.4324334332330954E-7</v>
      </c>
      <c r="AF199" s="13">
        <f t="shared" ref="AF199:AF262" si="41">(SUM(W199:Z199)*uS+AA199*uP)/AC199/12</f>
        <v>8.2827596644875438E-7</v>
      </c>
      <c r="AG199" s="13">
        <f t="shared" ref="AG199:AG262" si="42">(W199*uS/12+X199*(uS+duAE1_CAPI)/12+Y199*(uS+duAE2_CAPI)/12+Z199*(uS+duAE3_CAPI)/12+AA199*uP/12)/AC199/(1+rdis_Month)^T198</f>
        <v>4.6999246654730016E-7</v>
      </c>
      <c r="AH199" s="10"/>
      <c r="AI199" s="13">
        <f t="shared" si="36"/>
        <v>1.4718424995835582E-8</v>
      </c>
      <c r="AJ199" s="10"/>
      <c r="AK199" s="10"/>
      <c r="AL199" s="10"/>
      <c r="AM199" s="10"/>
      <c r="AN199" s="10"/>
    </row>
    <row r="200" spans="19:40">
      <c r="S200" s="10"/>
      <c r="T200" s="12">
        <v>194</v>
      </c>
      <c r="U200" s="13">
        <f t="shared" si="37"/>
        <v>0.10962912246977195</v>
      </c>
      <c r="V200" s="13">
        <f t="shared" si="38"/>
        <v>3.1805815845221846E-6</v>
      </c>
      <c r="W200" s="13">
        <f t="shared" ref="W200:W263" si="43">(1-($Q$13+U200))*V199</f>
        <v>3.1805815845221846E-6</v>
      </c>
      <c r="X200" s="13">
        <v>0</v>
      </c>
      <c r="Y200" s="13">
        <v>0</v>
      </c>
      <c r="Z200" s="13">
        <v>0</v>
      </c>
      <c r="AA200" s="13">
        <f t="shared" si="33"/>
        <v>1.0941787940535661E-2</v>
      </c>
      <c r="AB200" s="13">
        <f t="shared" si="34"/>
        <v>653.03909389680723</v>
      </c>
      <c r="AC200" s="13">
        <f t="shared" si="39"/>
        <v>653.05003886532938</v>
      </c>
      <c r="AD200" s="13">
        <f t="shared" si="40"/>
        <v>1.4233668813802405E-2</v>
      </c>
      <c r="AE200" s="13">
        <f t="shared" si="35"/>
        <v>7.8784225744609612E-7</v>
      </c>
      <c r="AF200" s="13">
        <f t="shared" si="41"/>
        <v>7.761395557993886E-7</v>
      </c>
      <c r="AG200" s="13">
        <f t="shared" si="42"/>
        <v>4.3911064575317294E-7</v>
      </c>
      <c r="AH200" s="10"/>
      <c r="AI200" s="13">
        <f t="shared" si="36"/>
        <v>1.3190801242901532E-8</v>
      </c>
      <c r="AJ200" s="10"/>
      <c r="AK200" s="10"/>
      <c r="AL200" s="10"/>
      <c r="AM200" s="10"/>
      <c r="AN200" s="10"/>
    </row>
    <row r="201" spans="19:40">
      <c r="S201" s="10"/>
      <c r="T201" s="12">
        <v>195</v>
      </c>
      <c r="U201" s="13">
        <f t="shared" si="37"/>
        <v>0.10972622394420203</v>
      </c>
      <c r="V201" s="13">
        <f t="shared" si="38"/>
        <v>2.8310306522870505E-6</v>
      </c>
      <c r="W201" s="13">
        <f t="shared" si="43"/>
        <v>2.8310306522870505E-6</v>
      </c>
      <c r="X201" s="13">
        <v>0</v>
      </c>
      <c r="Y201" s="13">
        <v>0</v>
      </c>
      <c r="Z201" s="13">
        <v>0</v>
      </c>
      <c r="AA201" s="13">
        <f t="shared" si="33"/>
        <v>1.0253265738514549E-2</v>
      </c>
      <c r="AB201" s="13">
        <f t="shared" si="34"/>
        <v>653.03978276856026</v>
      </c>
      <c r="AC201" s="13">
        <f t="shared" si="39"/>
        <v>653.05003886532938</v>
      </c>
      <c r="AD201" s="13">
        <f t="shared" si="40"/>
        <v>1.3298007076720049E-2</v>
      </c>
      <c r="AE201" s="13">
        <f t="shared" si="35"/>
        <v>7.3608026829428183E-7</v>
      </c>
      <c r="AF201" s="13">
        <f t="shared" si="41"/>
        <v>7.2728442653374241E-7</v>
      </c>
      <c r="AG201" s="13">
        <f t="shared" si="42"/>
        <v>4.10257706846958E-7</v>
      </c>
      <c r="AH201" s="10"/>
      <c r="AI201" s="13">
        <f t="shared" si="36"/>
        <v>1.1820579093713399E-8</v>
      </c>
      <c r="AJ201" s="10"/>
      <c r="AK201" s="10"/>
      <c r="AL201" s="10"/>
      <c r="AM201" s="10"/>
      <c r="AN201" s="10"/>
    </row>
    <row r="202" spans="19:40">
      <c r="S202" s="10"/>
      <c r="T202" s="12">
        <v>196</v>
      </c>
      <c r="U202" s="13">
        <f t="shared" si="37"/>
        <v>0.10982291408023068</v>
      </c>
      <c r="V202" s="13">
        <f t="shared" si="38"/>
        <v>2.519622186042564E-6</v>
      </c>
      <c r="W202" s="13">
        <f t="shared" si="43"/>
        <v>2.519622186042564E-6</v>
      </c>
      <c r="X202" s="13">
        <v>0</v>
      </c>
      <c r="Y202" s="13">
        <v>0</v>
      </c>
      <c r="Z202" s="13">
        <v>0</v>
      </c>
      <c r="AA202" s="13">
        <f t="shared" si="33"/>
        <v>9.6080533171914242E-3</v>
      </c>
      <c r="AB202" s="13">
        <f t="shared" si="34"/>
        <v>653.04042829239006</v>
      </c>
      <c r="AC202" s="13">
        <f t="shared" si="39"/>
        <v>653.05003886532938</v>
      </c>
      <c r="AD202" s="13">
        <f t="shared" si="40"/>
        <v>1.2423862011677746E-2</v>
      </c>
      <c r="AE202" s="13">
        <f t="shared" si="35"/>
        <v>6.8771842024499084E-7</v>
      </c>
      <c r="AF202" s="13">
        <f t="shared" si="41"/>
        <v>6.8150411896214395E-7</v>
      </c>
      <c r="AG202" s="13">
        <f t="shared" si="42"/>
        <v>3.8330038618158848E-7</v>
      </c>
      <c r="AH202" s="10"/>
      <c r="AI202" s="13">
        <f t="shared" si="36"/>
        <v>1.0591665310301235E-8</v>
      </c>
      <c r="AJ202" s="10"/>
      <c r="AK202" s="10"/>
      <c r="AL202" s="10"/>
      <c r="AM202" s="10"/>
      <c r="AN202" s="10"/>
    </row>
    <row r="203" spans="19:40">
      <c r="S203" s="10"/>
      <c r="T203" s="12">
        <v>197</v>
      </c>
      <c r="U203" s="13">
        <f t="shared" si="37"/>
        <v>0.10991919670574812</v>
      </c>
      <c r="V203" s="13">
        <f t="shared" si="38"/>
        <v>2.2422255156483074E-6</v>
      </c>
      <c r="W203" s="13">
        <f t="shared" si="43"/>
        <v>2.2422255156483074E-6</v>
      </c>
      <c r="X203" s="13">
        <v>0</v>
      </c>
      <c r="Y203" s="13">
        <v>0</v>
      </c>
      <c r="Z203" s="13">
        <v>0</v>
      </c>
      <c r="AA203" s="13">
        <f t="shared" si="33"/>
        <v>9.0034281108555669E-3</v>
      </c>
      <c r="AB203" s="13">
        <f t="shared" si="34"/>
        <v>653.04103319499302</v>
      </c>
      <c r="AC203" s="13">
        <f t="shared" si="39"/>
        <v>653.05003886532938</v>
      </c>
      <c r="AD203" s="13">
        <f t="shared" si="40"/>
        <v>1.1607188020314413E-2</v>
      </c>
      <c r="AE203" s="13">
        <f t="shared" si="35"/>
        <v>6.4253343916245113E-7</v>
      </c>
      <c r="AF203" s="13">
        <f t="shared" si="41"/>
        <v>6.3860515823688725E-7</v>
      </c>
      <c r="AG203" s="13">
        <f t="shared" si="42"/>
        <v>3.5811416993586945E-7</v>
      </c>
      <c r="AH203" s="10"/>
      <c r="AI203" s="13">
        <f t="shared" si="36"/>
        <v>9.4895985675566351E-9</v>
      </c>
      <c r="AJ203" s="10"/>
      <c r="AK203" s="10"/>
      <c r="AL203" s="10"/>
      <c r="AM203" s="10"/>
      <c r="AN203" s="10"/>
    </row>
    <row r="204" spans="19:40">
      <c r="S204" s="10"/>
      <c r="T204" s="12">
        <v>198</v>
      </c>
      <c r="U204" s="13">
        <f t="shared" si="37"/>
        <v>0.1100150755938125</v>
      </c>
      <c r="V204" s="13">
        <f t="shared" si="38"/>
        <v>1.995153724725049E-6</v>
      </c>
      <c r="W204" s="13">
        <f t="shared" si="43"/>
        <v>1.995153724725049E-6</v>
      </c>
      <c r="X204" s="13">
        <v>0</v>
      </c>
      <c r="Y204" s="13">
        <v>0</v>
      </c>
      <c r="Z204" s="13">
        <v>0</v>
      </c>
      <c r="AA204" s="13">
        <f t="shared" si="33"/>
        <v>8.4368385175885852E-3</v>
      </c>
      <c r="AB204" s="13">
        <f t="shared" si="34"/>
        <v>653.04160003165805</v>
      </c>
      <c r="AC204" s="13">
        <f t="shared" si="39"/>
        <v>653.05003886532938</v>
      </c>
      <c r="AD204" s="13">
        <f t="shared" si="40"/>
        <v>1.0844205673092326E-2</v>
      </c>
      <c r="AE204" s="13">
        <f t="shared" si="35"/>
        <v>6.0031670429642058E-7</v>
      </c>
      <c r="AF204" s="13">
        <f t="shared" si="41"/>
        <v>5.9840623831013024E-7</v>
      </c>
      <c r="AG204" s="13">
        <f t="shared" si="42"/>
        <v>3.3458271998941277E-7</v>
      </c>
      <c r="AH204" s="10"/>
      <c r="AI204" s="13">
        <f t="shared" si="36"/>
        <v>8.5013854260512956E-9</v>
      </c>
      <c r="AJ204" s="10"/>
      <c r="AK204" s="10"/>
      <c r="AL204" s="10"/>
      <c r="AM204" s="10"/>
      <c r="AN204" s="10"/>
    </row>
    <row r="205" spans="19:40">
      <c r="S205" s="10"/>
      <c r="T205" s="12">
        <v>199</v>
      </c>
      <c r="U205" s="13">
        <f t="shared" si="37"/>
        <v>0.11011055446370768</v>
      </c>
      <c r="V205" s="13">
        <f t="shared" si="38"/>
        <v>1.775116385352727E-6</v>
      </c>
      <c r="W205" s="13">
        <f t="shared" si="43"/>
        <v>1.775116385352727E-6</v>
      </c>
      <c r="X205" s="13">
        <v>0</v>
      </c>
      <c r="Y205" s="13">
        <v>0</v>
      </c>
      <c r="Z205" s="13">
        <v>0</v>
      </c>
      <c r="AA205" s="13">
        <f t="shared" ref="AA205:AA268" si="44">(1-$Q$17)*AA204+(U205*W204)</f>
        <v>7.9058931829429843E-3</v>
      </c>
      <c r="AB205" s="13">
        <f t="shared" ref="AB205:AB268" si="45">(AB204*1)+(AA204*$Q$17)+(W204*$Q$13)</f>
        <v>653.04213119703002</v>
      </c>
      <c r="AC205" s="13">
        <f t="shared" si="39"/>
        <v>653.05003886532938</v>
      </c>
      <c r="AD205" s="13">
        <f t="shared" si="40"/>
        <v>1.0131384185801662E-2</v>
      </c>
      <c r="AE205" s="13">
        <f t="shared" si="35"/>
        <v>5.6087328747676751E-7</v>
      </c>
      <c r="AF205" s="13">
        <f t="shared" si="41"/>
        <v>5.6073745711137236E-7</v>
      </c>
      <c r="AG205" s="13">
        <f t="shared" si="42"/>
        <v>3.1259733742858947E-7</v>
      </c>
      <c r="AH205" s="10"/>
      <c r="AI205" s="13">
        <f t="shared" si="36"/>
        <v>7.6153526356469355E-9</v>
      </c>
      <c r="AJ205" s="10"/>
      <c r="AK205" s="10"/>
      <c r="AL205" s="10"/>
      <c r="AM205" s="10"/>
      <c r="AN205" s="10"/>
    </row>
    <row r="206" spans="19:40">
      <c r="S206" s="10"/>
      <c r="T206" s="12">
        <v>200</v>
      </c>
      <c r="U206" s="13">
        <f t="shared" si="37"/>
        <v>0.11020563698197544</v>
      </c>
      <c r="V206" s="13">
        <f t="shared" si="38"/>
        <v>1.5791772811271891E-6</v>
      </c>
      <c r="W206" s="13">
        <f t="shared" si="43"/>
        <v>1.5791772811271891E-6</v>
      </c>
      <c r="X206" s="13">
        <v>0</v>
      </c>
      <c r="Y206" s="13">
        <v>0</v>
      </c>
      <c r="Z206" s="13">
        <v>0</v>
      </c>
      <c r="AA206" s="13">
        <f t="shared" si="44"/>
        <v>7.408350953317001E-3</v>
      </c>
      <c r="AB206" s="13">
        <f t="shared" si="45"/>
        <v>653.04262893519876</v>
      </c>
      <c r="AC206" s="13">
        <f t="shared" si="39"/>
        <v>653.05003886532938</v>
      </c>
      <c r="AD206" s="13">
        <f t="shared" si="40"/>
        <v>9.4654250509258724E-3</v>
      </c>
      <c r="AE206" s="13">
        <f t="shared" si="35"/>
        <v>5.2402105521074595E-7</v>
      </c>
      <c r="AF206" s="13">
        <f t="shared" si="41"/>
        <v>5.2543959973656508E-7</v>
      </c>
      <c r="AG206" s="13">
        <f t="shared" si="42"/>
        <v>2.9205646122136985E-7</v>
      </c>
      <c r="AH206" s="10"/>
      <c r="AI206" s="13">
        <f t="shared" si="36"/>
        <v>6.8210141606249611E-9</v>
      </c>
      <c r="AJ206" s="10"/>
      <c r="AK206" s="10"/>
      <c r="AL206" s="10"/>
      <c r="AM206" s="10"/>
      <c r="AN206" s="10"/>
    </row>
    <row r="207" spans="19:40">
      <c r="S207" s="10"/>
      <c r="T207" s="12">
        <v>201</v>
      </c>
      <c r="U207" s="13">
        <f t="shared" si="37"/>
        <v>0.11030032676342288</v>
      </c>
      <c r="V207" s="13">
        <f t="shared" si="38"/>
        <v>1.404716597281215E-6</v>
      </c>
      <c r="W207" s="13">
        <f t="shared" si="43"/>
        <v>1.404716597281215E-6</v>
      </c>
      <c r="X207" s="13">
        <v>0</v>
      </c>
      <c r="Y207" s="13">
        <v>0</v>
      </c>
      <c r="Z207" s="13">
        <v>0</v>
      </c>
      <c r="AA207" s="13">
        <f t="shared" si="44"/>
        <v>6.9421114573834618E-3</v>
      </c>
      <c r="AB207" s="13">
        <f t="shared" si="45"/>
        <v>653.04309534915546</v>
      </c>
      <c r="AC207" s="13">
        <f t="shared" si="39"/>
        <v>653.0500388653295</v>
      </c>
      <c r="AD207" s="13">
        <f t="shared" si="40"/>
        <v>8.8432467476404052E-3</v>
      </c>
      <c r="AE207" s="13">
        <f t="shared" si="35"/>
        <v>4.8958982957511864E-7</v>
      </c>
      <c r="AF207" s="13">
        <f t="shared" si="41"/>
        <v>4.9236346664109041E-7</v>
      </c>
      <c r="AG207" s="13">
        <f t="shared" si="42"/>
        <v>2.7286519975953755E-7</v>
      </c>
      <c r="AH207" s="10"/>
      <c r="AI207" s="13">
        <f t="shared" si="36"/>
        <v>6.1089514738696603E-9</v>
      </c>
      <c r="AJ207" s="10"/>
      <c r="AK207" s="10"/>
      <c r="AL207" s="10"/>
      <c r="AM207" s="10"/>
      <c r="AN207" s="10"/>
    </row>
    <row r="208" spans="19:40">
      <c r="S208" s="10"/>
      <c r="T208" s="12">
        <v>202</v>
      </c>
      <c r="U208" s="13">
        <f t="shared" si="37"/>
        <v>0.11039462737210556</v>
      </c>
      <c r="V208" s="13">
        <f t="shared" si="38"/>
        <v>1.2493971104721977E-6</v>
      </c>
      <c r="W208" s="13">
        <f t="shared" si="43"/>
        <v>1.2493971104721977E-6</v>
      </c>
      <c r="X208" s="13">
        <v>0</v>
      </c>
      <c r="Y208" s="13">
        <v>0</v>
      </c>
      <c r="Z208" s="13">
        <v>0</v>
      </c>
      <c r="AA208" s="13">
        <f t="shared" si="44"/>
        <v>6.5052062764983905E-3</v>
      </c>
      <c r="AB208" s="13">
        <f t="shared" si="45"/>
        <v>653.04353240965588</v>
      </c>
      <c r="AC208" s="13">
        <f t="shared" si="39"/>
        <v>653.0500388653295</v>
      </c>
      <c r="AD208" s="13">
        <f t="shared" si="40"/>
        <v>8.2619704592606317E-3</v>
      </c>
      <c r="AE208" s="13">
        <f t="shared" si="35"/>
        <v>4.5742060406244025E-7</v>
      </c>
      <c r="AF208" s="13">
        <f t="shared" si="41"/>
        <v>4.613692440166332E-7</v>
      </c>
      <c r="AG208" s="13">
        <f t="shared" si="42"/>
        <v>2.5493489311696189E-7</v>
      </c>
      <c r="AH208" s="10"/>
      <c r="AI208" s="13">
        <f t="shared" si="36"/>
        <v>5.4707058093666238E-9</v>
      </c>
      <c r="AJ208" s="10"/>
      <c r="AK208" s="10"/>
      <c r="AL208" s="10"/>
      <c r="AM208" s="10"/>
      <c r="AN208" s="10"/>
    </row>
    <row r="209" spans="19:40">
      <c r="S209" s="10"/>
      <c r="T209" s="12">
        <v>203</v>
      </c>
      <c r="U209" s="13">
        <f t="shared" si="37"/>
        <v>0.11048854232228734</v>
      </c>
      <c r="V209" s="13">
        <f t="shared" si="38"/>
        <v>1.1111339592279157E-6</v>
      </c>
      <c r="W209" s="13">
        <f t="shared" si="43"/>
        <v>1.1111339592279157E-6</v>
      </c>
      <c r="X209" s="13">
        <v>0</v>
      </c>
      <c r="Y209" s="13">
        <v>0</v>
      </c>
      <c r="Z209" s="13">
        <v>0</v>
      </c>
      <c r="AA209" s="13">
        <f t="shared" si="44"/>
        <v>6.0957906674267695E-3</v>
      </c>
      <c r="AB209" s="13">
        <f t="shared" si="45"/>
        <v>653.04394196352814</v>
      </c>
      <c r="AC209" s="13">
        <f t="shared" si="39"/>
        <v>653.0500388653295</v>
      </c>
      <c r="AD209" s="13">
        <f t="shared" si="40"/>
        <v>7.7189067316626274E-3</v>
      </c>
      <c r="AE209" s="13">
        <f t="shared" si="35"/>
        <v>4.2736481079072682E-7</v>
      </c>
      <c r="AF209" s="13">
        <f t="shared" si="41"/>
        <v>4.3232591370808789E-7</v>
      </c>
      <c r="AG209" s="13">
        <f t="shared" si="42"/>
        <v>2.3818270401304597E-7</v>
      </c>
      <c r="AH209" s="10"/>
      <c r="AI209" s="13">
        <f t="shared" si="36"/>
        <v>4.8986811903328269E-9</v>
      </c>
      <c r="AJ209" s="10"/>
      <c r="AK209" s="10"/>
      <c r="AL209" s="10"/>
      <c r="AM209" s="10"/>
      <c r="AN209" s="10"/>
    </row>
    <row r="210" spans="19:40">
      <c r="S210" s="10"/>
      <c r="T210" s="12">
        <v>204</v>
      </c>
      <c r="U210" s="13">
        <f t="shared" si="37"/>
        <v>0.11058207507937737</v>
      </c>
      <c r="V210" s="13">
        <f t="shared" si="38"/>
        <v>9.8806761947873908E-7</v>
      </c>
      <c r="W210" s="13">
        <f t="shared" si="43"/>
        <v>9.8806761947873908E-7</v>
      </c>
      <c r="X210" s="13">
        <v>0</v>
      </c>
      <c r="Y210" s="13">
        <v>0</v>
      </c>
      <c r="Z210" s="13">
        <v>0</v>
      </c>
      <c r="AA210" s="13">
        <f t="shared" si="44"/>
        <v>5.712135802987719E-3</v>
      </c>
      <c r="AB210" s="13">
        <f t="shared" si="45"/>
        <v>653.04432574145892</v>
      </c>
      <c r="AC210" s="13">
        <f t="shared" si="39"/>
        <v>653.0500388653295</v>
      </c>
      <c r="AD210" s="13">
        <f t="shared" si="40"/>
        <v>7.2115430105964872E-3</v>
      </c>
      <c r="AE210" s="13">
        <f t="shared" si="35"/>
        <v>3.9928363571948314E-7</v>
      </c>
      <c r="AF210" s="13">
        <f t="shared" si="41"/>
        <v>4.0511070019183142E-7</v>
      </c>
      <c r="AG210" s="13">
        <f t="shared" si="42"/>
        <v>2.2253123560177898E-7</v>
      </c>
      <c r="AH210" s="10"/>
      <c r="AI210" s="13">
        <f t="shared" si="36"/>
        <v>4.3860571659954185E-9</v>
      </c>
      <c r="AJ210" s="10"/>
      <c r="AK210" s="10"/>
      <c r="AL210" s="10"/>
      <c r="AM210" s="10"/>
      <c r="AN210" s="10"/>
    </row>
    <row r="211" spans="19:40">
      <c r="S211" s="10"/>
      <c r="T211" s="12">
        <v>205</v>
      </c>
      <c r="U211" s="13">
        <f t="shared" si="37"/>
        <v>0.1106752290608448</v>
      </c>
      <c r="V211" s="13">
        <f t="shared" si="38"/>
        <v>8.7853974858981997E-7</v>
      </c>
      <c r="W211" s="13">
        <f t="shared" si="43"/>
        <v>8.7853974858981997E-7</v>
      </c>
      <c r="X211" s="13">
        <v>0</v>
      </c>
      <c r="Y211" s="13">
        <v>0</v>
      </c>
      <c r="Z211" s="13">
        <v>0</v>
      </c>
      <c r="AA211" s="13">
        <f t="shared" si="44"/>
        <v>5.35262149834804E-3</v>
      </c>
      <c r="AB211" s="13">
        <f t="shared" si="45"/>
        <v>653.04468536529146</v>
      </c>
      <c r="AC211" s="13">
        <f t="shared" si="39"/>
        <v>653.0500388653295</v>
      </c>
      <c r="AD211" s="13">
        <f t="shared" si="40"/>
        <v>6.7375319999160308E-3</v>
      </c>
      <c r="AE211" s="13">
        <f t="shared" si="35"/>
        <v>3.7304737873368727E-7</v>
      </c>
      <c r="AF211" s="13">
        <f t="shared" si="41"/>
        <v>3.7960855229160468E-7</v>
      </c>
      <c r="AG211" s="13">
        <f t="shared" si="42"/>
        <v>2.0790817432959215E-7</v>
      </c>
      <c r="AH211" s="10"/>
      <c r="AI211" s="13">
        <f t="shared" si="36"/>
        <v>3.9267102945493981E-9</v>
      </c>
      <c r="AJ211" s="10"/>
      <c r="AK211" s="10"/>
      <c r="AL211" s="10"/>
      <c r="AM211" s="10"/>
      <c r="AN211" s="10"/>
    </row>
    <row r="212" spans="19:40">
      <c r="S212" s="10"/>
      <c r="T212" s="12">
        <v>206</v>
      </c>
      <c r="U212" s="13">
        <f t="shared" si="37"/>
        <v>0.11076800763711231</v>
      </c>
      <c r="V212" s="13">
        <f t="shared" si="38"/>
        <v>7.8107159629085016E-7</v>
      </c>
      <c r="W212" s="13">
        <f t="shared" si="43"/>
        <v>7.8107159629085016E-7</v>
      </c>
      <c r="X212" s="13">
        <v>0</v>
      </c>
      <c r="Y212" s="13">
        <v>0</v>
      </c>
      <c r="Z212" s="13">
        <v>0</v>
      </c>
      <c r="AA212" s="13">
        <f t="shared" si="44"/>
        <v>5.0157293926898451E-3</v>
      </c>
      <c r="AB212" s="13">
        <f t="shared" si="45"/>
        <v>653.0450223548653</v>
      </c>
      <c r="AC212" s="13">
        <f t="shared" si="39"/>
        <v>653.05003886532961</v>
      </c>
      <c r="AD212" s="13">
        <f t="shared" si="40"/>
        <v>6.294680786580781E-3</v>
      </c>
      <c r="AE212" s="13">
        <f t="shared" si="35"/>
        <v>3.4853485566179922E-7</v>
      </c>
      <c r="AF212" s="13">
        <f t="shared" si="41"/>
        <v>3.5571165745353011E-7</v>
      </c>
      <c r="AG212" s="13">
        <f t="shared" si="42"/>
        <v>1.9424595622000019E-7</v>
      </c>
      <c r="AH212" s="10"/>
      <c r="AI212" s="13">
        <f t="shared" si="36"/>
        <v>3.5151435042232093E-9</v>
      </c>
      <c r="AJ212" s="10"/>
      <c r="AK212" s="10"/>
      <c r="AL212" s="10"/>
      <c r="AM212" s="10"/>
      <c r="AN212" s="10"/>
    </row>
    <row r="213" spans="19:40">
      <c r="S213" s="10"/>
      <c r="T213" s="12">
        <v>207</v>
      </c>
      <c r="U213" s="13">
        <f t="shared" si="37"/>
        <v>0.11086041413242848</v>
      </c>
      <c r="V213" s="13">
        <f t="shared" si="38"/>
        <v>6.9434471228942761E-7</v>
      </c>
      <c r="W213" s="13">
        <f t="shared" si="43"/>
        <v>6.9434471228942761E-7</v>
      </c>
      <c r="X213" s="13">
        <v>0</v>
      </c>
      <c r="Y213" s="13">
        <v>0</v>
      </c>
      <c r="Z213" s="13">
        <v>0</v>
      </c>
      <c r="AA213" s="13">
        <f t="shared" si="44"/>
        <v>4.7000365578526836E-3</v>
      </c>
      <c r="AB213" s="13">
        <f t="shared" si="45"/>
        <v>653.04533813442708</v>
      </c>
      <c r="AC213" s="13">
        <f t="shared" si="39"/>
        <v>653.05003886532961</v>
      </c>
      <c r="AD213" s="13">
        <f t="shared" si="40"/>
        <v>5.8809406818641947E-3</v>
      </c>
      <c r="AE213" s="13">
        <f t="shared" si="35"/>
        <v>3.2563283948508668E-7</v>
      </c>
      <c r="AF213" s="13">
        <f t="shared" si="41"/>
        <v>3.3331898653803983E-7</v>
      </c>
      <c r="AG213" s="13">
        <f t="shared" si="42"/>
        <v>1.8148145505032463E-7</v>
      </c>
      <c r="AH213" s="10"/>
      <c r="AI213" s="13">
        <f t="shared" si="36"/>
        <v>3.146422549626822E-9</v>
      </c>
      <c r="AJ213" s="10"/>
      <c r="AK213" s="10"/>
      <c r="AL213" s="10"/>
      <c r="AM213" s="10"/>
      <c r="AN213" s="10"/>
    </row>
    <row r="214" spans="19:40">
      <c r="S214" s="10"/>
      <c r="T214" s="12">
        <v>208</v>
      </c>
      <c r="U214" s="13">
        <f t="shared" si="37"/>
        <v>0.11095245182571994</v>
      </c>
      <c r="V214" s="13">
        <f t="shared" si="38"/>
        <v>6.1718370851197708E-7</v>
      </c>
      <c r="W214" s="13">
        <f t="shared" si="43"/>
        <v>6.1718370851197708E-7</v>
      </c>
      <c r="X214" s="13">
        <v>0</v>
      </c>
      <c r="Y214" s="13">
        <v>0</v>
      </c>
      <c r="Z214" s="13">
        <v>0</v>
      </c>
      <c r="AA214" s="13">
        <f t="shared" si="44"/>
        <v>4.404209507310429E-3</v>
      </c>
      <c r="AB214" s="13">
        <f t="shared" si="45"/>
        <v>653.04563403863858</v>
      </c>
      <c r="AC214" s="13">
        <f t="shared" si="39"/>
        <v>653.05003886532961</v>
      </c>
      <c r="AD214" s="13">
        <f t="shared" si="40"/>
        <v>5.4943977315430638E-3</v>
      </c>
      <c r="AE214" s="13">
        <f t="shared" si="35"/>
        <v>3.0423553817438528E-7</v>
      </c>
      <c r="AF214" s="13">
        <f t="shared" si="41"/>
        <v>3.1233586721424321E-7</v>
      </c>
      <c r="AG214" s="13">
        <f t="shared" si="42"/>
        <v>1.695556909861187E-7</v>
      </c>
      <c r="AH214" s="10"/>
      <c r="AI214" s="13">
        <f t="shared" si="36"/>
        <v>2.8161188575306031E-9</v>
      </c>
      <c r="AJ214" s="10"/>
      <c r="AK214" s="10"/>
      <c r="AL214" s="10"/>
      <c r="AM214" s="10"/>
      <c r="AN214" s="10"/>
    </row>
    <row r="215" spans="19:40">
      <c r="S215" s="10"/>
      <c r="T215" s="12">
        <v>209</v>
      </c>
      <c r="U215" s="13">
        <f t="shared" si="37"/>
        <v>0.11104412395142373</v>
      </c>
      <c r="V215" s="13">
        <f t="shared" si="38"/>
        <v>5.4854085917199873E-7</v>
      </c>
      <c r="W215" s="13">
        <f t="shared" si="43"/>
        <v>5.4854085917199873E-7</v>
      </c>
      <c r="X215" s="13">
        <v>0</v>
      </c>
      <c r="Y215" s="13">
        <v>0</v>
      </c>
      <c r="Z215" s="13">
        <v>0</v>
      </c>
      <c r="AA215" s="13">
        <f t="shared" si="44"/>
        <v>4.1269985804951613E-3</v>
      </c>
      <c r="AB215" s="13">
        <f t="shared" si="45"/>
        <v>653.04591131820825</v>
      </c>
      <c r="AC215" s="13">
        <f t="shared" si="39"/>
        <v>653.05003886532961</v>
      </c>
      <c r="AD215" s="13">
        <f t="shared" si="40"/>
        <v>5.1332638509625937E-3</v>
      </c>
      <c r="AE215" s="13">
        <f t="shared" si="35"/>
        <v>2.8424410675763786E-7</v>
      </c>
      <c r="AF215" s="13">
        <f t="shared" si="41"/>
        <v>2.9267358416207532E-7</v>
      </c>
      <c r="AG215" s="13">
        <f t="shared" si="42"/>
        <v>1.584135583327068E-7</v>
      </c>
      <c r="AH215" s="10"/>
      <c r="AI215" s="13">
        <f t="shared" si="36"/>
        <v>2.520258125712736E-9</v>
      </c>
      <c r="AJ215" s="10"/>
      <c r="AK215" s="10"/>
      <c r="AL215" s="10"/>
      <c r="AM215" s="10"/>
      <c r="AN215" s="10"/>
    </row>
    <row r="216" spans="19:40">
      <c r="S216" s="10"/>
      <c r="T216" s="12">
        <v>210</v>
      </c>
      <c r="U216" s="13">
        <f t="shared" si="37"/>
        <v>0.11113543370030068</v>
      </c>
      <c r="V216" s="13">
        <f t="shared" si="38"/>
        <v>4.8748234451468295E-7</v>
      </c>
      <c r="W216" s="13">
        <f t="shared" si="43"/>
        <v>4.8748234451468295E-7</v>
      </c>
      <c r="X216" s="13">
        <v>0</v>
      </c>
      <c r="Y216" s="13">
        <v>0</v>
      </c>
      <c r="Z216" s="13">
        <v>0</v>
      </c>
      <c r="AA216" s="13">
        <f t="shared" si="44"/>
        <v>3.8672326790308359E-3</v>
      </c>
      <c r="AB216" s="13">
        <f t="shared" si="45"/>
        <v>653.04617114516827</v>
      </c>
      <c r="AC216" s="13">
        <f t="shared" si="39"/>
        <v>653.05003886532961</v>
      </c>
      <c r="AD216" s="13">
        <f t="shared" si="40"/>
        <v>4.7958685437845859E-3</v>
      </c>
      <c r="AE216" s="13">
        <f t="shared" si="35"/>
        <v>2.6556619137792817E-7</v>
      </c>
      <c r="AF216" s="13">
        <f t="shared" si="41"/>
        <v>2.7424900439989796E-7</v>
      </c>
      <c r="AG216" s="13">
        <f t="shared" si="42"/>
        <v>1.4800357115092506E-7</v>
      </c>
      <c r="AH216" s="10"/>
      <c r="AI216" s="13">
        <f t="shared" si="36"/>
        <v>2.2552741012397194E-9</v>
      </c>
      <c r="AJ216" s="10"/>
      <c r="AK216" s="10"/>
      <c r="AL216" s="10"/>
      <c r="AM216" s="10"/>
      <c r="AN216" s="10"/>
    </row>
    <row r="217" spans="19:40">
      <c r="S217" s="10"/>
      <c r="T217" s="12">
        <v>211</v>
      </c>
      <c r="U217" s="13">
        <f t="shared" si="37"/>
        <v>0.11122638422022973</v>
      </c>
      <c r="V217" s="13">
        <f t="shared" si="38"/>
        <v>4.3317596439546554E-7</v>
      </c>
      <c r="W217" s="13">
        <f t="shared" si="43"/>
        <v>4.3317596439546554E-7</v>
      </c>
      <c r="X217" s="13">
        <v>0</v>
      </c>
      <c r="Y217" s="13">
        <v>0</v>
      </c>
      <c r="Z217" s="13">
        <v>0</v>
      </c>
      <c r="AA217" s="13">
        <f t="shared" si="44"/>
        <v>3.6238143328948258E-3</v>
      </c>
      <c r="AB217" s="13">
        <f t="shared" si="45"/>
        <v>653.0464146178208</v>
      </c>
      <c r="AC217" s="13">
        <f t="shared" si="39"/>
        <v>653.05003886532961</v>
      </c>
      <c r="AD217" s="13">
        <f t="shared" si="40"/>
        <v>4.480651165946284E-3</v>
      </c>
      <c r="AE217" s="13">
        <f t="shared" si="35"/>
        <v>2.4811550324794525E-7</v>
      </c>
      <c r="AF217" s="13">
        <f t="shared" si="41"/>
        <v>2.5698422616056361E-7</v>
      </c>
      <c r="AG217" s="13">
        <f t="shared" si="42"/>
        <v>1.382776255661144E-7</v>
      </c>
      <c r="AH217" s="10"/>
      <c r="AI217" s="13">
        <f t="shared" si="36"/>
        <v>2.0179670211580055E-9</v>
      </c>
      <c r="AJ217" s="10"/>
      <c r="AK217" s="10"/>
      <c r="AL217" s="10"/>
      <c r="AM217" s="10"/>
      <c r="AN217" s="10"/>
    </row>
    <row r="218" spans="19:40">
      <c r="S218" s="10"/>
      <c r="T218" s="12">
        <v>212</v>
      </c>
      <c r="U218" s="13">
        <f t="shared" si="37"/>
        <v>0.11131697861698459</v>
      </c>
      <c r="V218" s="13">
        <f t="shared" si="38"/>
        <v>3.8488016605696467E-7</v>
      </c>
      <c r="W218" s="13">
        <f t="shared" si="43"/>
        <v>3.8488016605696467E-7</v>
      </c>
      <c r="X218" s="13">
        <v>0</v>
      </c>
      <c r="Y218" s="13">
        <v>0</v>
      </c>
      <c r="Z218" s="13">
        <v>0</v>
      </c>
      <c r="AA218" s="13">
        <f t="shared" si="44"/>
        <v>3.3957150758911698E-3</v>
      </c>
      <c r="AB218" s="13">
        <f t="shared" si="45"/>
        <v>653.04664276537358</v>
      </c>
      <c r="AC218" s="13">
        <f t="shared" si="39"/>
        <v>653.05003886532961</v>
      </c>
      <c r="AD218" s="13">
        <f t="shared" si="40"/>
        <v>4.1861536988974614E-3</v>
      </c>
      <c r="AE218" s="13">
        <f t="shared" si="35"/>
        <v>2.3181142054352632E-7</v>
      </c>
      <c r="AF218" s="13">
        <f t="shared" si="41"/>
        <v>2.4080624983771775E-7</v>
      </c>
      <c r="AG218" s="13">
        <f t="shared" si="42"/>
        <v>1.2919077767603356E-7</v>
      </c>
      <c r="AH218" s="10"/>
      <c r="AI218" s="13">
        <f t="shared" si="36"/>
        <v>1.8054662496622123E-9</v>
      </c>
      <c r="AJ218" s="10"/>
      <c r="AK218" s="10"/>
      <c r="AL218" s="10"/>
      <c r="AM218" s="10"/>
      <c r="AN218" s="10"/>
    </row>
    <row r="219" spans="19:40">
      <c r="S219" s="10"/>
      <c r="T219" s="12">
        <v>213</v>
      </c>
      <c r="U219" s="13">
        <f t="shared" si="37"/>
        <v>0.11140721995499234</v>
      </c>
      <c r="V219" s="13">
        <f t="shared" si="38"/>
        <v>3.4193424678890784E-7</v>
      </c>
      <c r="W219" s="13">
        <f t="shared" si="43"/>
        <v>3.4193424678890784E-7</v>
      </c>
      <c r="X219" s="13">
        <v>0</v>
      </c>
      <c r="Y219" s="13">
        <v>0</v>
      </c>
      <c r="Z219" s="13">
        <v>0</v>
      </c>
      <c r="AA219" s="13">
        <f t="shared" si="44"/>
        <v>3.1819711111010138E-3</v>
      </c>
      <c r="AB219" s="13">
        <f t="shared" si="45"/>
        <v>653.04685655228434</v>
      </c>
      <c r="AC219" s="13">
        <f t="shared" si="39"/>
        <v>653.05003886532973</v>
      </c>
      <c r="AD219" s="13">
        <f t="shared" si="40"/>
        <v>3.9110139985551896E-3</v>
      </c>
      <c r="AE219" s="13">
        <f t="shared" si="35"/>
        <v>2.1657861640676079E-7</v>
      </c>
      <c r="AF219" s="13">
        <f t="shared" si="41"/>
        <v>2.2564666961671132E-7</v>
      </c>
      <c r="AG219" s="13">
        <f t="shared" si="42"/>
        <v>1.2070103603497647E-7</v>
      </c>
      <c r="AH219" s="10"/>
      <c r="AI219" s="13">
        <f t="shared" si="36"/>
        <v>1.615196691901393E-9</v>
      </c>
      <c r="AJ219" s="10"/>
      <c r="AK219" s="10"/>
      <c r="AL219" s="10"/>
      <c r="AM219" s="10"/>
      <c r="AN219" s="10"/>
    </row>
    <row r="220" spans="19:40">
      <c r="S220" s="10"/>
      <c r="T220" s="12">
        <v>214</v>
      </c>
      <c r="U220" s="13">
        <f t="shared" si="37"/>
        <v>0.111497111258075</v>
      </c>
      <c r="V220" s="13">
        <f t="shared" si="38"/>
        <v>3.037496067823892E-7</v>
      </c>
      <c r="W220" s="13">
        <f t="shared" si="43"/>
        <v>3.037496067823892E-7</v>
      </c>
      <c r="X220" s="13">
        <v>0</v>
      </c>
      <c r="Y220" s="13">
        <v>0</v>
      </c>
      <c r="Z220" s="13">
        <v>0</v>
      </c>
      <c r="AA220" s="13">
        <f t="shared" si="44"/>
        <v>2.9816792481784046E-3</v>
      </c>
      <c r="AB220" s="13">
        <f t="shared" si="45"/>
        <v>653.04705688233184</v>
      </c>
      <c r="AC220" s="13">
        <f t="shared" si="39"/>
        <v>653.05003886532961</v>
      </c>
      <c r="AD220" s="13">
        <f t="shared" si="40"/>
        <v>3.6539594886307457E-3</v>
      </c>
      <c r="AE220" s="13">
        <f t="shared" si="35"/>
        <v>2.0234671134864839E-7</v>
      </c>
      <c r="AF220" s="13">
        <f t="shared" si="41"/>
        <v>2.1144138449132311E-7</v>
      </c>
      <c r="AG220" s="13">
        <f t="shared" si="42"/>
        <v>1.1276916775832362E-7</v>
      </c>
      <c r="AH220" s="10"/>
      <c r="AI220" s="13">
        <f t="shared" si="36"/>
        <v>1.4448486061695237E-9</v>
      </c>
      <c r="AJ220" s="10"/>
      <c r="AK220" s="10"/>
      <c r="AL220" s="10"/>
      <c r="AM220" s="10"/>
      <c r="AN220" s="10"/>
    </row>
    <row r="221" spans="19:40">
      <c r="S221" s="10"/>
      <c r="T221" s="12">
        <v>215</v>
      </c>
      <c r="U221" s="13">
        <f t="shared" si="37"/>
        <v>0.11158665551017466</v>
      </c>
      <c r="V221" s="13">
        <f t="shared" si="38"/>
        <v>2.698019405968013E-7</v>
      </c>
      <c r="W221" s="13">
        <f t="shared" si="43"/>
        <v>2.698019405968013E-7</v>
      </c>
      <c r="X221" s="13">
        <v>0</v>
      </c>
      <c r="Y221" s="13">
        <v>0</v>
      </c>
      <c r="Z221" s="13">
        <v>0</v>
      </c>
      <c r="AA221" s="13">
        <f t="shared" si="44"/>
        <v>2.7939930954880292E-3</v>
      </c>
      <c r="AB221" s="13">
        <f t="shared" si="45"/>
        <v>653.04724460243222</v>
      </c>
      <c r="AC221" s="13">
        <f t="shared" si="39"/>
        <v>653.05003886532961</v>
      </c>
      <c r="AD221" s="13">
        <f t="shared" si="40"/>
        <v>3.4138012690515447E-3</v>
      </c>
      <c r="AE221" s="13">
        <f t="shared" si="35"/>
        <v>1.8904994845304604E-7</v>
      </c>
      <c r="AF221" s="13">
        <f t="shared" si="41"/>
        <v>1.981303274488834E-7</v>
      </c>
      <c r="AG221" s="13">
        <f t="shared" si="42"/>
        <v>1.0535851735433066E-7</v>
      </c>
      <c r="AH221" s="10"/>
      <c r="AI221" s="13">
        <f t="shared" si="36"/>
        <v>1.2923504737365982E-9</v>
      </c>
      <c r="AJ221" s="10"/>
      <c r="AK221" s="10"/>
      <c r="AL221" s="10"/>
      <c r="AM221" s="10"/>
      <c r="AN221" s="10"/>
    </row>
    <row r="222" spans="19:40">
      <c r="S222" s="10"/>
      <c r="T222" s="12">
        <v>216</v>
      </c>
      <c r="U222" s="13">
        <f t="shared" si="37"/>
        <v>0.11167585565606196</v>
      </c>
      <c r="V222" s="13">
        <f t="shared" si="38"/>
        <v>2.3962426740118465E-7</v>
      </c>
      <c r="W222" s="13">
        <f t="shared" si="43"/>
        <v>2.3962426740118465E-7</v>
      </c>
      <c r="X222" s="13">
        <v>0</v>
      </c>
      <c r="Y222" s="13">
        <v>0</v>
      </c>
      <c r="Z222" s="13">
        <v>0</v>
      </c>
      <c r="AA222" s="13">
        <f t="shared" si="44"/>
        <v>2.6181194911402855E-3</v>
      </c>
      <c r="AB222" s="13">
        <f t="shared" si="45"/>
        <v>653.04742050621417</v>
      </c>
      <c r="AC222" s="13">
        <f t="shared" si="39"/>
        <v>653.05003886532961</v>
      </c>
      <c r="AD222" s="13">
        <f t="shared" si="40"/>
        <v>3.1894286121326651E-3</v>
      </c>
      <c r="AE222" s="13">
        <f t="shared" si="35"/>
        <v>1.7662688988809952E-7</v>
      </c>
      <c r="AF222" s="13">
        <f t="shared" si="41"/>
        <v>1.8565721168271023E-7</v>
      </c>
      <c r="AG222" s="13">
        <f t="shared" si="42"/>
        <v>9.8434837448445261E-8</v>
      </c>
      <c r="AH222" s="10"/>
      <c r="AI222" s="13">
        <f t="shared" si="36"/>
        <v>1.1558446194087502E-9</v>
      </c>
      <c r="AJ222" s="10"/>
      <c r="AK222" s="10"/>
      <c r="AL222" s="10"/>
      <c r="AM222" s="10"/>
      <c r="AN222" s="10"/>
    </row>
    <row r="223" spans="19:40">
      <c r="S223" s="10"/>
      <c r="T223" s="12">
        <v>217</v>
      </c>
      <c r="U223" s="13">
        <f t="shared" si="37"/>
        <v>0.11176471460202886</v>
      </c>
      <c r="V223" s="13">
        <f t="shared" si="38"/>
        <v>2.1280071067180643E-7</v>
      </c>
      <c r="W223" s="13">
        <f t="shared" si="43"/>
        <v>2.1280071067180643E-7</v>
      </c>
      <c r="X223" s="13">
        <v>0</v>
      </c>
      <c r="Y223" s="13">
        <v>0</v>
      </c>
      <c r="Z223" s="13">
        <v>0</v>
      </c>
      <c r="AA223" s="13">
        <f t="shared" si="44"/>
        <v>2.4533151579723962E-3</v>
      </c>
      <c r="AB223" s="13">
        <f t="shared" si="45"/>
        <v>653.04758533737095</v>
      </c>
      <c r="AC223" s="13">
        <f t="shared" si="39"/>
        <v>653.05003886532961</v>
      </c>
      <c r="AD223" s="13">
        <f t="shared" si="40"/>
        <v>2.9798038209564231E-3</v>
      </c>
      <c r="AE223" s="13">
        <f t="shared" si="35"/>
        <v>1.6502013332901948E-7</v>
      </c>
      <c r="AF223" s="13">
        <f t="shared" si="41"/>
        <v>1.7396929276230897E-7</v>
      </c>
      <c r="AG223" s="13">
        <f t="shared" si="42"/>
        <v>9.1966130620109511E-8</v>
      </c>
      <c r="AH223" s="10"/>
      <c r="AI223" s="13">
        <f t="shared" si="36"/>
        <v>1.0336653064112349E-9</v>
      </c>
      <c r="AJ223" s="10"/>
      <c r="AK223" s="10"/>
      <c r="AL223" s="10"/>
      <c r="AM223" s="10"/>
      <c r="AN223" s="10"/>
    </row>
    <row r="224" spans="19:40">
      <c r="S224" s="10"/>
      <c r="T224" s="12">
        <v>218</v>
      </c>
      <c r="U224" s="13">
        <f t="shared" si="37"/>
        <v>0.1118532352165663</v>
      </c>
      <c r="V224" s="13">
        <f t="shared" si="38"/>
        <v>1.8896094745054589E-7</v>
      </c>
      <c r="W224" s="13">
        <f t="shared" si="43"/>
        <v>1.8896094745054589E-7</v>
      </c>
      <c r="X224" s="13">
        <v>0</v>
      </c>
      <c r="Y224" s="13">
        <v>0</v>
      </c>
      <c r="Z224" s="13">
        <v>0</v>
      </c>
      <c r="AA224" s="13">
        <f t="shared" si="44"/>
        <v>2.2988835684561748E-3</v>
      </c>
      <c r="AB224" s="13">
        <f t="shared" si="45"/>
        <v>653.04773979280014</v>
      </c>
      <c r="AC224" s="13">
        <f t="shared" si="39"/>
        <v>653.0500388653295</v>
      </c>
      <c r="AD224" s="13">
        <f t="shared" si="40"/>
        <v>2.7839574261032075E-3</v>
      </c>
      <c r="AE224" s="13">
        <f t="shared" si="35"/>
        <v>1.5417604698735708E-7</v>
      </c>
      <c r="AF224" s="13">
        <f t="shared" si="41"/>
        <v>1.6301714575886159E-7</v>
      </c>
      <c r="AG224" s="13">
        <f t="shared" si="42"/>
        <v>8.5922501623102223E-8</v>
      </c>
      <c r="AH224" s="10"/>
      <c r="AI224" s="13">
        <f t="shared" si="36"/>
        <v>9.2431905669655953E-10</v>
      </c>
      <c r="AJ224" s="10"/>
      <c r="AK224" s="10"/>
      <c r="AL224" s="10"/>
      <c r="AM224" s="10"/>
      <c r="AN224" s="10"/>
    </row>
    <row r="225" spans="19:40">
      <c r="S225" s="10"/>
      <c r="T225" s="12">
        <v>219</v>
      </c>
      <c r="U225" s="13">
        <f t="shared" si="37"/>
        <v>0.11194142033102665</v>
      </c>
      <c r="V225" s="13">
        <f t="shared" si="38"/>
        <v>1.6777525570732207E-7</v>
      </c>
      <c r="W225" s="13">
        <f t="shared" si="43"/>
        <v>1.6777525570732207E-7</v>
      </c>
      <c r="X225" s="13">
        <v>0</v>
      </c>
      <c r="Y225" s="13">
        <v>0</v>
      </c>
      <c r="Z225" s="13">
        <v>0</v>
      </c>
      <c r="AA225" s="13">
        <f t="shared" si="44"/>
        <v>2.1541720063872555E-3</v>
      </c>
      <c r="AB225" s="13">
        <f t="shared" si="45"/>
        <v>653.04788452554783</v>
      </c>
      <c r="AC225" s="13">
        <f t="shared" si="39"/>
        <v>653.0500388653295</v>
      </c>
      <c r="AD225" s="13">
        <f t="shared" si="40"/>
        <v>2.600983698450055E-3</v>
      </c>
      <c r="AE225" s="13">
        <f t="shared" si="35"/>
        <v>1.4404452202728206E-7</v>
      </c>
      <c r="AF225" s="13">
        <f t="shared" si="41"/>
        <v>1.5275445638640693E-7</v>
      </c>
      <c r="AG225" s="13">
        <f t="shared" si="42"/>
        <v>8.0276019308228989E-8</v>
      </c>
      <c r="AH225" s="10"/>
      <c r="AI225" s="13">
        <f t="shared" si="36"/>
        <v>8.2646697257810162E-10</v>
      </c>
      <c r="AJ225" s="10"/>
      <c r="AK225" s="10"/>
      <c r="AL225" s="10"/>
      <c r="AM225" s="10"/>
      <c r="AN225" s="10"/>
    </row>
    <row r="226" spans="19:40">
      <c r="S226" s="10"/>
      <c r="T226" s="12">
        <v>220</v>
      </c>
      <c r="U226" s="13">
        <f t="shared" si="37"/>
        <v>0.11202927274027148</v>
      </c>
      <c r="V226" s="13">
        <f t="shared" si="38"/>
        <v>1.4895009590601558E-7</v>
      </c>
      <c r="W226" s="13">
        <f t="shared" si="43"/>
        <v>1.4895009590601558E-7</v>
      </c>
      <c r="X226" s="13">
        <v>0</v>
      </c>
      <c r="Y226" s="13">
        <v>0</v>
      </c>
      <c r="Z226" s="13">
        <v>0</v>
      </c>
      <c r="AA226" s="13">
        <f t="shared" si="44"/>
        <v>2.0185688130306494E-3</v>
      </c>
      <c r="AB226" s="13">
        <f t="shared" si="45"/>
        <v>653.04802014756638</v>
      </c>
      <c r="AC226" s="13">
        <f t="shared" si="39"/>
        <v>653.0500388653295</v>
      </c>
      <c r="AD226" s="13">
        <f t="shared" si="40"/>
        <v>2.4300364572228989E-3</v>
      </c>
      <c r="AE226" s="13">
        <f t="shared" si="35"/>
        <v>1.3457874122914935E-7</v>
      </c>
      <c r="AF226" s="13">
        <f t="shared" si="41"/>
        <v>1.4313782527805836E-7</v>
      </c>
      <c r="AG226" s="13">
        <f t="shared" si="42"/>
        <v>7.5000587611802946E-8</v>
      </c>
      <c r="AH226" s="10"/>
      <c r="AI226" s="13">
        <f t="shared" si="36"/>
        <v>7.3890885794149867E-10</v>
      </c>
      <c r="AJ226" s="10"/>
      <c r="AK226" s="10"/>
      <c r="AL226" s="10"/>
      <c r="AM226" s="10"/>
      <c r="AN226" s="10"/>
    </row>
    <row r="227" spans="19:40">
      <c r="S227" s="10"/>
      <c r="T227" s="12">
        <v>221</v>
      </c>
      <c r="U227" s="13">
        <f t="shared" si="37"/>
        <v>0.11211679520330536</v>
      </c>
      <c r="V227" s="13">
        <f t="shared" si="38"/>
        <v>1.3222416963839109E-7</v>
      </c>
      <c r="W227" s="13">
        <f t="shared" si="43"/>
        <v>1.3222416963839109E-7</v>
      </c>
      <c r="X227" s="13">
        <v>0</v>
      </c>
      <c r="Y227" s="13">
        <v>0</v>
      </c>
      <c r="Z227" s="13">
        <v>0</v>
      </c>
      <c r="AA227" s="13">
        <f t="shared" si="44"/>
        <v>1.8915008061667011E-3</v>
      </c>
      <c r="AB227" s="13">
        <f t="shared" si="45"/>
        <v>653.04814723229924</v>
      </c>
      <c r="AC227" s="13">
        <f t="shared" si="39"/>
        <v>653.05003886532961</v>
      </c>
      <c r="AD227" s="13">
        <f t="shared" si="40"/>
        <v>2.2703251538606821E-3</v>
      </c>
      <c r="AE227" s="13">
        <f t="shared" si="35"/>
        <v>1.2573496283521761E-7</v>
      </c>
      <c r="AF227" s="13">
        <f t="shared" si="41"/>
        <v>1.3412658457186013E-7</v>
      </c>
      <c r="AG227" s="13">
        <f t="shared" si="42"/>
        <v>7.0071825015074507E-8</v>
      </c>
      <c r="AH227" s="10"/>
      <c r="AI227" s="13">
        <f t="shared" si="36"/>
        <v>6.6056895743370084E-10</v>
      </c>
      <c r="AJ227" s="10"/>
      <c r="AK227" s="10"/>
      <c r="AL227" s="10"/>
      <c r="AM227" s="10"/>
      <c r="AN227" s="10"/>
    </row>
    <row r="228" spans="19:40">
      <c r="S228" s="10"/>
      <c r="T228" s="12">
        <v>222</v>
      </c>
      <c r="U228" s="13">
        <f t="shared" si="37"/>
        <v>0.11220399044389591</v>
      </c>
      <c r="V228" s="13">
        <f t="shared" si="38"/>
        <v>1.173649042463755E-7</v>
      </c>
      <c r="W228" s="13">
        <f t="shared" si="43"/>
        <v>1.173649042463755E-7</v>
      </c>
      <c r="X228" s="13">
        <v>0</v>
      </c>
      <c r="Y228" s="13">
        <v>0</v>
      </c>
      <c r="Z228" s="13">
        <v>0</v>
      </c>
      <c r="AA228" s="13">
        <f t="shared" si="44"/>
        <v>1.7724308612030051E-3</v>
      </c>
      <c r="AB228" s="13">
        <f t="shared" si="45"/>
        <v>653.04826631710353</v>
      </c>
      <c r="AC228" s="13">
        <f t="shared" si="39"/>
        <v>653.05003886532961</v>
      </c>
      <c r="AD228" s="13">
        <f t="shared" si="40"/>
        <v>2.1211112135312224E-3</v>
      </c>
      <c r="AE228" s="13">
        <f t="shared" si="35"/>
        <v>1.1747231858209542E-7</v>
      </c>
      <c r="AF228" s="13">
        <f t="shared" si="41"/>
        <v>1.2568262603268199E-7</v>
      </c>
      <c r="AG228" s="13">
        <f t="shared" si="42"/>
        <v>6.5466951918753511E-8</v>
      </c>
      <c r="AH228" s="10"/>
      <c r="AI228" s="13">
        <f t="shared" si="36"/>
        <v>5.9048315018338779E-10</v>
      </c>
      <c r="AJ228" s="10"/>
      <c r="AK228" s="10"/>
      <c r="AL228" s="10"/>
      <c r="AM228" s="10"/>
      <c r="AN228" s="10"/>
    </row>
    <row r="229" spans="19:40">
      <c r="S229" s="10"/>
      <c r="T229" s="12">
        <v>223</v>
      </c>
      <c r="U229" s="13">
        <f t="shared" si="37"/>
        <v>0.11229086115117998</v>
      </c>
      <c r="V229" s="13">
        <f t="shared" si="38"/>
        <v>1.0416531777325039E-7</v>
      </c>
      <c r="W229" s="13">
        <f t="shared" si="43"/>
        <v>1.0416531777325039E-7</v>
      </c>
      <c r="X229" s="13">
        <v>0</v>
      </c>
      <c r="Y229" s="13">
        <v>0</v>
      </c>
      <c r="Z229" s="13">
        <v>0</v>
      </c>
      <c r="AA229" s="13">
        <f t="shared" si="44"/>
        <v>1.6608556441945516E-3</v>
      </c>
      <c r="AB229" s="13">
        <f t="shared" si="45"/>
        <v>653.04837790552017</v>
      </c>
      <c r="AC229" s="13">
        <f t="shared" si="39"/>
        <v>653.05003886532973</v>
      </c>
      <c r="AD229" s="13">
        <f t="shared" si="40"/>
        <v>1.9817046173357324E-3</v>
      </c>
      <c r="AE229" s="13">
        <f t="shared" si="35"/>
        <v>1.0975262498965312E-7</v>
      </c>
      <c r="AF229" s="13">
        <f t="shared" si="41"/>
        <v>1.1777023998510372E-7</v>
      </c>
      <c r="AG229" s="13">
        <f t="shared" si="42"/>
        <v>6.1164685413205265E-8</v>
      </c>
      <c r="AH229" s="10"/>
      <c r="AI229" s="13">
        <f t="shared" si="36"/>
        <v>5.2778745096583853E-10</v>
      </c>
      <c r="AJ229" s="10"/>
      <c r="AK229" s="10"/>
      <c r="AL229" s="10"/>
      <c r="AM229" s="10"/>
      <c r="AN229" s="10"/>
    </row>
    <row r="230" spans="19:40">
      <c r="S230" s="10"/>
      <c r="T230" s="12">
        <v>224</v>
      </c>
      <c r="U230" s="13">
        <f t="shared" si="37"/>
        <v>0.11237740998025714</v>
      </c>
      <c r="V230" s="13">
        <f t="shared" si="38"/>
        <v>9.2441223434895397E-8</v>
      </c>
      <c r="W230" s="13">
        <f t="shared" si="43"/>
        <v>9.2441223434895397E-8</v>
      </c>
      <c r="X230" s="13">
        <v>0</v>
      </c>
      <c r="Y230" s="13">
        <v>0</v>
      </c>
      <c r="Z230" s="13">
        <v>0</v>
      </c>
      <c r="AA230" s="13">
        <f t="shared" si="44"/>
        <v>1.556303487249023E-3</v>
      </c>
      <c r="AB230" s="13">
        <f t="shared" si="45"/>
        <v>653.04848246940128</v>
      </c>
      <c r="AC230" s="13">
        <f t="shared" si="39"/>
        <v>653.05003886532973</v>
      </c>
      <c r="AD230" s="13">
        <f t="shared" si="40"/>
        <v>1.8514607093568988E-3</v>
      </c>
      <c r="AE230" s="13">
        <f t="shared" si="35"/>
        <v>1.0254020703704622E-7</v>
      </c>
      <c r="AF230" s="13">
        <f t="shared" si="41"/>
        <v>1.1035596437775695E-7</v>
      </c>
      <c r="AG230" s="13">
        <f t="shared" si="42"/>
        <v>5.7145140958952719E-8</v>
      </c>
      <c r="AH230" s="10"/>
      <c r="AI230" s="13">
        <f t="shared" si="36"/>
        <v>4.7170768646173479E-10</v>
      </c>
      <c r="AJ230" s="10"/>
      <c r="AK230" s="10"/>
      <c r="AL230" s="10"/>
      <c r="AM230" s="10"/>
      <c r="AN230" s="10"/>
    </row>
    <row r="231" spans="19:40">
      <c r="S231" s="10"/>
      <c r="T231" s="12">
        <v>225</v>
      </c>
      <c r="U231" s="13">
        <f t="shared" si="37"/>
        <v>0.11246363955277032</v>
      </c>
      <c r="V231" s="13">
        <f t="shared" si="38"/>
        <v>8.2028737142414083E-8</v>
      </c>
      <c r="W231" s="13">
        <f t="shared" si="43"/>
        <v>8.2028737142414083E-8</v>
      </c>
      <c r="X231" s="13">
        <v>0</v>
      </c>
      <c r="Y231" s="13">
        <v>0</v>
      </c>
      <c r="Z231" s="13">
        <v>0</v>
      </c>
      <c r="AA231" s="13">
        <f t="shared" si="44"/>
        <v>1.4583323973893999E-3</v>
      </c>
      <c r="AB231" s="13">
        <f t="shared" si="45"/>
        <v>653.04858045090373</v>
      </c>
      <c r="AC231" s="13">
        <f t="shared" si="39"/>
        <v>653.05003886532984</v>
      </c>
      <c r="AD231" s="13">
        <f t="shared" si="40"/>
        <v>1.7297772137496042E-3</v>
      </c>
      <c r="AE231" s="13">
        <f t="shared" si="35"/>
        <v>9.5801733413424762E-8</v>
      </c>
      <c r="AF231" s="13">
        <f t="shared" si="41"/>
        <v>1.0340844334225141E-7</v>
      </c>
      <c r="AG231" s="13">
        <f t="shared" si="42"/>
        <v>5.338974052394064E-8</v>
      </c>
      <c r="AH231" s="10"/>
      <c r="AI231" s="13">
        <f t="shared" si="36"/>
        <v>4.2155022753571821E-10</v>
      </c>
      <c r="AJ231" s="10"/>
      <c r="AK231" s="10"/>
      <c r="AL231" s="10"/>
      <c r="AM231" s="10"/>
      <c r="AN231" s="10"/>
    </row>
    <row r="232" spans="19:40">
      <c r="S232" s="10"/>
      <c r="T232" s="12">
        <v>226</v>
      </c>
      <c r="U232" s="13">
        <f t="shared" si="37"/>
        <v>0.11254955245747376</v>
      </c>
      <c r="V232" s="13">
        <f t="shared" si="38"/>
        <v>7.2782055490435621E-8</v>
      </c>
      <c r="W232" s="13">
        <f t="shared" si="43"/>
        <v>7.2782055490435621E-8</v>
      </c>
      <c r="X232" s="13">
        <v>0</v>
      </c>
      <c r="Y232" s="13">
        <v>0</v>
      </c>
      <c r="Z232" s="13">
        <v>0</v>
      </c>
      <c r="AA232" s="13">
        <f t="shared" si="44"/>
        <v>1.3665281905042206E-3</v>
      </c>
      <c r="AB232" s="13">
        <f t="shared" si="45"/>
        <v>653.04867226435738</v>
      </c>
      <c r="AC232" s="13">
        <f t="shared" si="39"/>
        <v>653.05003886532995</v>
      </c>
      <c r="AD232" s="13">
        <f t="shared" si="40"/>
        <v>1.6160914480486525E-3</v>
      </c>
      <c r="AE232" s="13">
        <f t="shared" si="35"/>
        <v>8.9506062584115516E-8</v>
      </c>
      <c r="AF232" s="13">
        <f t="shared" si="41"/>
        <v>9.6898294649804587E-8</v>
      </c>
      <c r="AG232" s="13">
        <f t="shared" si="42"/>
        <v>4.9881126753758217E-8</v>
      </c>
      <c r="AH232" s="10"/>
      <c r="AI232" s="13">
        <f t="shared" si="36"/>
        <v>3.7669367041701352E-10</v>
      </c>
      <c r="AJ232" s="10"/>
      <c r="AK232" s="10"/>
      <c r="AL232" s="10"/>
      <c r="AM232" s="10"/>
      <c r="AN232" s="10"/>
    </row>
    <row r="233" spans="19:40">
      <c r="S233" s="10"/>
      <c r="T233" s="12">
        <v>227</v>
      </c>
      <c r="U233" s="13">
        <f t="shared" si="37"/>
        <v>0.11263515125078917</v>
      </c>
      <c r="V233" s="13">
        <f t="shared" si="38"/>
        <v>6.4571475098790107E-8</v>
      </c>
      <c r="W233" s="13">
        <f t="shared" si="43"/>
        <v>6.4571475098790107E-8</v>
      </c>
      <c r="X233" s="13">
        <v>0</v>
      </c>
      <c r="Y233" s="13">
        <v>0</v>
      </c>
      <c r="Z233" s="13">
        <v>0</v>
      </c>
      <c r="AA233" s="13">
        <f t="shared" si="44"/>
        <v>1.2805027425393139E-3</v>
      </c>
      <c r="AB233" s="13">
        <f t="shared" si="45"/>
        <v>653.04875829801585</v>
      </c>
      <c r="AC233" s="13">
        <f t="shared" si="39"/>
        <v>653.05003886532984</v>
      </c>
      <c r="AD233" s="13">
        <f t="shared" si="40"/>
        <v>1.5098777197787689E-3</v>
      </c>
      <c r="AE233" s="13">
        <f t="shared" si="35"/>
        <v>8.3624098962794922E-8</v>
      </c>
      <c r="AF233" s="13">
        <f t="shared" si="41"/>
        <v>9.0797985506174755E-8</v>
      </c>
      <c r="AG233" s="13">
        <f t="shared" si="42"/>
        <v>4.6603082778809304E-8</v>
      </c>
      <c r="AH233" s="10"/>
      <c r="AI233" s="13">
        <f t="shared" si="36"/>
        <v>3.365813704326336E-10</v>
      </c>
      <c r="AJ233" s="10"/>
      <c r="AK233" s="10"/>
      <c r="AL233" s="10"/>
      <c r="AM233" s="10"/>
      <c r="AN233" s="10"/>
    </row>
    <row r="234" spans="19:40">
      <c r="S234" s="10"/>
      <c r="T234" s="12">
        <v>228</v>
      </c>
      <c r="U234" s="13">
        <f t="shared" si="37"/>
        <v>0.11272043845735</v>
      </c>
      <c r="V234" s="13">
        <f t="shared" si="38"/>
        <v>5.7281627301864662E-8</v>
      </c>
      <c r="W234" s="13">
        <f t="shared" si="43"/>
        <v>5.7281627301864662E-8</v>
      </c>
      <c r="X234" s="13">
        <v>0</v>
      </c>
      <c r="Y234" s="13">
        <v>0</v>
      </c>
      <c r="Z234" s="13">
        <v>0</v>
      </c>
      <c r="AA234" s="13">
        <f t="shared" si="44"/>
        <v>1.1998923505757016E-3</v>
      </c>
      <c r="AB234" s="13">
        <f t="shared" si="45"/>
        <v>653.04883891569773</v>
      </c>
      <c r="AC234" s="13">
        <f t="shared" si="39"/>
        <v>653.05003886532995</v>
      </c>
      <c r="AD234" s="13">
        <f t="shared" si="40"/>
        <v>1.4106448943029301E-3</v>
      </c>
      <c r="AE234" s="13">
        <f t="shared" si="35"/>
        <v>7.8128658526655733E-8</v>
      </c>
      <c r="AF234" s="13">
        <f t="shared" si="41"/>
        <v>8.5081716160631734E-8</v>
      </c>
      <c r="AG234" s="13">
        <f t="shared" si="42"/>
        <v>4.3540457288392201E-8</v>
      </c>
      <c r="AH234" s="10"/>
      <c r="AI234" s="13">
        <f t="shared" si="36"/>
        <v>3.0071474163969077E-10</v>
      </c>
      <c r="AJ234" s="10"/>
      <c r="AK234" s="10"/>
      <c r="AL234" s="10"/>
      <c r="AM234" s="10"/>
      <c r="AN234" s="10"/>
    </row>
    <row r="235" spans="19:40">
      <c r="S235" s="10"/>
      <c r="T235" s="12">
        <v>229</v>
      </c>
      <c r="U235" s="13">
        <f t="shared" si="37"/>
        <v>0.11280541657053399</v>
      </c>
      <c r="V235" s="13">
        <f t="shared" si="38"/>
        <v>5.0809904958106388E-8</v>
      </c>
      <c r="W235" s="13">
        <f t="shared" si="43"/>
        <v>5.0809904958106388E-8</v>
      </c>
      <c r="X235" s="13">
        <v>0</v>
      </c>
      <c r="Y235" s="13">
        <v>0</v>
      </c>
      <c r="Z235" s="13">
        <v>0</v>
      </c>
      <c r="AA235" s="13">
        <f t="shared" si="44"/>
        <v>1.1243561968986636E-3</v>
      </c>
      <c r="AB235" s="13">
        <f t="shared" si="45"/>
        <v>653.04891445832311</v>
      </c>
      <c r="AC235" s="13">
        <f t="shared" si="39"/>
        <v>653.05003886532995</v>
      </c>
      <c r="AD235" s="13">
        <f t="shared" si="40"/>
        <v>1.3179341226398043E-3</v>
      </c>
      <c r="AE235" s="13">
        <f t="shared" si="35"/>
        <v>7.2994343255011946E-8</v>
      </c>
      <c r="AF235" s="13">
        <f t="shared" si="41"/>
        <v>7.9725310837631497E-8</v>
      </c>
      <c r="AG235" s="13">
        <f t="shared" si="42"/>
        <v>4.0679094525923829E-8</v>
      </c>
      <c r="AH235" s="10"/>
      <c r="AI235" s="13">
        <f t="shared" si="36"/>
        <v>2.686472444329381E-10</v>
      </c>
      <c r="AJ235" s="10"/>
      <c r="AK235" s="10"/>
      <c r="AL235" s="10"/>
      <c r="AM235" s="10"/>
      <c r="AN235" s="10"/>
    </row>
    <row r="236" spans="19:40">
      <c r="S236" s="10"/>
      <c r="T236" s="12">
        <v>230</v>
      </c>
      <c r="U236" s="13">
        <f t="shared" si="37"/>
        <v>0.11289008805298482</v>
      </c>
      <c r="V236" s="13">
        <f t="shared" si="38"/>
        <v>4.5065060636226927E-8</v>
      </c>
      <c r="W236" s="13">
        <f t="shared" si="43"/>
        <v>4.5065060636226927E-8</v>
      </c>
      <c r="X236" s="13">
        <v>0</v>
      </c>
      <c r="Y236" s="13">
        <v>0</v>
      </c>
      <c r="Z236" s="13">
        <v>0</v>
      </c>
      <c r="AA236" s="13">
        <f t="shared" si="44"/>
        <v>1.0535749095945777E-3</v>
      </c>
      <c r="AB236" s="13">
        <f t="shared" si="45"/>
        <v>653.0489852453552</v>
      </c>
      <c r="AC236" s="13">
        <f t="shared" si="39"/>
        <v>653.05003886532984</v>
      </c>
      <c r="AD236" s="13">
        <f t="shared" si="40"/>
        <v>1.2313167187232763E-3</v>
      </c>
      <c r="AE236" s="13">
        <f t="shared" si="35"/>
        <v>6.8197423812390555E-8</v>
      </c>
      <c r="AF236" s="13">
        <f t="shared" si="41"/>
        <v>7.4706115530724839E-8</v>
      </c>
      <c r="AG236" s="13">
        <f t="shared" si="42"/>
        <v>3.8005768882223548E-8</v>
      </c>
      <c r="AH236" s="10"/>
      <c r="AI236" s="13">
        <f t="shared" si="36"/>
        <v>2.3997899106239276E-10</v>
      </c>
      <c r="AJ236" s="10"/>
      <c r="AK236" s="10"/>
      <c r="AL236" s="10"/>
      <c r="AM236" s="10"/>
      <c r="AN236" s="10"/>
    </row>
    <row r="237" spans="19:40">
      <c r="S237" s="10"/>
      <c r="T237" s="12">
        <v>231</v>
      </c>
      <c r="U237" s="13">
        <f t="shared" si="37"/>
        <v>0.11297445533712268</v>
      </c>
      <c r="V237" s="13">
        <f t="shared" si="38"/>
        <v>3.9965957655502828E-8</v>
      </c>
      <c r="W237" s="13">
        <f t="shared" si="43"/>
        <v>3.9965957655502828E-8</v>
      </c>
      <c r="X237" s="13">
        <v>0</v>
      </c>
      <c r="Y237" s="13">
        <v>0</v>
      </c>
      <c r="Z237" s="13">
        <v>0</v>
      </c>
      <c r="AA237" s="13">
        <f t="shared" si="44"/>
        <v>9.8724921361684486E-4</v>
      </c>
      <c r="AB237" s="13">
        <f t="shared" si="45"/>
        <v>653.0490515761503</v>
      </c>
      <c r="AC237" s="13">
        <f t="shared" si="39"/>
        <v>653.05003886532984</v>
      </c>
      <c r="AD237" s="13">
        <f t="shared" si="40"/>
        <v>1.1503921762703901E-3</v>
      </c>
      <c r="AE237" s="13">
        <f t="shared" si="35"/>
        <v>6.3715729935104279E-8</v>
      </c>
      <c r="AF237" s="13">
        <f t="shared" si="41"/>
        <v>7.0002902227160469E-8</v>
      </c>
      <c r="AG237" s="13">
        <f t="shared" si="42"/>
        <v>3.550812378496934E-8</v>
      </c>
      <c r="AH237" s="10"/>
      <c r="AI237" s="13">
        <f t="shared" si="36"/>
        <v>2.1435190606912489E-10</v>
      </c>
      <c r="AJ237" s="10"/>
      <c r="AK237" s="10"/>
      <c r="AL237" s="10"/>
      <c r="AM237" s="10"/>
      <c r="AN237" s="10"/>
    </row>
    <row r="238" spans="19:40">
      <c r="S238" s="10"/>
      <c r="T238" s="12">
        <v>232</v>
      </c>
      <c r="U238" s="13">
        <f t="shared" si="37"/>
        <v>0.11305852082564406</v>
      </c>
      <c r="V238" s="13">
        <f t="shared" si="38"/>
        <v>3.5440457442780301E-8</v>
      </c>
      <c r="W238" s="13">
        <f t="shared" si="43"/>
        <v>3.5440457442780301E-8</v>
      </c>
      <c r="X238" s="13">
        <v>0</v>
      </c>
      <c r="Y238" s="13">
        <v>0</v>
      </c>
      <c r="Z238" s="13">
        <v>0</v>
      </c>
      <c r="AA238" s="13">
        <f t="shared" si="44"/>
        <v>9.250986666416778E-4</v>
      </c>
      <c r="AB238" s="13">
        <f t="shared" si="45"/>
        <v>653.04911373122286</v>
      </c>
      <c r="AC238" s="13">
        <f t="shared" si="39"/>
        <v>653.05003886532995</v>
      </c>
      <c r="AD238" s="13">
        <f t="shared" si="40"/>
        <v>1.0747863160716071E-3</v>
      </c>
      <c r="AE238" s="13">
        <f t="shared" si="35"/>
        <v>5.9528548015764439E-8</v>
      </c>
      <c r="AF238" s="13">
        <f t="shared" si="41"/>
        <v>6.5595779158759722E-8</v>
      </c>
      <c r="AG238" s="13">
        <f t="shared" si="42"/>
        <v>3.3174614602245157E-8</v>
      </c>
      <c r="AH238" s="10"/>
      <c r="AI238" s="13">
        <f t="shared" si="36"/>
        <v>1.9144538501380873E-10</v>
      </c>
      <c r="AJ238" s="10"/>
      <c r="AK238" s="10"/>
      <c r="AL238" s="10"/>
      <c r="AM238" s="10"/>
      <c r="AN238" s="10"/>
    </row>
    <row r="239" spans="19:40">
      <c r="S239" s="10"/>
      <c r="T239" s="12">
        <v>233</v>
      </c>
      <c r="U239" s="13">
        <f t="shared" si="37"/>
        <v>0.11314228689201157</v>
      </c>
      <c r="V239" s="13">
        <f t="shared" si="38"/>
        <v>3.1424428443139257E-8</v>
      </c>
      <c r="W239" s="13">
        <f t="shared" si="43"/>
        <v>3.1424428443139257E-8</v>
      </c>
      <c r="X239" s="13">
        <v>0</v>
      </c>
      <c r="Y239" s="13">
        <v>0</v>
      </c>
      <c r="Z239" s="13">
        <v>0</v>
      </c>
      <c r="AA239" s="13">
        <f t="shared" si="44"/>
        <v>8.66860474390302E-4</v>
      </c>
      <c r="AB239" s="13">
        <f t="shared" si="45"/>
        <v>653.04917197343116</v>
      </c>
      <c r="AC239" s="13">
        <f t="shared" si="39"/>
        <v>653.05003886532995</v>
      </c>
      <c r="AD239" s="13">
        <f t="shared" si="40"/>
        <v>1.0041495551221633E-3</v>
      </c>
      <c r="AE239" s="13">
        <f t="shared" si="35"/>
        <v>5.5616525413335983E-8</v>
      </c>
      <c r="AF239" s="13">
        <f t="shared" si="41"/>
        <v>6.1466106700051016E-8</v>
      </c>
      <c r="AG239" s="13">
        <f t="shared" si="42"/>
        <v>3.0994455296607462E-8</v>
      </c>
      <c r="AH239" s="10"/>
      <c r="AI239" s="13">
        <f t="shared" si="36"/>
        <v>1.7097240060094146E-10</v>
      </c>
      <c r="AJ239" s="10"/>
      <c r="AK239" s="10"/>
      <c r="AL239" s="10"/>
      <c r="AM239" s="10"/>
      <c r="AN239" s="10"/>
    </row>
    <row r="240" spans="19:40">
      <c r="S240" s="10"/>
      <c r="T240" s="12">
        <v>234</v>
      </c>
      <c r="U240" s="13">
        <f t="shared" si="37"/>
        <v>0.11322575588093305</v>
      </c>
      <c r="V240" s="13">
        <f t="shared" si="38"/>
        <v>2.786086340683269E-8</v>
      </c>
      <c r="W240" s="13">
        <f t="shared" si="43"/>
        <v>2.786086340683269E-8</v>
      </c>
      <c r="X240" s="13">
        <v>0</v>
      </c>
      <c r="Y240" s="13">
        <v>0</v>
      </c>
      <c r="Z240" s="13">
        <v>0</v>
      </c>
      <c r="AA240" s="13">
        <f t="shared" si="44"/>
        <v>8.1228838042769487E-4</v>
      </c>
      <c r="AB240" s="13">
        <f t="shared" si="45"/>
        <v>653.04922654908864</v>
      </c>
      <c r="AC240" s="13">
        <f t="shared" si="39"/>
        <v>653.05003886532995</v>
      </c>
      <c r="AD240" s="13">
        <f t="shared" si="40"/>
        <v>9.3815528957832896E-4</v>
      </c>
      <c r="AE240" s="13">
        <f t="shared" si="35"/>
        <v>5.1961581047310027E-8</v>
      </c>
      <c r="AF240" s="13">
        <f t="shared" si="41"/>
        <v>5.7596418558473025E-8</v>
      </c>
      <c r="AG240" s="13">
        <f t="shared" si="42"/>
        <v>2.8957568583395003E-8</v>
      </c>
      <c r="AH240" s="10"/>
      <c r="AI240" s="13">
        <f t="shared" si="36"/>
        <v>1.5267601045635461E-10</v>
      </c>
      <c r="AJ240" s="10"/>
      <c r="AK240" s="10"/>
      <c r="AL240" s="10"/>
      <c r="AM240" s="10"/>
      <c r="AN240" s="10"/>
    </row>
    <row r="241" spans="19:40">
      <c r="S241" s="10"/>
      <c r="T241" s="12">
        <v>235</v>
      </c>
      <c r="U241" s="13">
        <f t="shared" si="37"/>
        <v>0.11330893010883125</v>
      </c>
      <c r="V241" s="13">
        <f t="shared" si="38"/>
        <v>2.4699093291966409E-8</v>
      </c>
      <c r="W241" s="13">
        <f t="shared" si="43"/>
        <v>2.4699093291966409E-8</v>
      </c>
      <c r="X241" s="13">
        <v>0</v>
      </c>
      <c r="Y241" s="13">
        <v>0</v>
      </c>
      <c r="Z241" s="13">
        <v>0</v>
      </c>
      <c r="AA241" s="13">
        <f t="shared" si="44"/>
        <v>7.6115162576072379E-4</v>
      </c>
      <c r="AB241" s="13">
        <f t="shared" si="45"/>
        <v>653.04927768900507</v>
      </c>
      <c r="AC241" s="13">
        <f t="shared" si="39"/>
        <v>653.05003886532995</v>
      </c>
      <c r="AD241" s="13">
        <f t="shared" si="40"/>
        <v>8.7649838405013769E-4</v>
      </c>
      <c r="AE241" s="13">
        <f t="shared" si="35"/>
        <v>4.8546821863517271E-8</v>
      </c>
      <c r="AF241" s="13">
        <f t="shared" si="41"/>
        <v>5.3970347923779169E-8</v>
      </c>
      <c r="AG241" s="13">
        <f t="shared" si="42"/>
        <v>2.7054539363167522E-8</v>
      </c>
      <c r="AH241" s="10"/>
      <c r="AI241" s="13">
        <f t="shared" si="36"/>
        <v>1.3632622545290159E-10</v>
      </c>
      <c r="AJ241" s="10"/>
      <c r="AK241" s="10"/>
      <c r="AL241" s="10"/>
      <c r="AM241" s="10"/>
      <c r="AN241" s="10"/>
    </row>
    <row r="242" spans="19:40">
      <c r="S242" s="10"/>
      <c r="T242" s="12">
        <v>236</v>
      </c>
      <c r="U242" s="13">
        <f t="shared" si="37"/>
        <v>0.11339181186430387</v>
      </c>
      <c r="V242" s="13">
        <f t="shared" si="38"/>
        <v>2.1894087288223552E-8</v>
      </c>
      <c r="W242" s="13">
        <f t="shared" si="43"/>
        <v>2.1894087288223552E-8</v>
      </c>
      <c r="X242" s="13">
        <v>0</v>
      </c>
      <c r="Y242" s="13">
        <v>0</v>
      </c>
      <c r="Z242" s="13">
        <v>0</v>
      </c>
      <c r="AA242" s="13">
        <f t="shared" si="44"/>
        <v>7.1323397385174097E-4</v>
      </c>
      <c r="AB242" s="13">
        <f t="shared" si="45"/>
        <v>653.04932560946202</v>
      </c>
      <c r="AC242" s="13">
        <f t="shared" si="39"/>
        <v>653.05003886532995</v>
      </c>
      <c r="AD242" s="13">
        <f t="shared" si="40"/>
        <v>8.188937602351383E-4</v>
      </c>
      <c r="AE242" s="13">
        <f t="shared" si="35"/>
        <v>4.5356464786154898E-8</v>
      </c>
      <c r="AF242" s="13">
        <f t="shared" si="41"/>
        <v>5.0572558264698217E-8</v>
      </c>
      <c r="AG242" s="13">
        <f t="shared" si="42"/>
        <v>2.5276571213262098E-8</v>
      </c>
      <c r="AH242" s="10"/>
      <c r="AI242" s="13">
        <f t="shared" si="36"/>
        <v>1.2171720165039862E-10</v>
      </c>
      <c r="AJ242" s="10"/>
      <c r="AK242" s="10"/>
      <c r="AL242" s="10"/>
      <c r="AM242" s="10"/>
      <c r="AN242" s="10"/>
    </row>
    <row r="243" spans="19:40">
      <c r="S243" s="10"/>
      <c r="T243" s="12">
        <v>237</v>
      </c>
      <c r="U243" s="13">
        <f t="shared" si="37"/>
        <v>0.11347440340857388</v>
      </c>
      <c r="V243" s="13">
        <f t="shared" si="38"/>
        <v>1.9405829597711443E-8</v>
      </c>
      <c r="W243" s="13">
        <f t="shared" si="43"/>
        <v>1.9405829597711443E-8</v>
      </c>
      <c r="X243" s="13">
        <v>0</v>
      </c>
      <c r="Y243" s="13">
        <v>0</v>
      </c>
      <c r="Z243" s="13">
        <v>0</v>
      </c>
      <c r="AA243" s="13">
        <f t="shared" si="44"/>
        <v>6.6833279693857004E-4</v>
      </c>
      <c r="AB243" s="13">
        <f t="shared" si="45"/>
        <v>653.0493705131272</v>
      </c>
      <c r="AC243" s="13">
        <f t="shared" si="39"/>
        <v>653.05003886532995</v>
      </c>
      <c r="AD243" s="13">
        <f t="shared" si="40"/>
        <v>7.6507507835821514E-4</v>
      </c>
      <c r="AE243" s="13">
        <f t="shared" si="35"/>
        <v>4.2375763795880233E-8</v>
      </c>
      <c r="AF243" s="13">
        <f t="shared" si="41"/>
        <v>4.7388678480515218E-8</v>
      </c>
      <c r="AG243" s="13">
        <f t="shared" si="42"/>
        <v>2.3615445737567481E-8</v>
      </c>
      <c r="AH243" s="10"/>
      <c r="AI243" s="13">
        <f t="shared" si="36"/>
        <v>1.0866472266812245E-10</v>
      </c>
      <c r="AJ243" s="10"/>
      <c r="AK243" s="10"/>
      <c r="AL243" s="10"/>
      <c r="AM243" s="10"/>
      <c r="AN243" s="10"/>
    </row>
    <row r="244" spans="19:40">
      <c r="S244" s="10"/>
      <c r="T244" s="12">
        <v>238</v>
      </c>
      <c r="U244" s="13">
        <f t="shared" si="37"/>
        <v>0.113556706975931</v>
      </c>
      <c r="V244" s="13">
        <f t="shared" si="38"/>
        <v>1.719876461899277E-8</v>
      </c>
      <c r="W244" s="13">
        <f t="shared" si="43"/>
        <v>1.719876461899277E-8</v>
      </c>
      <c r="X244" s="13">
        <v>0</v>
      </c>
      <c r="Y244" s="13">
        <v>0</v>
      </c>
      <c r="Z244" s="13">
        <v>0</v>
      </c>
      <c r="AA244" s="13">
        <f t="shared" si="44"/>
        <v>6.2625821980950716E-4</v>
      </c>
      <c r="AB244" s="13">
        <f t="shared" si="45"/>
        <v>653.04941258991141</v>
      </c>
      <c r="AC244" s="13">
        <f t="shared" si="39"/>
        <v>653.05003886532995</v>
      </c>
      <c r="AD244" s="13">
        <f t="shared" si="40"/>
        <v>7.1479350531267324E-4</v>
      </c>
      <c r="AE244" s="13">
        <f t="shared" si="35"/>
        <v>3.9590941797447458E-8</v>
      </c>
      <c r="AF244" s="13">
        <f t="shared" si="41"/>
        <v>4.4405242133615097E-8</v>
      </c>
      <c r="AG244" s="13">
        <f t="shared" si="42"/>
        <v>2.2063484586803964E-8</v>
      </c>
      <c r="AH244" s="10"/>
      <c r="AI244" s="13">
        <f t="shared" si="36"/>
        <v>9.7003942681996859E-11</v>
      </c>
      <c r="AJ244" s="10"/>
      <c r="AK244" s="10"/>
      <c r="AL244" s="10"/>
      <c r="AM244" s="10"/>
      <c r="AN244" s="10"/>
    </row>
    <row r="245" spans="19:40">
      <c r="S245" s="10"/>
      <c r="T245" s="12">
        <v>239</v>
      </c>
      <c r="U245" s="13">
        <f t="shared" si="37"/>
        <v>0.11363872477416403</v>
      </c>
      <c r="V245" s="13">
        <f t="shared" si="38"/>
        <v>1.5241303082342628E-8</v>
      </c>
      <c r="W245" s="13">
        <f t="shared" si="43"/>
        <v>1.5241303082342628E-8</v>
      </c>
      <c r="X245" s="13">
        <v>0</v>
      </c>
      <c r="Y245" s="13">
        <v>0</v>
      </c>
      <c r="Z245" s="13">
        <v>0</v>
      </c>
      <c r="AA245" s="13">
        <f t="shared" si="44"/>
        <v>5.8683231742353377E-4</v>
      </c>
      <c r="AB245" s="13">
        <f t="shared" si="45"/>
        <v>653.04945201777127</v>
      </c>
      <c r="AC245" s="13">
        <f t="shared" si="39"/>
        <v>653.05003886532995</v>
      </c>
      <c r="AD245" s="13">
        <f t="shared" si="40"/>
        <v>6.6781656379959729E-4</v>
      </c>
      <c r="AE245" s="13">
        <f t="shared" si="35"/>
        <v>3.698912696244048E-8</v>
      </c>
      <c r="AF245" s="13">
        <f t="shared" si="41"/>
        <v>4.1609630506254375E-8</v>
      </c>
      <c r="AG245" s="13">
        <f t="shared" si="42"/>
        <v>2.0613513973918217E-8</v>
      </c>
      <c r="AH245" s="10"/>
      <c r="AI245" s="13">
        <f t="shared" si="36"/>
        <v>8.6587363272984199E-11</v>
      </c>
      <c r="AJ245" s="10"/>
      <c r="AK245" s="10"/>
      <c r="AL245" s="10"/>
      <c r="AM245" s="10"/>
      <c r="AN245" s="10"/>
    </row>
    <row r="246" spans="19:40">
      <c r="S246" s="10"/>
      <c r="T246" s="12">
        <v>240</v>
      </c>
      <c r="U246" s="13">
        <f t="shared" si="37"/>
        <v>0.11372045898498474</v>
      </c>
      <c r="V246" s="13">
        <f t="shared" si="38"/>
        <v>1.3505382489690948E-8</v>
      </c>
      <c r="W246" s="13">
        <f t="shared" si="43"/>
        <v>1.3505382489690948E-8</v>
      </c>
      <c r="X246" s="13">
        <v>0</v>
      </c>
      <c r="Y246" s="13">
        <v>0</v>
      </c>
      <c r="Z246" s="13">
        <v>0</v>
      </c>
      <c r="AA246" s="13">
        <f t="shared" si="44"/>
        <v>5.4988836299239884E-4</v>
      </c>
      <c r="AB246" s="13">
        <f t="shared" si="45"/>
        <v>653.04948896346173</v>
      </c>
      <c r="AC246" s="13">
        <f t="shared" si="39"/>
        <v>653.05003886533007</v>
      </c>
      <c r="AD246" s="13">
        <f t="shared" si="40"/>
        <v>6.2392705713783107E-4</v>
      </c>
      <c r="AE246" s="13">
        <f t="shared" si="35"/>
        <v>3.4558293253284121E-8</v>
      </c>
      <c r="AF246" s="13">
        <f t="shared" si="41"/>
        <v>3.8990019240969131E-8</v>
      </c>
      <c r="AG246" s="13">
        <f t="shared" si="42"/>
        <v>1.9258831520716158E-8</v>
      </c>
      <c r="AH246" s="10"/>
      <c r="AI246" s="13">
        <f t="shared" si="36"/>
        <v>7.7283020081020766E-11</v>
      </c>
      <c r="AJ246" s="10"/>
      <c r="AK246" s="10"/>
      <c r="AL246" s="10"/>
      <c r="AM246" s="10"/>
      <c r="AN246" s="10"/>
    </row>
    <row r="247" spans="19:40">
      <c r="S247" s="10"/>
      <c r="T247" s="12">
        <v>241</v>
      </c>
      <c r="U247" s="13">
        <f t="shared" si="37"/>
        <v>0.11380191176444285</v>
      </c>
      <c r="V247" s="13">
        <f t="shared" si="38"/>
        <v>1.1966075931810316E-8</v>
      </c>
      <c r="W247" s="13">
        <f t="shared" si="43"/>
        <v>1.1966075931810316E-8</v>
      </c>
      <c r="X247" s="13">
        <v>0</v>
      </c>
      <c r="Y247" s="13">
        <v>0</v>
      </c>
      <c r="Z247" s="13">
        <v>0</v>
      </c>
      <c r="AA247" s="13">
        <f t="shared" si="44"/>
        <v>5.1527012335351996E-4</v>
      </c>
      <c r="AB247" s="13">
        <f t="shared" si="45"/>
        <v>653.04952358324067</v>
      </c>
      <c r="AC247" s="13">
        <f t="shared" si="39"/>
        <v>653.05003886533007</v>
      </c>
      <c r="AD247" s="13">
        <f t="shared" si="40"/>
        <v>5.829220647675412E-4</v>
      </c>
      <c r="AE247" s="13">
        <f t="shared" si="35"/>
        <v>3.2287204853994323E-8</v>
      </c>
      <c r="AF247" s="13">
        <f t="shared" si="41"/>
        <v>3.6535328339155176E-8</v>
      </c>
      <c r="AG247" s="13">
        <f t="shared" si="42"/>
        <v>1.7993175282615799E-8</v>
      </c>
      <c r="AH247" s="10"/>
      <c r="AI247" s="13">
        <f t="shared" si="36"/>
        <v>6.8972857671324544E-11</v>
      </c>
      <c r="AJ247" s="10"/>
      <c r="AK247" s="10"/>
      <c r="AL247" s="10"/>
      <c r="AM247" s="10"/>
      <c r="AN247" s="10"/>
    </row>
    <row r="248" spans="19:40">
      <c r="S248" s="10"/>
      <c r="T248" s="12">
        <v>242</v>
      </c>
      <c r="U248" s="13">
        <f t="shared" si="37"/>
        <v>0.11388308524333307</v>
      </c>
      <c r="V248" s="13">
        <f t="shared" si="38"/>
        <v>1.0601243997259109E-8</v>
      </c>
      <c r="W248" s="13">
        <f t="shared" si="43"/>
        <v>1.0601243997259109E-8</v>
      </c>
      <c r="X248" s="13">
        <v>0</v>
      </c>
      <c r="Y248" s="13">
        <v>0</v>
      </c>
      <c r="Z248" s="13">
        <v>0</v>
      </c>
      <c r="AA248" s="13">
        <f t="shared" si="44"/>
        <v>4.8283119866165242E-4</v>
      </c>
      <c r="AB248" s="13">
        <f t="shared" si="45"/>
        <v>653.04955602353016</v>
      </c>
      <c r="AC248" s="13">
        <f t="shared" si="39"/>
        <v>653.05003886533007</v>
      </c>
      <c r="AD248" s="13">
        <f t="shared" si="40"/>
        <v>5.4461200379784234E-4</v>
      </c>
      <c r="AE248" s="13">
        <f t="shared" si="35"/>
        <v>3.0165364251142036E-8</v>
      </c>
      <c r="AF248" s="13">
        <f t="shared" si="41"/>
        <v>3.4235175306533979E-8</v>
      </c>
      <c r="AG248" s="13">
        <f t="shared" si="42"/>
        <v>1.6810694808454378E-8</v>
      </c>
      <c r="AH248" s="10"/>
      <c r="AI248" s="13">
        <f t="shared" si="36"/>
        <v>6.1551273224440442E-11</v>
      </c>
      <c r="AJ248" s="10"/>
      <c r="AK248" s="10"/>
      <c r="AL248" s="10"/>
      <c r="AM248" s="10"/>
      <c r="AN248" s="10"/>
    </row>
    <row r="249" spans="19:40">
      <c r="S249" s="10"/>
      <c r="T249" s="12">
        <v>243</v>
      </c>
      <c r="U249" s="13">
        <f t="shared" si="37"/>
        <v>0.11396398152759377</v>
      </c>
      <c r="V249" s="13">
        <f t="shared" si="38"/>
        <v>9.3912250605925566E-9</v>
      </c>
      <c r="W249" s="13">
        <f t="shared" si="43"/>
        <v>9.3912250605925566E-9</v>
      </c>
      <c r="X249" s="13">
        <v>0</v>
      </c>
      <c r="Y249" s="13">
        <v>0</v>
      </c>
      <c r="Z249" s="13">
        <v>0</v>
      </c>
      <c r="AA249" s="13">
        <f t="shared" si="44"/>
        <v>4.5243440361381754E-4</v>
      </c>
      <c r="AB249" s="13">
        <f t="shared" si="45"/>
        <v>653.0495864215352</v>
      </c>
      <c r="AC249" s="13">
        <f t="shared" si="39"/>
        <v>653.05003886533007</v>
      </c>
      <c r="AD249" s="13">
        <f t="shared" si="40"/>
        <v>5.0881975225492402E-4</v>
      </c>
      <c r="AE249" s="13">
        <f t="shared" si="35"/>
        <v>2.8182963725339561E-8</v>
      </c>
      <c r="AF249" s="13">
        <f t="shared" si="41"/>
        <v>3.2079831247505207E-8</v>
      </c>
      <c r="AG249" s="13">
        <f t="shared" si="42"/>
        <v>1.5705924101677756E-8</v>
      </c>
      <c r="AH249" s="10"/>
      <c r="AI249" s="13">
        <f t="shared" si="36"/>
        <v>5.4923811642728906E-11</v>
      </c>
      <c r="AJ249" s="10"/>
      <c r="AK249" s="10"/>
      <c r="AL249" s="10"/>
      <c r="AM249" s="10"/>
      <c r="AN249" s="10"/>
    </row>
    <row r="250" spans="19:40">
      <c r="S250" s="10"/>
      <c r="T250" s="12">
        <v>244</v>
      </c>
      <c r="U250" s="13">
        <f t="shared" si="37"/>
        <v>0.11404460269869804</v>
      </c>
      <c r="V250" s="13">
        <f t="shared" si="38"/>
        <v>8.3185597487492957E-9</v>
      </c>
      <c r="W250" s="13">
        <f t="shared" si="43"/>
        <v>8.3185597487492957E-9</v>
      </c>
      <c r="X250" s="13">
        <v>0</v>
      </c>
      <c r="Y250" s="13">
        <v>0</v>
      </c>
      <c r="Z250" s="13">
        <v>0</v>
      </c>
      <c r="AA250" s="13">
        <f t="shared" si="44"/>
        <v>4.2395118759684143E-4</v>
      </c>
      <c r="AB250" s="13">
        <f t="shared" si="45"/>
        <v>653.04961490582377</v>
      </c>
      <c r="AC250" s="13">
        <f t="shared" si="39"/>
        <v>653.05003886532995</v>
      </c>
      <c r="AD250" s="13">
        <f t="shared" si="40"/>
        <v>4.7537982997290329E-4</v>
      </c>
      <c r="AE250" s="13">
        <f t="shared" si="35"/>
        <v>2.6330840029287926E-8</v>
      </c>
      <c r="AF250" s="13">
        <f t="shared" si="41"/>
        <v>3.006017972283874E-8</v>
      </c>
      <c r="AG250" s="13">
        <f t="shared" si="42"/>
        <v>1.4673756358016583E-8</v>
      </c>
      <c r="AH250" s="10"/>
      <c r="AI250" s="13">
        <f t="shared" si="36"/>
        <v>4.9005996446576443E-11</v>
      </c>
      <c r="AJ250" s="10"/>
      <c r="AK250" s="10"/>
      <c r="AL250" s="10"/>
      <c r="AM250" s="10"/>
      <c r="AN250" s="10"/>
    </row>
    <row r="251" spans="19:40">
      <c r="S251" s="10"/>
      <c r="T251" s="12">
        <v>245</v>
      </c>
      <c r="U251" s="13">
        <f t="shared" si="37"/>
        <v>0.11412495081403665</v>
      </c>
      <c r="V251" s="13">
        <f t="shared" si="38"/>
        <v>7.3677458408735908E-9</v>
      </c>
      <c r="W251" s="13">
        <f t="shared" si="43"/>
        <v>7.3677458408735908E-9</v>
      </c>
      <c r="X251" s="13">
        <v>0</v>
      </c>
      <c r="Y251" s="13">
        <v>0</v>
      </c>
      <c r="Z251" s="13">
        <v>0</v>
      </c>
      <c r="AA251" s="13">
        <f t="shared" si="44"/>
        <v>3.9726109131075967E-4</v>
      </c>
      <c r="AB251" s="13">
        <f t="shared" si="45"/>
        <v>653.04964159687086</v>
      </c>
      <c r="AC251" s="13">
        <f t="shared" si="39"/>
        <v>653.05003886532995</v>
      </c>
      <c r="AD251" s="13">
        <f t="shared" si="40"/>
        <v>4.4413763333663026E-4</v>
      </c>
      <c r="AE251" s="13">
        <f t="shared" si="35"/>
        <v>2.4600432043123149E-8</v>
      </c>
      <c r="AF251" s="13">
        <f t="shared" si="41"/>
        <v>2.8167678196828505E-8</v>
      </c>
      <c r="AG251" s="13">
        <f t="shared" si="42"/>
        <v>1.3709420362954905E-8</v>
      </c>
      <c r="AH251" s="10"/>
      <c r="AI251" s="13">
        <f t="shared" si="36"/>
        <v>4.372228243374571E-11</v>
      </c>
      <c r="AJ251" s="10"/>
      <c r="AK251" s="10"/>
      <c r="AL251" s="10"/>
      <c r="AM251" s="10"/>
      <c r="AN251" s="10"/>
    </row>
    <row r="252" spans="19:40">
      <c r="S252" s="10"/>
      <c r="T252" s="12">
        <v>246</v>
      </c>
      <c r="U252" s="13">
        <f t="shared" si="37"/>
        <v>0.11420502790729375</v>
      </c>
      <c r="V252" s="13">
        <f t="shared" si="38"/>
        <v>6.5250202640163078E-9</v>
      </c>
      <c r="W252" s="13">
        <f t="shared" si="43"/>
        <v>6.5250202640163078E-9</v>
      </c>
      <c r="X252" s="13">
        <v>0</v>
      </c>
      <c r="Y252" s="13">
        <v>0</v>
      </c>
      <c r="Z252" s="13">
        <v>0</v>
      </c>
      <c r="AA252" s="13">
        <f t="shared" si="44"/>
        <v>3.7225123757497915E-4</v>
      </c>
      <c r="AB252" s="13">
        <f t="shared" si="45"/>
        <v>653.04966660756725</v>
      </c>
      <c r="AC252" s="13">
        <f t="shared" si="39"/>
        <v>653.05003886532984</v>
      </c>
      <c r="AD252" s="13">
        <f t="shared" si="40"/>
        <v>4.1494872033505988E-4</v>
      </c>
      <c r="AE252" s="13">
        <f t="shared" si="35"/>
        <v>2.2983741211533799E-8</v>
      </c>
      <c r="AF252" s="13">
        <f t="shared" si="41"/>
        <v>2.6394321910967329E-8</v>
      </c>
      <c r="AG252" s="13">
        <f t="shared" si="42"/>
        <v>1.2808458439960009E-8</v>
      </c>
      <c r="AH252" s="10"/>
      <c r="AI252" s="13">
        <f t="shared" si="36"/>
        <v>3.9005117512728202E-11</v>
      </c>
      <c r="AJ252" s="10"/>
      <c r="AK252" s="10"/>
      <c r="AL252" s="10"/>
      <c r="AM252" s="10"/>
      <c r="AN252" s="10"/>
    </row>
    <row r="253" spans="19:40">
      <c r="S253" s="10"/>
      <c r="T253" s="12">
        <v>247</v>
      </c>
      <c r="U253" s="13">
        <f t="shared" si="37"/>
        <v>0.11428483598881524</v>
      </c>
      <c r="V253" s="13">
        <f t="shared" si="38"/>
        <v>5.7781652104226612E-9</v>
      </c>
      <c r="W253" s="13">
        <f t="shared" si="43"/>
        <v>5.7781652104226612E-9</v>
      </c>
      <c r="X253" s="13">
        <v>0</v>
      </c>
      <c r="Y253" s="13">
        <v>0</v>
      </c>
      <c r="Z253" s="13">
        <v>0</v>
      </c>
      <c r="AA253" s="13">
        <f t="shared" si="44"/>
        <v>3.4881585416809372E-4</v>
      </c>
      <c r="AB253" s="13">
        <f t="shared" si="45"/>
        <v>653.04969004369752</v>
      </c>
      <c r="AC253" s="13">
        <f t="shared" si="39"/>
        <v>653.05003886532984</v>
      </c>
      <c r="AD253" s="13">
        <f t="shared" si="40"/>
        <v>3.87678142616794E-4</v>
      </c>
      <c r="AE253" s="13">
        <f t="shared" si="35"/>
        <v>2.1473294579957117E-8</v>
      </c>
      <c r="AF253" s="13">
        <f t="shared" si="41"/>
        <v>2.4732610031450001E-8</v>
      </c>
      <c r="AG253" s="13">
        <f t="shared" si="42"/>
        <v>1.1966705847601461E-8</v>
      </c>
      <c r="AH253" s="10"/>
      <c r="AI253" s="13">
        <f t="shared" si="36"/>
        <v>3.4794102412512483E-11</v>
      </c>
      <c r="AJ253" s="10"/>
      <c r="AK253" s="10"/>
      <c r="AL253" s="10"/>
      <c r="AM253" s="10"/>
      <c r="AN253" s="10"/>
    </row>
    <row r="254" spans="19:40">
      <c r="S254" s="10"/>
      <c r="T254" s="12">
        <v>248</v>
      </c>
      <c r="U254" s="13">
        <f t="shared" si="37"/>
        <v>0.11436437704596966</v>
      </c>
      <c r="V254" s="13">
        <f t="shared" si="38"/>
        <v>5.1163357261579214E-9</v>
      </c>
      <c r="W254" s="13">
        <f t="shared" si="43"/>
        <v>5.1163357261579214E-9</v>
      </c>
      <c r="X254" s="13">
        <v>0</v>
      </c>
      <c r="Y254" s="13">
        <v>0</v>
      </c>
      <c r="Z254" s="13">
        <v>0</v>
      </c>
      <c r="AA254" s="13">
        <f t="shared" si="44"/>
        <v>3.2685582668723161E-4</v>
      </c>
      <c r="AB254" s="13">
        <f t="shared" si="45"/>
        <v>653.04971200438683</v>
      </c>
      <c r="AC254" s="13">
        <f t="shared" si="39"/>
        <v>653.05003886532984</v>
      </c>
      <c r="AD254" s="13">
        <f t="shared" si="40"/>
        <v>3.6219982145704513E-4</v>
      </c>
      <c r="AE254" s="13">
        <f t="shared" si="35"/>
        <v>2.0062110259153201E-8</v>
      </c>
      <c r="AF254" s="13">
        <f t="shared" si="41"/>
        <v>2.3175513927417504E-8</v>
      </c>
      <c r="AG254" s="13">
        <f t="shared" si="42"/>
        <v>1.1180271530378245E-8</v>
      </c>
      <c r="AH254" s="10"/>
      <c r="AI254" s="13">
        <f t="shared" si="36"/>
        <v>3.103523813125713E-11</v>
      </c>
      <c r="AJ254" s="10"/>
      <c r="AK254" s="10"/>
      <c r="AL254" s="10"/>
      <c r="AM254" s="10"/>
      <c r="AN254" s="10"/>
    </row>
    <row r="255" spans="19:40">
      <c r="S255" s="10"/>
      <c r="T255" s="12">
        <v>249</v>
      </c>
      <c r="U255" s="13">
        <f t="shared" si="37"/>
        <v>0.11444365304350233</v>
      </c>
      <c r="V255" s="13">
        <f t="shared" si="38"/>
        <v>4.5299064098422307E-9</v>
      </c>
      <c r="W255" s="13">
        <f t="shared" si="43"/>
        <v>4.5299064098422307E-9</v>
      </c>
      <c r="X255" s="13">
        <v>0</v>
      </c>
      <c r="Y255" s="13">
        <v>0</v>
      </c>
      <c r="Z255" s="13">
        <v>0</v>
      </c>
      <c r="AA255" s="13">
        <f t="shared" si="44"/>
        <v>3.0627827953932658E-4</v>
      </c>
      <c r="AB255" s="13">
        <f t="shared" si="45"/>
        <v>653.04973258252039</v>
      </c>
      <c r="AC255" s="13">
        <f t="shared" si="39"/>
        <v>653.05003886532984</v>
      </c>
      <c r="AD255" s="13">
        <f t="shared" si="40"/>
        <v>3.3839596474858556E-4</v>
      </c>
      <c r="AE255" s="13">
        <f t="shared" si="35"/>
        <v>1.8743665158663004E-8</v>
      </c>
      <c r="AF255" s="13">
        <f t="shared" si="41"/>
        <v>2.1716447445855562E-8</v>
      </c>
      <c r="AG255" s="13">
        <f t="shared" si="42"/>
        <v>1.0445520134323088E-8</v>
      </c>
      <c r="AH255" s="10"/>
      <c r="AI255" s="13">
        <f t="shared" si="36"/>
        <v>2.7680252028249024E-11</v>
      </c>
      <c r="AJ255" s="10"/>
      <c r="AK255" s="10"/>
      <c r="AL255" s="10"/>
      <c r="AM255" s="10"/>
      <c r="AN255" s="10"/>
    </row>
    <row r="256" spans="19:40">
      <c r="S256" s="10"/>
      <c r="T256" s="12">
        <v>250</v>
      </c>
      <c r="U256" s="13">
        <f t="shared" si="37"/>
        <v>0.11452266592388265</v>
      </c>
      <c r="V256" s="13">
        <f t="shared" si="38"/>
        <v>4.0103351180156555E-9</v>
      </c>
      <c r="W256" s="13">
        <f t="shared" si="43"/>
        <v>4.0103351180156555E-9</v>
      </c>
      <c r="X256" s="13">
        <v>0</v>
      </c>
      <c r="Y256" s="13">
        <v>0</v>
      </c>
      <c r="Z256" s="13">
        <v>0</v>
      </c>
      <c r="AA256" s="13">
        <f t="shared" si="44"/>
        <v>2.8699618329528843E-4</v>
      </c>
      <c r="AB256" s="13">
        <f t="shared" si="45"/>
        <v>653.04975186513616</v>
      </c>
      <c r="AC256" s="13">
        <f t="shared" si="39"/>
        <v>653.05003886532984</v>
      </c>
      <c r="AD256" s="13">
        <f t="shared" si="40"/>
        <v>3.1615652231918405E-4</v>
      </c>
      <c r="AE256" s="13">
        <f t="shared" si="35"/>
        <v>1.7511864840126778E-8</v>
      </c>
      <c r="AF256" s="13">
        <f t="shared" si="41"/>
        <v>2.0349239057495997E-8</v>
      </c>
      <c r="AG256" s="13">
        <f t="shared" si="42"/>
        <v>9.759055204293965E-9</v>
      </c>
      <c r="AH256" s="10"/>
      <c r="AI256" s="13">
        <f t="shared" si="36"/>
        <v>2.46859943993232E-11</v>
      </c>
      <c r="AJ256" s="10"/>
      <c r="AK256" s="10"/>
      <c r="AL256" s="10"/>
      <c r="AM256" s="10"/>
      <c r="AN256" s="10"/>
    </row>
    <row r="257" spans="19:40">
      <c r="S257" s="10"/>
      <c r="T257" s="12">
        <v>251</v>
      </c>
      <c r="U257" s="13">
        <f t="shared" si="37"/>
        <v>0.11460141760764443</v>
      </c>
      <c r="V257" s="13">
        <f t="shared" si="38"/>
        <v>3.5500418034894184E-9</v>
      </c>
      <c r="W257" s="13">
        <f t="shared" si="43"/>
        <v>3.5500418034894184E-9</v>
      </c>
      <c r="X257" s="13">
        <v>0</v>
      </c>
      <c r="Y257" s="13">
        <v>0</v>
      </c>
      <c r="Z257" s="13">
        <v>0</v>
      </c>
      <c r="AA257" s="13">
        <f t="shared" si="44"/>
        <v>2.6892798674919312E-4</v>
      </c>
      <c r="AB257" s="13">
        <f t="shared" si="45"/>
        <v>653.04976993379296</v>
      </c>
      <c r="AC257" s="13">
        <f t="shared" si="39"/>
        <v>653.05003886532973</v>
      </c>
      <c r="AD257" s="13">
        <f t="shared" si="40"/>
        <v>2.9537867705546817E-4</v>
      </c>
      <c r="AE257" s="13">
        <f t="shared" si="35"/>
        <v>1.636101535122351E-8</v>
      </c>
      <c r="AF257" s="13">
        <f t="shared" si="41"/>
        <v>1.906810575597446E-8</v>
      </c>
      <c r="AG257" s="13">
        <f t="shared" si="42"/>
        <v>9.1177034853200198E-9</v>
      </c>
      <c r="AH257" s="10"/>
      <c r="AI257" s="13">
        <f t="shared" si="36"/>
        <v>2.2013898216110287E-11</v>
      </c>
      <c r="AJ257" s="10"/>
      <c r="AK257" s="10"/>
      <c r="AL257" s="10"/>
      <c r="AM257" s="10"/>
      <c r="AN257" s="10"/>
    </row>
    <row r="258" spans="19:40">
      <c r="S258" s="10"/>
      <c r="T258" s="12">
        <v>252</v>
      </c>
      <c r="U258" s="13">
        <f t="shared" si="37"/>
        <v>0.11467990999372007</v>
      </c>
      <c r="V258" s="13">
        <f t="shared" si="38"/>
        <v>3.1423008179568148E-9</v>
      </c>
      <c r="W258" s="13">
        <f t="shared" si="43"/>
        <v>3.1423008179568148E-9</v>
      </c>
      <c r="X258" s="13">
        <v>0</v>
      </c>
      <c r="Y258" s="13">
        <v>0</v>
      </c>
      <c r="Z258" s="13">
        <v>0</v>
      </c>
      <c r="AA258" s="13">
        <f t="shared" si="44"/>
        <v>2.5199727212878338E-4</v>
      </c>
      <c r="AB258" s="13">
        <f t="shared" si="45"/>
        <v>653.04978686491529</v>
      </c>
      <c r="AC258" s="13">
        <f t="shared" si="39"/>
        <v>653.05003886532973</v>
      </c>
      <c r="AD258" s="13">
        <f t="shared" si="40"/>
        <v>2.7596636947889891E-4</v>
      </c>
      <c r="AE258" s="13">
        <f t="shared" si="35"/>
        <v>1.5285796910134155E-8</v>
      </c>
      <c r="AF258" s="13">
        <f t="shared" si="41"/>
        <v>1.786762859990531E-8</v>
      </c>
      <c r="AG258" s="13">
        <f t="shared" si="42"/>
        <v>8.5185002554677949E-9</v>
      </c>
      <c r="AH258" s="10"/>
      <c r="AI258" s="13">
        <f t="shared" si="36"/>
        <v>1.9629495463930056E-11</v>
      </c>
      <c r="AJ258" s="10"/>
      <c r="AK258" s="10"/>
      <c r="AL258" s="10"/>
      <c r="AM258" s="10"/>
      <c r="AN258" s="10"/>
    </row>
    <row r="259" spans="19:40">
      <c r="S259" s="10"/>
      <c r="T259" s="12">
        <v>253</v>
      </c>
      <c r="U259" s="13">
        <f t="shared" si="37"/>
        <v>0.1147581449597679</v>
      </c>
      <c r="V259" s="13">
        <f t="shared" si="38"/>
        <v>2.7811451928167162E-9</v>
      </c>
      <c r="W259" s="13">
        <f t="shared" si="43"/>
        <v>2.7811451928167162E-9</v>
      </c>
      <c r="X259" s="13">
        <v>0</v>
      </c>
      <c r="Y259" s="13">
        <v>0</v>
      </c>
      <c r="Z259" s="13">
        <v>0</v>
      </c>
      <c r="AA259" s="13">
        <f t="shared" si="44"/>
        <v>2.3613243200120804E-4</v>
      </c>
      <c r="AB259" s="13">
        <f t="shared" si="45"/>
        <v>653.04980273011654</v>
      </c>
      <c r="AC259" s="13">
        <f t="shared" si="39"/>
        <v>653.05003886532973</v>
      </c>
      <c r="AD259" s="13">
        <f t="shared" si="40"/>
        <v>2.5782985357440289E-4</v>
      </c>
      <c r="AE259" s="13">
        <f t="shared" si="35"/>
        <v>1.4281239318973722E-8</v>
      </c>
      <c r="AF259" s="13">
        <f t="shared" si="41"/>
        <v>1.6742729794476994E-8</v>
      </c>
      <c r="AG259" s="13">
        <f t="shared" si="42"/>
        <v>7.9586756224581616E-9</v>
      </c>
      <c r="AH259" s="10"/>
      <c r="AI259" s="13">
        <f t="shared" si="36"/>
        <v>1.7501984190410653E-11</v>
      </c>
      <c r="AJ259" s="10"/>
      <c r="AK259" s="10"/>
      <c r="AL259" s="10"/>
      <c r="AM259" s="10"/>
      <c r="AN259" s="10"/>
    </row>
    <row r="260" spans="19:40">
      <c r="S260" s="10"/>
      <c r="T260" s="12">
        <v>254</v>
      </c>
      <c r="U260" s="13">
        <f t="shared" si="37"/>
        <v>0.1148361243624937</v>
      </c>
      <c r="V260" s="13">
        <f t="shared" si="38"/>
        <v>2.4612815749971591E-9</v>
      </c>
      <c r="W260" s="13">
        <f t="shared" si="43"/>
        <v>2.4612815749971591E-9</v>
      </c>
      <c r="X260" s="13">
        <v>0</v>
      </c>
      <c r="Y260" s="13">
        <v>0</v>
      </c>
      <c r="Z260" s="13">
        <v>0</v>
      </c>
      <c r="AA260" s="13">
        <f t="shared" si="44"/>
        <v>2.2126636650943572E-4</v>
      </c>
      <c r="AB260" s="13">
        <f t="shared" si="45"/>
        <v>653.04981759650184</v>
      </c>
      <c r="AC260" s="13">
        <f t="shared" si="39"/>
        <v>653.05003886532961</v>
      </c>
      <c r="AD260" s="13">
        <f t="shared" si="40"/>
        <v>2.4088528181685518E-4</v>
      </c>
      <c r="AE260" s="13">
        <f t="shared" si="35"/>
        <v>1.3342698992618764E-8</v>
      </c>
      <c r="AF260" s="13">
        <f t="shared" si="41"/>
        <v>1.568865121567631E-8</v>
      </c>
      <c r="AG260" s="13">
        <f t="shared" si="42"/>
        <v>7.4356417207155087E-9</v>
      </c>
      <c r="AH260" s="10"/>
      <c r="AI260" s="13">
        <f t="shared" si="36"/>
        <v>1.5603840984904161E-11</v>
      </c>
      <c r="AJ260" s="10"/>
      <c r="AK260" s="10"/>
      <c r="AL260" s="10"/>
      <c r="AM260" s="10"/>
      <c r="AN260" s="10"/>
    </row>
    <row r="261" spans="19:40">
      <c r="S261" s="10"/>
      <c r="T261" s="12">
        <v>255</v>
      </c>
      <c r="U261" s="13">
        <f t="shared" si="37"/>
        <v>0.11491385003796596</v>
      </c>
      <c r="V261" s="13">
        <f t="shared" si="38"/>
        <v>2.1780146396945247E-9</v>
      </c>
      <c r="W261" s="13">
        <f t="shared" si="43"/>
        <v>2.1780146396945247E-9</v>
      </c>
      <c r="X261" s="13">
        <v>0</v>
      </c>
      <c r="Y261" s="13">
        <v>0</v>
      </c>
      <c r="Z261" s="13">
        <v>0</v>
      </c>
      <c r="AA261" s="13">
        <f t="shared" si="44"/>
        <v>2.0733619966054406E-4</v>
      </c>
      <c r="AB261" s="13">
        <f t="shared" si="45"/>
        <v>653.04983152695195</v>
      </c>
      <c r="AC261" s="13">
        <f t="shared" si="39"/>
        <v>653.05003886532961</v>
      </c>
      <c r="AD261" s="13">
        <f t="shared" si="40"/>
        <v>2.2505431747574947E-4</v>
      </c>
      <c r="AE261" s="13">
        <f t="shared" si="35"/>
        <v>1.2465837496815103E-8</v>
      </c>
      <c r="AF261" s="13">
        <f t="shared" si="41"/>
        <v>1.4700934286346477E-8</v>
      </c>
      <c r="AG261" s="13">
        <f t="shared" si="42"/>
        <v>6.9469807496899063E-9</v>
      </c>
      <c r="AH261" s="10"/>
      <c r="AI261" s="13">
        <f t="shared" si="36"/>
        <v>1.3910474154447641E-11</v>
      </c>
      <c r="AJ261" s="10"/>
      <c r="AK261" s="10"/>
      <c r="AL261" s="10"/>
      <c r="AM261" s="10"/>
      <c r="AN261" s="10"/>
    </row>
    <row r="262" spans="19:40">
      <c r="S262" s="10"/>
      <c r="T262" s="12">
        <v>256</v>
      </c>
      <c r="U262" s="13">
        <f t="shared" si="37"/>
        <v>0.11499132380192506</v>
      </c>
      <c r="V262" s="13">
        <f t="shared" si="38"/>
        <v>1.9271799312749978E-9</v>
      </c>
      <c r="W262" s="13">
        <f t="shared" si="43"/>
        <v>1.9271799312749978E-9</v>
      </c>
      <c r="X262" s="13">
        <v>0</v>
      </c>
      <c r="Y262" s="13">
        <v>0</v>
      </c>
      <c r="Z262" s="13">
        <v>0</v>
      </c>
      <c r="AA262" s="13">
        <f t="shared" si="44"/>
        <v>1.9428301346746698E-4</v>
      </c>
      <c r="AB262" s="13">
        <f t="shared" si="45"/>
        <v>653.04984458038894</v>
      </c>
      <c r="AC262" s="13">
        <f t="shared" si="39"/>
        <v>653.05003886532961</v>
      </c>
      <c r="AD262" s="13">
        <f t="shared" si="40"/>
        <v>2.1026377240464123E-4</v>
      </c>
      <c r="AE262" s="13">
        <f t="shared" ref="AE262:AE325" si="46">(V262+AA262)/AC262/12/(1+rdis_Month)^T262</f>
        <v>1.1646601496418796E-8</v>
      </c>
      <c r="AF262" s="13">
        <f t="shared" si="41"/>
        <v>1.3775401118996881E-8</v>
      </c>
      <c r="AG262" s="13">
        <f t="shared" si="42"/>
        <v>6.4904337981791082E-9</v>
      </c>
      <c r="AH262" s="10"/>
      <c r="AI262" s="13">
        <f t="shared" ref="AI262:AI325" si="47">EXP(-lambda_capi*(T262^gamma_capi))</f>
        <v>1.2399913351749617E-11</v>
      </c>
      <c r="AJ262" s="10"/>
      <c r="AK262" s="10"/>
      <c r="AL262" s="10"/>
      <c r="AM262" s="10"/>
      <c r="AN262" s="10"/>
    </row>
    <row r="263" spans="19:40">
      <c r="S263" s="10"/>
      <c r="T263" s="12">
        <v>257</v>
      </c>
      <c r="U263" s="13">
        <f t="shared" ref="U263:U326" si="48">gamma_capi*lambda_capi*T263^(gamma_capi-1)</f>
        <v>0.11506854745008679</v>
      </c>
      <c r="V263" s="13">
        <f t="shared" ref="V263:V326" si="49">SUM(W263:Z263)</f>
        <v>1.7050841988249233E-9</v>
      </c>
      <c r="W263" s="13">
        <f t="shared" si="43"/>
        <v>1.7050841988249233E-9</v>
      </c>
      <c r="X263" s="13">
        <v>0</v>
      </c>
      <c r="Y263" s="13">
        <v>0</v>
      </c>
      <c r="Z263" s="13">
        <v>0</v>
      </c>
      <c r="AA263" s="13">
        <f t="shared" si="44"/>
        <v>1.820515988211169E-4</v>
      </c>
      <c r="AB263" s="13">
        <f t="shared" si="45"/>
        <v>653.04985681202572</v>
      </c>
      <c r="AC263" s="13">
        <f t="shared" ref="AC263:AC326" si="50">V263+AA263+AB263</f>
        <v>653.05003886532961</v>
      </c>
      <c r="AD263" s="13">
        <f t="shared" ref="AD263:AD326" si="51">(V263*cPFS_CAPI_after+AA263*cP)/AC263/(1+rdis_Month)^T262</f>
        <v>1.9644526863988397E-4</v>
      </c>
      <c r="AE263" s="13">
        <f t="shared" si="46"/>
        <v>1.0881204021134652E-8</v>
      </c>
      <c r="AF263" s="13">
        <f t="shared" ref="AF263:AF326" si="52">(SUM(W263:Z263)*uS+AA263*uP)/AC263/12</f>
        <v>1.2908136845635941E-8</v>
      </c>
      <c r="AG263" s="13">
        <f t="shared" ref="AG263:AG326" si="53">(W263*uS/12+X263*(uS+duAE1_CAPI)/12+Y263*(uS+duAE2_CAPI)/12+Z263*(uS+duAE3_CAPI)/12+AA263*uP/12)/AC263/(1+rdis_Month)^T262</f>
        <v>6.0638904030078863E-9</v>
      </c>
      <c r="AH263" s="10"/>
      <c r="AI263" s="13">
        <f t="shared" si="47"/>
        <v>1.1052531850162148E-11</v>
      </c>
      <c r="AJ263" s="10"/>
      <c r="AK263" s="10"/>
      <c r="AL263" s="10"/>
      <c r="AM263" s="10"/>
      <c r="AN263" s="10"/>
    </row>
    <row r="264" spans="19:40">
      <c r="S264" s="10"/>
      <c r="T264" s="12">
        <v>258</v>
      </c>
      <c r="U264" s="13">
        <f t="shared" si="48"/>
        <v>0.1151455227584401</v>
      </c>
      <c r="V264" s="13">
        <f t="shared" si="49"/>
        <v>1.5084523955084081E-9</v>
      </c>
      <c r="W264" s="13">
        <f t="shared" ref="W264:W327" si="54">(1-($Q$13+U264))*V263</f>
        <v>1.5084523955084081E-9</v>
      </c>
      <c r="X264" s="13">
        <v>0</v>
      </c>
      <c r="Y264" s="13">
        <v>0</v>
      </c>
      <c r="Z264" s="13">
        <v>0</v>
      </c>
      <c r="AA264" s="13">
        <f t="shared" si="44"/>
        <v>1.7059022204040373E-4</v>
      </c>
      <c r="AB264" s="13">
        <f t="shared" si="45"/>
        <v>653.04986827359915</v>
      </c>
      <c r="AC264" s="13">
        <f t="shared" si="50"/>
        <v>653.05003886532961</v>
      </c>
      <c r="AD264" s="13">
        <f t="shared" si="51"/>
        <v>1.8353492224336624E-4</v>
      </c>
      <c r="AE264" s="13">
        <f t="shared" si="46"/>
        <v>1.0166106962200249E-8</v>
      </c>
      <c r="AF264" s="13">
        <f t="shared" si="52"/>
        <v>1.2095473059915501E-8</v>
      </c>
      <c r="AG264" s="13">
        <f t="shared" si="53"/>
        <v>5.6653787938148229E-9</v>
      </c>
      <c r="AH264" s="10"/>
      <c r="AI264" s="13">
        <f t="shared" si="47"/>
        <v>9.8507980548998485E-12</v>
      </c>
      <c r="AJ264" s="10"/>
      <c r="AK264" s="10"/>
      <c r="AL264" s="10"/>
      <c r="AM264" s="10"/>
      <c r="AN264" s="10"/>
    </row>
    <row r="265" spans="19:40">
      <c r="S265" s="10"/>
      <c r="T265" s="12">
        <v>259</v>
      </c>
      <c r="U265" s="13">
        <f t="shared" si="48"/>
        <v>0.11522225148353935</v>
      </c>
      <c r="V265" s="13">
        <f t="shared" si="49"/>
        <v>1.3343806023538269E-9</v>
      </c>
      <c r="W265" s="13">
        <f t="shared" si="54"/>
        <v>1.3343806023538269E-9</v>
      </c>
      <c r="X265" s="13">
        <v>0</v>
      </c>
      <c r="Y265" s="13">
        <v>0</v>
      </c>
      <c r="Z265" s="13">
        <v>0</v>
      </c>
      <c r="AA265" s="13">
        <f t="shared" si="44"/>
        <v>1.5985040611384208E-4</v>
      </c>
      <c r="AB265" s="13">
        <f t="shared" si="45"/>
        <v>653.04987901358913</v>
      </c>
      <c r="AC265" s="13">
        <f t="shared" si="50"/>
        <v>653.05003886532961</v>
      </c>
      <c r="AD265" s="13">
        <f t="shared" si="51"/>
        <v>1.7147304792688534E-4</v>
      </c>
      <c r="AE265" s="13">
        <f t="shared" si="46"/>
        <v>9.4980047191478563E-9</v>
      </c>
      <c r="AF265" s="13">
        <f t="shared" si="52"/>
        <v>1.1333972301576511E-8</v>
      </c>
      <c r="AG265" s="13">
        <f t="shared" si="53"/>
        <v>5.2930567788662001E-9</v>
      </c>
      <c r="AH265" s="10"/>
      <c r="AI265" s="13">
        <f t="shared" si="47"/>
        <v>8.7790531935533522E-12</v>
      </c>
      <c r="AJ265" s="10"/>
      <c r="AK265" s="10"/>
      <c r="AL265" s="10"/>
      <c r="AM265" s="10"/>
      <c r="AN265" s="10"/>
    </row>
    <row r="266" spans="19:40">
      <c r="S266" s="10"/>
      <c r="T266" s="12">
        <v>260</v>
      </c>
      <c r="U266" s="13">
        <f t="shared" si="48"/>
        <v>0.11529873536279105</v>
      </c>
      <c r="V266" s="13">
        <f t="shared" si="49"/>
        <v>1.1802942185597432E-9</v>
      </c>
      <c r="W266" s="13">
        <f t="shared" si="54"/>
        <v>1.1802942185597432E-9</v>
      </c>
      <c r="X266" s="13">
        <v>0</v>
      </c>
      <c r="Y266" s="13">
        <v>0</v>
      </c>
      <c r="Z266" s="13">
        <v>0</v>
      </c>
      <c r="AA266" s="13">
        <f t="shared" si="44"/>
        <v>1.4978672570845351E-4</v>
      </c>
      <c r="AB266" s="13">
        <f t="shared" si="45"/>
        <v>653.04988907742359</v>
      </c>
      <c r="AC266" s="13">
        <f t="shared" si="50"/>
        <v>653.05003886532961</v>
      </c>
      <c r="AD266" s="13">
        <f t="shared" si="51"/>
        <v>1.602038830919558E-4</v>
      </c>
      <c r="AE266" s="13">
        <f t="shared" si="46"/>
        <v>8.8738089210878969E-9</v>
      </c>
      <c r="AF266" s="13">
        <f t="shared" si="52"/>
        <v>1.0620413517591344E-8</v>
      </c>
      <c r="AG266" s="13">
        <f t="shared" si="53"/>
        <v>4.9452032297781621E-9</v>
      </c>
      <c r="AH266" s="10"/>
      <c r="AI266" s="13">
        <f t="shared" si="47"/>
        <v>7.8233124462907601E-12</v>
      </c>
      <c r="AJ266" s="10"/>
      <c r="AK266" s="10"/>
      <c r="AL266" s="10"/>
      <c r="AM266" s="10"/>
      <c r="AN266" s="10"/>
    </row>
    <row r="267" spans="19:40">
      <c r="S267" s="10"/>
      <c r="T267" s="12">
        <v>261</v>
      </c>
      <c r="U267" s="13">
        <f t="shared" si="48"/>
        <v>0.11537497611473535</v>
      </c>
      <c r="V267" s="13">
        <f t="shared" si="49"/>
        <v>1.0439108329687133E-9</v>
      </c>
      <c r="W267" s="13">
        <f t="shared" si="54"/>
        <v>1.0439108329687133E-9</v>
      </c>
      <c r="X267" s="13">
        <v>0</v>
      </c>
      <c r="Y267" s="13">
        <v>0</v>
      </c>
      <c r="Z267" s="13">
        <v>0</v>
      </c>
      <c r="AA267" s="13">
        <f t="shared" si="44"/>
        <v>1.4035661507978887E-4</v>
      </c>
      <c r="AB267" s="13">
        <f t="shared" si="45"/>
        <v>653.0498985076706</v>
      </c>
      <c r="AC267" s="13">
        <f t="shared" si="50"/>
        <v>653.05003886532961</v>
      </c>
      <c r="AD267" s="13">
        <f t="shared" si="51"/>
        <v>1.4967533000868639E-4</v>
      </c>
      <c r="AE267" s="13">
        <f t="shared" si="46"/>
        <v>8.2906341519201273E-9</v>
      </c>
      <c r="AF267" s="13">
        <f t="shared" si="52"/>
        <v>9.9517784385266476E-9</v>
      </c>
      <c r="AG267" s="13">
        <f t="shared" si="53"/>
        <v>4.6202101257952702E-9</v>
      </c>
      <c r="AH267" s="10"/>
      <c r="AI267" s="13">
        <f t="shared" si="47"/>
        <v>6.9710870608012043E-12</v>
      </c>
      <c r="AJ267" s="10"/>
      <c r="AK267" s="10"/>
      <c r="AL267" s="10"/>
      <c r="AM267" s="10"/>
      <c r="AN267" s="10"/>
    </row>
    <row r="268" spans="19:40">
      <c r="S268" s="10"/>
      <c r="T268" s="12">
        <v>262</v>
      </c>
      <c r="U268" s="13">
        <f t="shared" si="48"/>
        <v>0.11545097543932216</v>
      </c>
      <c r="V268" s="13">
        <f t="shared" si="49"/>
        <v>9.2320725597156244E-10</v>
      </c>
      <c r="W268" s="13">
        <f t="shared" si="54"/>
        <v>9.2320725597156244E-10</v>
      </c>
      <c r="X268" s="13">
        <v>0</v>
      </c>
      <c r="Y268" s="13">
        <v>0</v>
      </c>
      <c r="Z268" s="13">
        <v>0</v>
      </c>
      <c r="AA268" s="13">
        <f t="shared" si="44"/>
        <v>1.3152018807136449E-4</v>
      </c>
      <c r="AB268" s="13">
        <f t="shared" si="45"/>
        <v>653.04990734421835</v>
      </c>
      <c r="AC268" s="13">
        <f t="shared" si="50"/>
        <v>653.05003886532961</v>
      </c>
      <c r="AD268" s="13">
        <f t="shared" si="51"/>
        <v>1.3983871494128514E-4</v>
      </c>
      <c r="AE268" s="13">
        <f t="shared" si="46"/>
        <v>7.7457846135155269E-9</v>
      </c>
      <c r="AF268" s="13">
        <f t="shared" si="52"/>
        <v>9.3252388125192867E-9</v>
      </c>
      <c r="AG268" s="13">
        <f t="shared" si="53"/>
        <v>4.3165751208589201E-9</v>
      </c>
      <c r="AH268" s="10"/>
      <c r="AI268" s="13">
        <f t="shared" si="47"/>
        <v>6.2112252523405213E-12</v>
      </c>
      <c r="AJ268" s="10"/>
      <c r="AK268" s="10"/>
      <c r="AL268" s="10"/>
      <c r="AM268" s="10"/>
      <c r="AN268" s="10"/>
    </row>
    <row r="269" spans="19:40">
      <c r="S269" s="10"/>
      <c r="T269" s="12">
        <v>263</v>
      </c>
      <c r="U269" s="13">
        <f t="shared" si="48"/>
        <v>0.1155267350181826</v>
      </c>
      <c r="V269" s="13">
        <f t="shared" si="49"/>
        <v>8.1639024863801247E-10</v>
      </c>
      <c r="W269" s="13">
        <f t="shared" si="54"/>
        <v>8.1639024863801247E-10</v>
      </c>
      <c r="X269" s="13">
        <v>0</v>
      </c>
      <c r="Y269" s="13">
        <v>0</v>
      </c>
      <c r="Z269" s="13">
        <v>0</v>
      </c>
      <c r="AA269" s="13">
        <f t="shared" ref="AA269:AA332" si="55">(1-$Q$17)*AA268+(U269*W268)</f>
        <v>1.2324006944285139E-4</v>
      </c>
      <c r="AB269" s="13">
        <f t="shared" ref="AB269:AB332" si="56">(AB268*1)+(AA268*$Q$17)+(W268*$Q$13)</f>
        <v>653.04991562444377</v>
      </c>
      <c r="AC269" s="13">
        <f t="shared" si="50"/>
        <v>653.05003886532961</v>
      </c>
      <c r="AD269" s="13">
        <f t="shared" si="51"/>
        <v>1.3064856310615697E-4</v>
      </c>
      <c r="AE269" s="13">
        <f t="shared" si="46"/>
        <v>7.2367416652441637E-9</v>
      </c>
      <c r="AF269" s="13">
        <f t="shared" si="52"/>
        <v>8.7381444428835162E-9</v>
      </c>
      <c r="AG269" s="13">
        <f t="shared" si="53"/>
        <v>4.0328945991144584E-9</v>
      </c>
      <c r="AH269" s="10"/>
      <c r="AI269" s="13">
        <f t="shared" si="47"/>
        <v>5.533769918193017E-12</v>
      </c>
      <c r="AJ269" s="10"/>
      <c r="AK269" s="10"/>
      <c r="AL269" s="10"/>
      <c r="AM269" s="10"/>
      <c r="AN269" s="10"/>
    </row>
    <row r="270" spans="19:40">
      <c r="S270" s="10"/>
      <c r="T270" s="12">
        <v>264</v>
      </c>
      <c r="U270" s="13">
        <f t="shared" si="48"/>
        <v>0.11560225651489485</v>
      </c>
      <c r="V270" s="13">
        <f t="shared" si="49"/>
        <v>7.2187053709200234E-10</v>
      </c>
      <c r="W270" s="13">
        <f t="shared" si="54"/>
        <v>7.2187053709200234E-10</v>
      </c>
      <c r="X270" s="13">
        <v>0</v>
      </c>
      <c r="Y270" s="13">
        <v>0</v>
      </c>
      <c r="Z270" s="13">
        <v>0</v>
      </c>
      <c r="AA270" s="13">
        <f t="shared" si="55"/>
        <v>1.1548123681419486E-4</v>
      </c>
      <c r="AB270" s="13">
        <f t="shared" si="56"/>
        <v>653.04992338337092</v>
      </c>
      <c r="AC270" s="13">
        <f t="shared" si="50"/>
        <v>653.05003886532961</v>
      </c>
      <c r="AD270" s="13">
        <f t="shared" si="51"/>
        <v>1.2206238842180757E-4</v>
      </c>
      <c r="AE270" s="13">
        <f t="shared" si="46"/>
        <v>6.7611521822722239E-9</v>
      </c>
      <c r="AF270" s="13">
        <f t="shared" si="52"/>
        <v>8.1880119787645374E-9</v>
      </c>
      <c r="AG270" s="13">
        <f t="shared" si="53"/>
        <v>3.7678571867627E-9</v>
      </c>
      <c r="AH270" s="10"/>
      <c r="AI270" s="13">
        <f t="shared" si="47"/>
        <v>4.9298314011605382E-12</v>
      </c>
      <c r="AJ270" s="10"/>
      <c r="AK270" s="10"/>
      <c r="AL270" s="10"/>
      <c r="AM270" s="10"/>
      <c r="AN270" s="10"/>
    </row>
    <row r="271" spans="19:40">
      <c r="S271" s="10"/>
      <c r="T271" s="12">
        <v>265</v>
      </c>
      <c r="U271" s="13">
        <f t="shared" si="48"/>
        <v>0.11567754157524583</v>
      </c>
      <c r="V271" s="13">
        <f t="shared" si="49"/>
        <v>6.3823974574862974E-10</v>
      </c>
      <c r="W271" s="13">
        <f t="shared" si="54"/>
        <v>6.3823974574862974E-10</v>
      </c>
      <c r="X271" s="13">
        <v>0</v>
      </c>
      <c r="Y271" s="13">
        <v>0</v>
      </c>
      <c r="Z271" s="13">
        <v>0</v>
      </c>
      <c r="AA271" s="13">
        <f t="shared" si="55"/>
        <v>1.0821087255767482E-4</v>
      </c>
      <c r="AB271" s="13">
        <f t="shared" si="56"/>
        <v>653.04993065381882</v>
      </c>
      <c r="AC271" s="13">
        <f t="shared" si="50"/>
        <v>653.05003886532961</v>
      </c>
      <c r="AD271" s="13">
        <f t="shared" si="51"/>
        <v>1.1404049707819786E-4</v>
      </c>
      <c r="AE271" s="13">
        <f t="shared" si="46"/>
        <v>6.3168176788334964E-9</v>
      </c>
      <c r="AF271" s="13">
        <f t="shared" si="52"/>
        <v>7.6725144114374571E-9</v>
      </c>
      <c r="AG271" s="13">
        <f t="shared" si="53"/>
        <v>3.5202376902701382E-9</v>
      </c>
      <c r="AH271" s="10"/>
      <c r="AI271" s="13">
        <f t="shared" si="47"/>
        <v>4.3914737207595836E-12</v>
      </c>
      <c r="AJ271" s="10"/>
      <c r="AK271" s="10"/>
      <c r="AL271" s="10"/>
      <c r="AM271" s="10"/>
      <c r="AN271" s="10"/>
    </row>
    <row r="272" spans="19:40">
      <c r="S272" s="10"/>
      <c r="T272" s="12">
        <v>266</v>
      </c>
      <c r="U272" s="13">
        <f t="shared" si="48"/>
        <v>0.11575259182748758</v>
      </c>
      <c r="V272" s="13">
        <f t="shared" si="49"/>
        <v>5.6424992361715002E-10</v>
      </c>
      <c r="W272" s="13">
        <f t="shared" si="54"/>
        <v>5.6424992361715002E-10</v>
      </c>
      <c r="X272" s="13">
        <v>0</v>
      </c>
      <c r="Y272" s="13">
        <v>0</v>
      </c>
      <c r="Z272" s="13">
        <v>0</v>
      </c>
      <c r="AA272" s="13">
        <f t="shared" si="55"/>
        <v>1.0139822501193112E-4</v>
      </c>
      <c r="AB272" s="13">
        <f t="shared" si="56"/>
        <v>653.04993746654031</v>
      </c>
      <c r="AC272" s="13">
        <f t="shared" si="50"/>
        <v>653.05003886532961</v>
      </c>
      <c r="AD272" s="13">
        <f t="shared" si="51"/>
        <v>1.0654580401712321E-4</v>
      </c>
      <c r="AE272" s="13">
        <f t="shared" si="46"/>
        <v>5.9016841462142407E-9</v>
      </c>
      <c r="AF272" s="13">
        <f t="shared" si="52"/>
        <v>7.1894712318336616E-9</v>
      </c>
      <c r="AG272" s="13">
        <f t="shared" si="53"/>
        <v>3.2888914329221861E-9</v>
      </c>
      <c r="AH272" s="10"/>
      <c r="AI272" s="13">
        <f t="shared" si="47"/>
        <v>3.9116128558268216E-12</v>
      </c>
      <c r="AJ272" s="10"/>
      <c r="AK272" s="10"/>
      <c r="AL272" s="10"/>
      <c r="AM272" s="10"/>
      <c r="AN272" s="10"/>
    </row>
    <row r="273" spans="19:40">
      <c r="S273" s="10"/>
      <c r="T273" s="12">
        <v>267</v>
      </c>
      <c r="U273" s="13">
        <f t="shared" si="48"/>
        <v>0.11582740888258922</v>
      </c>
      <c r="V273" s="13">
        <f t="shared" si="49"/>
        <v>4.9879537399744681E-10</v>
      </c>
      <c r="W273" s="13">
        <f t="shared" si="54"/>
        <v>4.9879537399744681E-10</v>
      </c>
      <c r="X273" s="13">
        <v>0</v>
      </c>
      <c r="Y273" s="13">
        <v>0</v>
      </c>
      <c r="Z273" s="13">
        <v>0</v>
      </c>
      <c r="AA273" s="13">
        <f t="shared" si="55"/>
        <v>9.5014478431352419E-5</v>
      </c>
      <c r="AB273" s="13">
        <f t="shared" si="56"/>
        <v>653.04994385035241</v>
      </c>
      <c r="AC273" s="13">
        <f t="shared" si="50"/>
        <v>653.05003886532961</v>
      </c>
      <c r="AD273" s="13">
        <f t="shared" si="51"/>
        <v>9.954366147491856E-5</v>
      </c>
      <c r="AE273" s="13">
        <f t="shared" si="46"/>
        <v>5.5138325584921788E-9</v>
      </c>
      <c r="AF273" s="13">
        <f t="shared" si="52"/>
        <v>6.7368392076723329E-9</v>
      </c>
      <c r="AG273" s="13">
        <f t="shared" si="53"/>
        <v>3.0727489635444781E-9</v>
      </c>
      <c r="AH273" s="10"/>
      <c r="AI273" s="13">
        <f t="shared" si="47"/>
        <v>3.4839258101569391E-12</v>
      </c>
      <c r="AJ273" s="10"/>
      <c r="AK273" s="10"/>
      <c r="AL273" s="10"/>
      <c r="AM273" s="10"/>
      <c r="AN273" s="10"/>
    </row>
    <row r="274" spans="19:40">
      <c r="S274" s="10"/>
      <c r="T274" s="12">
        <v>268</v>
      </c>
      <c r="U274" s="13">
        <f t="shared" si="48"/>
        <v>0.11590199433448443</v>
      </c>
      <c r="V274" s="13">
        <f t="shared" si="49"/>
        <v>4.408965300432541E-10</v>
      </c>
      <c r="W274" s="13">
        <f t="shared" si="54"/>
        <v>4.408965300432541E-10</v>
      </c>
      <c r="X274" s="13">
        <v>0</v>
      </c>
      <c r="Y274" s="13">
        <v>0</v>
      </c>
      <c r="Z274" s="13">
        <v>0</v>
      </c>
      <c r="AA274" s="13">
        <f t="shared" si="55"/>
        <v>8.9032631121126399E-5</v>
      </c>
      <c r="AB274" s="13">
        <f t="shared" si="56"/>
        <v>653.04994983225765</v>
      </c>
      <c r="AC274" s="13">
        <f t="shared" si="50"/>
        <v>653.05003886532973</v>
      </c>
      <c r="AD274" s="13">
        <f t="shared" si="51"/>
        <v>9.3001698794585618E-5</v>
      </c>
      <c r="AE274" s="13">
        <f t="shared" si="46"/>
        <v>5.1514700021551457E-9</v>
      </c>
      <c r="AF274" s="13">
        <f t="shared" si="52"/>
        <v>6.312703741194434E-9</v>
      </c>
      <c r="AG274" s="13">
        <f t="shared" si="53"/>
        <v>2.8708111129370029E-9</v>
      </c>
      <c r="AH274" s="10"/>
      <c r="AI274" s="13">
        <f t="shared" si="47"/>
        <v>3.1027693253808255E-12</v>
      </c>
      <c r="AJ274" s="10"/>
      <c r="AK274" s="10"/>
      <c r="AL274" s="10"/>
      <c r="AM274" s="10"/>
      <c r="AN274" s="10"/>
    </row>
    <row r="275" spans="19:40">
      <c r="S275" s="10"/>
      <c r="T275" s="12">
        <v>269</v>
      </c>
      <c r="U275" s="13">
        <f t="shared" si="48"/>
        <v>0.11597634976031436</v>
      </c>
      <c r="V275" s="13">
        <f t="shared" si="49"/>
        <v>3.8968564726879648E-10</v>
      </c>
      <c r="W275" s="13">
        <f t="shared" si="54"/>
        <v>3.8968564726879648E-10</v>
      </c>
      <c r="X275" s="13">
        <v>0</v>
      </c>
      <c r="Y275" s="13">
        <v>0</v>
      </c>
      <c r="Z275" s="13">
        <v>0</v>
      </c>
      <c r="AA275" s="13">
        <f t="shared" si="55"/>
        <v>8.342738124282824E-5</v>
      </c>
      <c r="AB275" s="13">
        <f t="shared" si="56"/>
        <v>653.04995543755876</v>
      </c>
      <c r="AC275" s="13">
        <f t="shared" si="50"/>
        <v>653.05003886532973</v>
      </c>
      <c r="AD275" s="13">
        <f t="shared" si="51"/>
        <v>8.6889672766570861E-5</v>
      </c>
      <c r="AE275" s="13">
        <f t="shared" si="46"/>
        <v>4.8129213886072096E-9</v>
      </c>
      <c r="AF275" s="13">
        <f t="shared" si="52"/>
        <v>5.9152707709512597E-9</v>
      </c>
      <c r="AG275" s="13">
        <f t="shared" si="53"/>
        <v>2.682144375172665E-9</v>
      </c>
      <c r="AH275" s="10"/>
      <c r="AI275" s="13">
        <f t="shared" si="47"/>
        <v>2.7631072241205809E-12</v>
      </c>
      <c r="AJ275" s="10"/>
      <c r="AK275" s="10"/>
      <c r="AL275" s="10"/>
      <c r="AM275" s="10"/>
      <c r="AN275" s="10"/>
    </row>
    <row r="276" spans="19:40">
      <c r="S276" s="10"/>
      <c r="T276" s="12">
        <v>270</v>
      </c>
      <c r="U276" s="13">
        <f t="shared" si="48"/>
        <v>0.11605047672066612</v>
      </c>
      <c r="V276" s="13">
        <f t="shared" si="49"/>
        <v>3.4439410952391971E-10</v>
      </c>
      <c r="W276" s="13">
        <f t="shared" si="54"/>
        <v>3.4439410952391971E-10</v>
      </c>
      <c r="X276" s="13">
        <v>0</v>
      </c>
      <c r="Y276" s="13">
        <v>0</v>
      </c>
      <c r="Z276" s="13">
        <v>0</v>
      </c>
      <c r="AA276" s="13">
        <f t="shared" si="55"/>
        <v>7.8175019807830211E-5</v>
      </c>
      <c r="AB276" s="13">
        <f t="shared" si="56"/>
        <v>653.04996068996559</v>
      </c>
      <c r="AC276" s="13">
        <f t="shared" si="50"/>
        <v>653.05003886532984</v>
      </c>
      <c r="AD276" s="13">
        <f t="shared" si="51"/>
        <v>8.1179327806119465E-5</v>
      </c>
      <c r="AE276" s="13">
        <f t="shared" si="46"/>
        <v>4.4966217112630375E-9</v>
      </c>
      <c r="AF276" s="13">
        <f t="shared" si="52"/>
        <v>5.5428591834000545E-9</v>
      </c>
      <c r="AG276" s="13">
        <f t="shared" si="53"/>
        <v>2.5058765924130616E-9</v>
      </c>
      <c r="AH276" s="10"/>
      <c r="AI276" s="13">
        <f t="shared" si="47"/>
        <v>2.4604454729398375E-12</v>
      </c>
      <c r="AJ276" s="10"/>
      <c r="AK276" s="10"/>
      <c r="AL276" s="10"/>
      <c r="AM276" s="10"/>
      <c r="AN276" s="10"/>
    </row>
    <row r="277" spans="19:40">
      <c r="S277" s="10"/>
      <c r="T277" s="12">
        <v>271</v>
      </c>
      <c r="U277" s="13">
        <f t="shared" si="48"/>
        <v>0.11612437675980727</v>
      </c>
      <c r="V277" s="13">
        <f t="shared" si="49"/>
        <v>3.0434116760166188E-10</v>
      </c>
      <c r="W277" s="13">
        <f t="shared" si="54"/>
        <v>3.0434116760166188E-10</v>
      </c>
      <c r="X277" s="13">
        <v>0</v>
      </c>
      <c r="Y277" s="13">
        <v>0</v>
      </c>
      <c r="Z277" s="13">
        <v>0</v>
      </c>
      <c r="AA277" s="13">
        <f t="shared" si="55"/>
        <v>7.3253330406183287E-5</v>
      </c>
      <c r="AB277" s="13">
        <f t="shared" si="56"/>
        <v>653.04996561169514</v>
      </c>
      <c r="AC277" s="13">
        <f t="shared" si="50"/>
        <v>653.05003886532984</v>
      </c>
      <c r="AD277" s="13">
        <f t="shared" si="51"/>
        <v>7.5844265320631202E-5</v>
      </c>
      <c r="AE277" s="13">
        <f t="shared" si="46"/>
        <v>4.2011088114474483E-9</v>
      </c>
      <c r="AF277" s="13">
        <f t="shared" si="52"/>
        <v>5.193893702214758E-9</v>
      </c>
      <c r="AG277" s="13">
        <f t="shared" si="53"/>
        <v>2.3411929232969008E-9</v>
      </c>
      <c r="AH277" s="10"/>
      <c r="AI277" s="13">
        <f t="shared" si="47"/>
        <v>2.1907741500207142E-12</v>
      </c>
      <c r="AJ277" s="10"/>
      <c r="AK277" s="10"/>
      <c r="AL277" s="10"/>
      <c r="AM277" s="10"/>
      <c r="AN277" s="10"/>
    </row>
    <row r="278" spans="19:40">
      <c r="S278" s="10"/>
      <c r="T278" s="12">
        <v>272</v>
      </c>
      <c r="U278" s="13">
        <f t="shared" si="48"/>
        <v>0.11619805140591585</v>
      </c>
      <c r="V278" s="13">
        <f t="shared" si="49"/>
        <v>2.6892394977948043E-10</v>
      </c>
      <c r="W278" s="13">
        <f t="shared" si="54"/>
        <v>2.6892394977948043E-10</v>
      </c>
      <c r="X278" s="13">
        <v>0</v>
      </c>
      <c r="Y278" s="13">
        <v>0</v>
      </c>
      <c r="Z278" s="13">
        <v>0</v>
      </c>
      <c r="AA278" s="13">
        <f t="shared" si="55"/>
        <v>6.8641495247080551E-5</v>
      </c>
      <c r="AB278" s="13">
        <f t="shared" si="56"/>
        <v>653.04997022356565</v>
      </c>
      <c r="AC278" s="13">
        <f t="shared" si="50"/>
        <v>653.05003886532984</v>
      </c>
      <c r="AD278" s="13">
        <f t="shared" si="51"/>
        <v>7.0859821662948327E-5</v>
      </c>
      <c r="AE278" s="13">
        <f t="shared" si="46"/>
        <v>3.925016619667923E-9</v>
      </c>
      <c r="AF278" s="13">
        <f t="shared" si="52"/>
        <v>4.8668982252398626E-9</v>
      </c>
      <c r="AG278" s="13">
        <f t="shared" si="53"/>
        <v>2.1873320762669681E-9</v>
      </c>
      <c r="AH278" s="10"/>
      <c r="AI278" s="13">
        <f t="shared" si="47"/>
        <v>1.9505155879855162E-12</v>
      </c>
      <c r="AJ278" s="10"/>
      <c r="AK278" s="10"/>
      <c r="AL278" s="10"/>
      <c r="AM278" s="10"/>
      <c r="AN278" s="10"/>
    </row>
    <row r="279" spans="19:40">
      <c r="S279" s="10"/>
      <c r="T279" s="12">
        <v>273</v>
      </c>
      <c r="U279" s="13">
        <f t="shared" si="48"/>
        <v>0.11627150217130654</v>
      </c>
      <c r="V279" s="13">
        <f t="shared" si="49"/>
        <v>2.3760860150543722E-10</v>
      </c>
      <c r="W279" s="13">
        <f t="shared" si="54"/>
        <v>2.3760860150543722E-10</v>
      </c>
      <c r="X279" s="13">
        <v>0</v>
      </c>
      <c r="Y279" s="13">
        <v>0</v>
      </c>
      <c r="Z279" s="13">
        <v>0</v>
      </c>
      <c r="AA279" s="13">
        <f t="shared" si="55"/>
        <v>6.4320007113681451E-5</v>
      </c>
      <c r="AB279" s="13">
        <f t="shared" si="56"/>
        <v>653.04997454508509</v>
      </c>
      <c r="AC279" s="13">
        <f t="shared" si="50"/>
        <v>653.05003886532984</v>
      </c>
      <c r="AD279" s="13">
        <f t="shared" si="51"/>
        <v>6.6202954106218782E-5</v>
      </c>
      <c r="AE279" s="13">
        <f t="shared" si="46"/>
        <v>3.6670688410242316E-9</v>
      </c>
      <c r="AF279" s="13">
        <f t="shared" si="52"/>
        <v>4.5604895809082435E-9</v>
      </c>
      <c r="AG279" s="13">
        <f t="shared" si="53"/>
        <v>2.0435827904259115E-9</v>
      </c>
      <c r="AH279" s="10"/>
      <c r="AI279" s="13">
        <f t="shared" si="47"/>
        <v>1.7364780388621061E-12</v>
      </c>
      <c r="AJ279" s="10"/>
      <c r="AK279" s="10"/>
      <c r="AL279" s="10"/>
      <c r="AM279" s="10"/>
      <c r="AN279" s="10"/>
    </row>
    <row r="280" spans="19:40">
      <c r="S280" s="10"/>
      <c r="T280" s="12">
        <v>274</v>
      </c>
      <c r="U280" s="13">
        <f t="shared" si="48"/>
        <v>0.11634473055265267</v>
      </c>
      <c r="V280" s="13">
        <f t="shared" si="49"/>
        <v>2.0992242736810635E-10</v>
      </c>
      <c r="W280" s="13">
        <f t="shared" si="54"/>
        <v>2.0992242736810635E-10</v>
      </c>
      <c r="X280" s="13">
        <v>0</v>
      </c>
      <c r="Y280" s="13">
        <v>0</v>
      </c>
      <c r="Z280" s="13">
        <v>0</v>
      </c>
      <c r="AA280" s="13">
        <f t="shared" si="55"/>
        <v>6.0270586860068385E-5</v>
      </c>
      <c r="AB280" s="13">
        <f t="shared" si="56"/>
        <v>653.04997859453294</v>
      </c>
      <c r="AC280" s="13">
        <f t="shared" si="50"/>
        <v>653.05003886532973</v>
      </c>
      <c r="AD280" s="13">
        <f t="shared" si="51"/>
        <v>6.1852134313076154E-5</v>
      </c>
      <c r="AE280" s="13">
        <f t="shared" si="46"/>
        <v>3.4260730555716265E-9</v>
      </c>
      <c r="AF280" s="13">
        <f t="shared" si="52"/>
        <v>4.2733716777174581E-9</v>
      </c>
      <c r="AG280" s="13">
        <f t="shared" si="53"/>
        <v>1.9092805476550666E-9</v>
      </c>
      <c r="AH280" s="10"/>
      <c r="AI280" s="13">
        <f t="shared" si="47"/>
        <v>1.5458142767915497E-12</v>
      </c>
      <c r="AJ280" s="10"/>
      <c r="AK280" s="10"/>
      <c r="AL280" s="10"/>
      <c r="AM280" s="10"/>
      <c r="AN280" s="10"/>
    </row>
    <row r="281" spans="19:40">
      <c r="S281" s="10"/>
      <c r="T281" s="12">
        <v>275</v>
      </c>
      <c r="U281" s="13">
        <f t="shared" si="48"/>
        <v>0.11641773803120452</v>
      </c>
      <c r="V281" s="13">
        <f t="shared" si="49"/>
        <v>1.854469226517185E-10</v>
      </c>
      <c r="W281" s="13">
        <f t="shared" si="54"/>
        <v>1.854469226517185E-10</v>
      </c>
      <c r="X281" s="13">
        <v>0</v>
      </c>
      <c r="Y281" s="13">
        <v>0</v>
      </c>
      <c r="Z281" s="13">
        <v>0</v>
      </c>
      <c r="AA281" s="13">
        <f t="shared" si="55"/>
        <v>5.647610610152733E-5</v>
      </c>
      <c r="AB281" s="13">
        <f t="shared" si="56"/>
        <v>653.04998238903818</v>
      </c>
      <c r="AC281" s="13">
        <f t="shared" si="50"/>
        <v>653.05003886532973</v>
      </c>
      <c r="AD281" s="13">
        <f t="shared" si="51"/>
        <v>5.7787248806539452E-5</v>
      </c>
      <c r="AE281" s="13">
        <f t="shared" si="46"/>
        <v>3.2009152063713345E-9</v>
      </c>
      <c r="AF281" s="13">
        <f t="shared" si="52"/>
        <v>4.0043300220211667E-9</v>
      </c>
      <c r="AG281" s="13">
        <f t="shared" si="53"/>
        <v>1.7838045007993174E-9</v>
      </c>
      <c r="AH281" s="10"/>
      <c r="AI281" s="13">
        <f t="shared" si="47"/>
        <v>1.3759846155213872E-12</v>
      </c>
      <c r="AJ281" s="10"/>
      <c r="AK281" s="10"/>
      <c r="AL281" s="10"/>
      <c r="AM281" s="10"/>
      <c r="AN281" s="10"/>
    </row>
    <row r="282" spans="19:40">
      <c r="S282" s="10"/>
      <c r="T282" s="12">
        <v>276</v>
      </c>
      <c r="U282" s="13">
        <f t="shared" si="48"/>
        <v>0.11649052607300354</v>
      </c>
      <c r="V282" s="13">
        <f t="shared" si="49"/>
        <v>1.6381159437022604E-10</v>
      </c>
      <c r="W282" s="13">
        <f t="shared" si="54"/>
        <v>1.6381159437022604E-10</v>
      </c>
      <c r="X282" s="13">
        <v>0</v>
      </c>
      <c r="Y282" s="13">
        <v>0</v>
      </c>
      <c r="Z282" s="13">
        <v>0</v>
      </c>
      <c r="AA282" s="13">
        <f t="shared" si="55"/>
        <v>5.2920514771292217E-5</v>
      </c>
      <c r="AB282" s="13">
        <f t="shared" si="56"/>
        <v>653.0499859446511</v>
      </c>
      <c r="AC282" s="13">
        <f t="shared" si="50"/>
        <v>653.05003886532973</v>
      </c>
      <c r="AD282" s="13">
        <f t="shared" si="51"/>
        <v>5.3989505982417641E-5</v>
      </c>
      <c r="AE282" s="13">
        <f t="shared" si="46"/>
        <v>2.9905544497535729E-9</v>
      </c>
      <c r="AF282" s="13">
        <f t="shared" si="52"/>
        <v>3.7522265809497382E-9</v>
      </c>
      <c r="AG282" s="13">
        <f t="shared" si="53"/>
        <v>1.6665746037195808E-9</v>
      </c>
      <c r="AH282" s="10"/>
      <c r="AI282" s="13">
        <f t="shared" si="47"/>
        <v>1.2247238727529855E-12</v>
      </c>
      <c r="AJ282" s="10"/>
      <c r="AK282" s="10"/>
      <c r="AL282" s="10"/>
      <c r="AM282" s="10"/>
      <c r="AN282" s="10"/>
    </row>
    <row r="283" spans="19:40">
      <c r="S283" s="10"/>
      <c r="T283" s="12">
        <v>277</v>
      </c>
      <c r="U283" s="13">
        <f t="shared" si="48"/>
        <v>0.11656309612909312</v>
      </c>
      <c r="V283" s="13">
        <f t="shared" si="49"/>
        <v>1.4468848286851241E-10</v>
      </c>
      <c r="W283" s="13">
        <f t="shared" si="54"/>
        <v>1.4468848286851241E-10</v>
      </c>
      <c r="X283" s="13">
        <v>0</v>
      </c>
      <c r="Y283" s="13">
        <v>0</v>
      </c>
      <c r="Z283" s="13">
        <v>0</v>
      </c>
      <c r="AA283" s="13">
        <f t="shared" si="55"/>
        <v>4.9588773237459806E-5</v>
      </c>
      <c r="AB283" s="13">
        <f t="shared" si="56"/>
        <v>653.04998927641168</v>
      </c>
      <c r="AC283" s="13">
        <f t="shared" si="50"/>
        <v>653.05003886532961</v>
      </c>
      <c r="AD283" s="13">
        <f t="shared" si="51"/>
        <v>5.0441349233255352E-5</v>
      </c>
      <c r="AE283" s="13">
        <f t="shared" si="46"/>
        <v>2.7940183439920413E-9</v>
      </c>
      <c r="AF283" s="13">
        <f t="shared" si="52"/>
        <v>3.5159949687336299E-9</v>
      </c>
      <c r="AG283" s="13">
        <f t="shared" si="53"/>
        <v>1.5570489299474468E-9</v>
      </c>
      <c r="AH283" s="10"/>
      <c r="AI283" s="13">
        <f t="shared" si="47"/>
        <v>1.0900118626903582E-12</v>
      </c>
      <c r="AJ283" s="10"/>
      <c r="AK283" s="10"/>
      <c r="AL283" s="10"/>
      <c r="AM283" s="10"/>
      <c r="AN283" s="10"/>
    </row>
    <row r="284" spans="19:40">
      <c r="S284" s="10"/>
      <c r="T284" s="12">
        <v>278</v>
      </c>
      <c r="U284" s="13">
        <f t="shared" si="48"/>
        <v>0.11663544963572534</v>
      </c>
      <c r="V284" s="13">
        <f t="shared" si="49"/>
        <v>1.2778730502991165E-10</v>
      </c>
      <c r="W284" s="13">
        <f t="shared" si="54"/>
        <v>1.2778730502991165E-10</v>
      </c>
      <c r="X284" s="13">
        <v>0</v>
      </c>
      <c r="Y284" s="13">
        <v>0</v>
      </c>
      <c r="Z284" s="13">
        <v>0</v>
      </c>
      <c r="AA284" s="13">
        <f t="shared" si="55"/>
        <v>4.6466788693055464E-5</v>
      </c>
      <c r="AB284" s="13">
        <f t="shared" si="56"/>
        <v>653.04999239841311</v>
      </c>
      <c r="AC284" s="13">
        <f t="shared" si="50"/>
        <v>653.05003886532961</v>
      </c>
      <c r="AD284" s="13">
        <f t="shared" si="51"/>
        <v>4.7126375782121548E-5</v>
      </c>
      <c r="AE284" s="13">
        <f t="shared" si="46"/>
        <v>2.610398354152655E-9</v>
      </c>
      <c r="AF284" s="13">
        <f t="shared" si="52"/>
        <v>3.2946359360706801E-9</v>
      </c>
      <c r="AG284" s="13">
        <f t="shared" si="53"/>
        <v>1.4547211675481816E-9</v>
      </c>
      <c r="AH284" s="10"/>
      <c r="AI284" s="13">
        <f t="shared" si="47"/>
        <v>9.7004704226063728E-13</v>
      </c>
      <c r="AJ284" s="10"/>
      <c r="AK284" s="10"/>
      <c r="AL284" s="10"/>
      <c r="AM284" s="10"/>
      <c r="AN284" s="10"/>
    </row>
    <row r="285" spans="19:40">
      <c r="S285" s="10"/>
      <c r="T285" s="12">
        <v>279</v>
      </c>
      <c r="U285" s="13">
        <f t="shared" si="48"/>
        <v>0.11670758801456452</v>
      </c>
      <c r="V285" s="13">
        <f t="shared" si="49"/>
        <v>1.12851148973744E-10</v>
      </c>
      <c r="W285" s="13">
        <f t="shared" si="54"/>
        <v>1.12851148973744E-10</v>
      </c>
      <c r="X285" s="13">
        <v>0</v>
      </c>
      <c r="Y285" s="13">
        <v>0</v>
      </c>
      <c r="Z285" s="13">
        <v>0</v>
      </c>
      <c r="AA285" s="13">
        <f t="shared" si="55"/>
        <v>4.3541355550291535E-5</v>
      </c>
      <c r="AB285" s="13">
        <f t="shared" si="56"/>
        <v>653.04999532386114</v>
      </c>
      <c r="AC285" s="13">
        <f t="shared" si="50"/>
        <v>653.0500388653295</v>
      </c>
      <c r="AD285" s="13">
        <f t="shared" si="51"/>
        <v>4.4029260850946401E-5</v>
      </c>
      <c r="AE285" s="13">
        <f t="shared" si="46"/>
        <v>2.4388456523403867E-9</v>
      </c>
      <c r="AF285" s="13">
        <f t="shared" si="52"/>
        <v>3.087213143460025E-9</v>
      </c>
      <c r="AG285" s="13">
        <f t="shared" si="53"/>
        <v>1.3591182786126822E-9</v>
      </c>
      <c r="AH285" s="10"/>
      <c r="AI285" s="13">
        <f t="shared" si="47"/>
        <v>8.6322297597921891E-13</v>
      </c>
      <c r="AJ285" s="10"/>
      <c r="AK285" s="10"/>
      <c r="AL285" s="10"/>
      <c r="AM285" s="10"/>
      <c r="AN285" s="10"/>
    </row>
    <row r="286" spans="19:40">
      <c r="S286" s="10"/>
      <c r="T286" s="12">
        <v>280</v>
      </c>
      <c r="U286" s="13">
        <f t="shared" si="48"/>
        <v>0.116779512672887</v>
      </c>
      <c r="V286" s="13">
        <f t="shared" si="49"/>
        <v>9.9652657986873868E-11</v>
      </c>
      <c r="W286" s="13">
        <f t="shared" si="54"/>
        <v>9.9652657986873868E-11</v>
      </c>
      <c r="X286" s="13">
        <v>0</v>
      </c>
      <c r="Y286" s="13">
        <v>0</v>
      </c>
      <c r="Z286" s="13">
        <v>0</v>
      </c>
      <c r="AA286" s="13">
        <f t="shared" si="55"/>
        <v>4.0800099586985233E-5</v>
      </c>
      <c r="AB286" s="13">
        <f t="shared" si="56"/>
        <v>653.04999806513024</v>
      </c>
      <c r="AC286" s="13">
        <f t="shared" si="50"/>
        <v>653.0500388653295</v>
      </c>
      <c r="AD286" s="13">
        <f t="shared" si="51"/>
        <v>4.1135686812782616E-5</v>
      </c>
      <c r="AE286" s="13">
        <f t="shared" si="46"/>
        <v>2.2785671939331379E-9</v>
      </c>
      <c r="AF286" s="13">
        <f t="shared" si="52"/>
        <v>2.892849200626192E-9</v>
      </c>
      <c r="AG286" s="13">
        <f t="shared" si="53"/>
        <v>1.2697983125598879E-9</v>
      </c>
      <c r="AH286" s="10"/>
      <c r="AI286" s="13">
        <f t="shared" si="47"/>
        <v>7.6810731980025736E-13</v>
      </c>
      <c r="AJ286" s="10"/>
      <c r="AK286" s="10"/>
      <c r="AL286" s="10"/>
      <c r="AM286" s="10"/>
      <c r="AN286" s="10"/>
    </row>
    <row r="287" spans="19:40">
      <c r="S287" s="10"/>
      <c r="T287" s="12">
        <v>281</v>
      </c>
      <c r="U287" s="13">
        <f t="shared" si="48"/>
        <v>0.11685122500377744</v>
      </c>
      <c r="V287" s="13">
        <f t="shared" si="49"/>
        <v>8.7990648418134433E-11</v>
      </c>
      <c r="W287" s="13">
        <f t="shared" si="54"/>
        <v>8.7990648418134433E-11</v>
      </c>
      <c r="X287" s="13">
        <v>0</v>
      </c>
      <c r="Y287" s="13">
        <v>0</v>
      </c>
      <c r="Z287" s="13">
        <v>0</v>
      </c>
      <c r="AA287" s="13">
        <f t="shared" si="55"/>
        <v>3.823142560896341E-5</v>
      </c>
      <c r="AB287" s="13">
        <f t="shared" si="56"/>
        <v>653.0500006338159</v>
      </c>
      <c r="AC287" s="13">
        <f t="shared" si="50"/>
        <v>653.0500388653295</v>
      </c>
      <c r="AD287" s="13">
        <f t="shared" si="51"/>
        <v>3.8432277000413906E-5</v>
      </c>
      <c r="AE287" s="13">
        <f t="shared" si="46"/>
        <v>2.1288220516670274E-9</v>
      </c>
      <c r="AF287" s="13">
        <f t="shared" si="52"/>
        <v>2.7107219552822552E-9</v>
      </c>
      <c r="AG287" s="13">
        <f t="shared" si="53"/>
        <v>1.1863483631420167E-9</v>
      </c>
      <c r="AH287" s="10"/>
      <c r="AI287" s="13">
        <f t="shared" si="47"/>
        <v>6.8342305594887847E-13</v>
      </c>
      <c r="AJ287" s="10"/>
      <c r="AK287" s="10"/>
      <c r="AL287" s="10"/>
      <c r="AM287" s="10"/>
      <c r="AN287" s="10"/>
    </row>
    <row r="288" spans="19:40">
      <c r="S288" s="10"/>
      <c r="T288" s="12">
        <v>282</v>
      </c>
      <c r="U288" s="13">
        <f t="shared" si="48"/>
        <v>0.11692272638632202</v>
      </c>
      <c r="V288" s="13">
        <f t="shared" si="49"/>
        <v>7.7687112470679306E-11</v>
      </c>
      <c r="W288" s="13">
        <f t="shared" si="54"/>
        <v>7.7687112470679306E-11</v>
      </c>
      <c r="X288" s="13">
        <v>0</v>
      </c>
      <c r="Y288" s="13">
        <v>0</v>
      </c>
      <c r="Z288" s="13">
        <v>0</v>
      </c>
      <c r="AA288" s="13">
        <f t="shared" si="55"/>
        <v>3.5824468407144297E-5</v>
      </c>
      <c r="AB288" s="13">
        <f t="shared" si="56"/>
        <v>653.05000304078339</v>
      </c>
      <c r="AC288" s="13">
        <f t="shared" si="50"/>
        <v>653.0500388653295</v>
      </c>
      <c r="AD288" s="13">
        <f t="shared" si="51"/>
        <v>3.5906533865266181E-5</v>
      </c>
      <c r="AE288" s="13">
        <f t="shared" si="46"/>
        <v>1.9889179906290623E-9</v>
      </c>
      <c r="AF288" s="13">
        <f t="shared" si="52"/>
        <v>2.5400610155353559E-9</v>
      </c>
      <c r="AG288" s="13">
        <f t="shared" si="53"/>
        <v>1.1083826597092037E-9</v>
      </c>
      <c r="AH288" s="10"/>
      <c r="AI288" s="13">
        <f t="shared" si="47"/>
        <v>6.0803173906711102E-13</v>
      </c>
      <c r="AJ288" s="10"/>
      <c r="AK288" s="10"/>
      <c r="AL288" s="10"/>
      <c r="AM288" s="10"/>
      <c r="AN288" s="10"/>
    </row>
    <row r="289" spans="19:40">
      <c r="S289" s="10"/>
      <c r="T289" s="12">
        <v>283</v>
      </c>
      <c r="U289" s="13">
        <f t="shared" si="48"/>
        <v>0.11699401818579809</v>
      </c>
      <c r="V289" s="13">
        <f t="shared" si="49"/>
        <v>6.8584562341123243E-11</v>
      </c>
      <c r="W289" s="13">
        <f t="shared" si="54"/>
        <v>6.8584562341123243E-11</v>
      </c>
      <c r="X289" s="13">
        <v>0</v>
      </c>
      <c r="Y289" s="13">
        <v>0</v>
      </c>
      <c r="Z289" s="13">
        <v>0</v>
      </c>
      <c r="AA289" s="13">
        <f t="shared" si="55"/>
        <v>3.3569046801914012E-5</v>
      </c>
      <c r="AB289" s="13">
        <f t="shared" si="56"/>
        <v>653.05000529621407</v>
      </c>
      <c r="AC289" s="13">
        <f t="shared" si="50"/>
        <v>653.0500388653295</v>
      </c>
      <c r="AD289" s="13">
        <f t="shared" si="51"/>
        <v>3.3546781200693476E-5</v>
      </c>
      <c r="AE289" s="13">
        <f t="shared" si="46"/>
        <v>1.8582082683265382E-9</v>
      </c>
      <c r="AF289" s="13">
        <f t="shared" si="52"/>
        <v>2.3801444912260189E-9</v>
      </c>
      <c r="AG289" s="13">
        <f t="shared" si="53"/>
        <v>1.0355407839106466E-9</v>
      </c>
      <c r="AH289" s="10"/>
      <c r="AI289" s="13">
        <f t="shared" si="47"/>
        <v>5.4091853936474969E-13</v>
      </c>
      <c r="AJ289" s="10"/>
      <c r="AK289" s="10"/>
      <c r="AL289" s="10"/>
      <c r="AM289" s="10"/>
      <c r="AN289" s="10"/>
    </row>
    <row r="290" spans="19:40">
      <c r="S290" s="10"/>
      <c r="T290" s="12">
        <v>284</v>
      </c>
      <c r="U290" s="13">
        <f t="shared" si="48"/>
        <v>0.11706510175386067</v>
      </c>
      <c r="V290" s="13">
        <f t="shared" si="49"/>
        <v>6.0543677052450077E-11</v>
      </c>
      <c r="W290" s="13">
        <f t="shared" si="54"/>
        <v>6.0543677052450077E-11</v>
      </c>
      <c r="X290" s="13">
        <v>0</v>
      </c>
      <c r="Y290" s="13">
        <v>0</v>
      </c>
      <c r="Z290" s="13">
        <v>0</v>
      </c>
      <c r="AA290" s="13">
        <f t="shared" si="55"/>
        <v>3.1455620580467049E-5</v>
      </c>
      <c r="AB290" s="13">
        <f t="shared" si="56"/>
        <v>653.05000740964829</v>
      </c>
      <c r="AC290" s="13">
        <f t="shared" si="50"/>
        <v>653.05003886532938</v>
      </c>
      <c r="AD290" s="13">
        <f t="shared" si="51"/>
        <v>3.1342110162505162E-5</v>
      </c>
      <c r="AE290" s="13">
        <f t="shared" si="46"/>
        <v>1.736088645042703E-9</v>
      </c>
      <c r="AF290" s="13">
        <f t="shared" si="52"/>
        <v>2.2302959404185904E-9</v>
      </c>
      <c r="AG290" s="13">
        <f t="shared" si="53"/>
        <v>9.6748600358914526E-10</v>
      </c>
      <c r="AH290" s="10"/>
      <c r="AI290" s="13">
        <f t="shared" si="47"/>
        <v>4.8117889115969506E-13</v>
      </c>
      <c r="AJ290" s="10"/>
      <c r="AK290" s="10"/>
      <c r="AL290" s="10"/>
      <c r="AM290" s="10"/>
      <c r="AN290" s="10"/>
    </row>
    <row r="291" spans="19:40">
      <c r="S291" s="10"/>
      <c r="T291" s="12">
        <v>285</v>
      </c>
      <c r="U291" s="13">
        <f t="shared" si="48"/>
        <v>0.11713597842872585</v>
      </c>
      <c r="V291" s="13">
        <f t="shared" si="49"/>
        <v>5.34412176783861E-11</v>
      </c>
      <c r="W291" s="13">
        <f t="shared" si="54"/>
        <v>5.34412176783861E-11</v>
      </c>
      <c r="X291" s="13">
        <v>0</v>
      </c>
      <c r="Y291" s="13">
        <v>0</v>
      </c>
      <c r="Z291" s="13">
        <v>0</v>
      </c>
      <c r="AA291" s="13">
        <f t="shared" si="55"/>
        <v>2.9475250145010247E-5</v>
      </c>
      <c r="AB291" s="13">
        <f t="shared" si="56"/>
        <v>653.05000939002582</v>
      </c>
      <c r="AC291" s="13">
        <f t="shared" si="50"/>
        <v>653.05003886532938</v>
      </c>
      <c r="AD291" s="13">
        <f t="shared" si="51"/>
        <v>2.9282328837159676E-5</v>
      </c>
      <c r="AE291" s="13">
        <f t="shared" si="46"/>
        <v>1.6219945906600493E-9</v>
      </c>
      <c r="AF291" s="13">
        <f t="shared" si="52"/>
        <v>2.0898815081277322E-9</v>
      </c>
      <c r="AG291" s="13">
        <f t="shared" si="53"/>
        <v>9.0390371616759744E-10</v>
      </c>
      <c r="AH291" s="10"/>
      <c r="AI291" s="13">
        <f t="shared" si="47"/>
        <v>4.2800657549866314E-13</v>
      </c>
      <c r="AJ291" s="10"/>
      <c r="AK291" s="10"/>
      <c r="AL291" s="10"/>
      <c r="AM291" s="10"/>
      <c r="AN291" s="10"/>
    </row>
    <row r="292" spans="19:40">
      <c r="S292" s="10"/>
      <c r="T292" s="12">
        <v>286</v>
      </c>
      <c r="U292" s="13">
        <f t="shared" si="48"/>
        <v>0.11720664953535087</v>
      </c>
      <c r="V292" s="13">
        <f t="shared" si="49"/>
        <v>4.7168180521027904E-11</v>
      </c>
      <c r="W292" s="13">
        <f t="shared" si="54"/>
        <v>4.7168180521027904E-11</v>
      </c>
      <c r="X292" s="13">
        <v>0</v>
      </c>
      <c r="Y292" s="13">
        <v>0</v>
      </c>
      <c r="Z292" s="13">
        <v>0</v>
      </c>
      <c r="AA292" s="13">
        <f t="shared" si="55"/>
        <v>2.7619558701190575E-5</v>
      </c>
      <c r="AB292" s="13">
        <f t="shared" si="56"/>
        <v>653.05001124572357</v>
      </c>
      <c r="AC292" s="13">
        <f t="shared" si="50"/>
        <v>653.05003886532938</v>
      </c>
      <c r="AD292" s="13">
        <f t="shared" si="51"/>
        <v>2.7357915124454285E-5</v>
      </c>
      <c r="AE292" s="13">
        <f t="shared" si="46"/>
        <v>1.5153986750406476E-9</v>
      </c>
      <c r="AF292" s="13">
        <f t="shared" si="52"/>
        <v>1.9583072451789403E-9</v>
      </c>
      <c r="AG292" s="13">
        <f t="shared" si="53"/>
        <v>8.4449999433209209E-10</v>
      </c>
      <c r="AH292" s="10"/>
      <c r="AI292" s="13">
        <f t="shared" si="47"/>
        <v>3.80683083717083E-13</v>
      </c>
      <c r="AJ292" s="10"/>
      <c r="AK292" s="10"/>
      <c r="AL292" s="10"/>
      <c r="AM292" s="10"/>
      <c r="AN292" s="10"/>
    </row>
    <row r="293" spans="19:40">
      <c r="S293" s="10"/>
      <c r="T293" s="12">
        <v>287</v>
      </c>
      <c r="U293" s="13">
        <f t="shared" si="48"/>
        <v>0.11727711638561159</v>
      </c>
      <c r="V293" s="13">
        <f t="shared" si="49"/>
        <v>4.1628161235044393E-11</v>
      </c>
      <c r="W293" s="13">
        <f t="shared" si="54"/>
        <v>4.1628161235044393E-11</v>
      </c>
      <c r="X293" s="13">
        <v>0</v>
      </c>
      <c r="Y293" s="13">
        <v>0</v>
      </c>
      <c r="Z293" s="13">
        <v>0</v>
      </c>
      <c r="AA293" s="13">
        <f t="shared" si="55"/>
        <v>2.5880696826846753E-5</v>
      </c>
      <c r="AB293" s="13">
        <f t="shared" si="56"/>
        <v>653.05001298459092</v>
      </c>
      <c r="AC293" s="13">
        <f t="shared" si="50"/>
        <v>653.05003886532938</v>
      </c>
      <c r="AD293" s="13">
        <f t="shared" si="51"/>
        <v>2.5559972716866893E-5</v>
      </c>
      <c r="AE293" s="13">
        <f t="shared" si="46"/>
        <v>1.4158081299012525E-9</v>
      </c>
      <c r="AF293" s="13">
        <f t="shared" si="52"/>
        <v>1.8350165958628691E-9</v>
      </c>
      <c r="AG293" s="13">
        <f t="shared" si="53"/>
        <v>7.8900022728907338E-10</v>
      </c>
      <c r="AH293" s="10"/>
      <c r="AI293" s="13">
        <f t="shared" si="47"/>
        <v>3.3856812505103339E-13</v>
      </c>
      <c r="AJ293" s="10"/>
      <c r="AK293" s="10"/>
      <c r="AL293" s="10"/>
      <c r="AM293" s="10"/>
      <c r="AN293" s="10"/>
    </row>
    <row r="294" spans="19:40">
      <c r="S294" s="10"/>
      <c r="T294" s="12">
        <v>288</v>
      </c>
      <c r="U294" s="13">
        <f t="shared" si="48"/>
        <v>0.11734738027847641</v>
      </c>
      <c r="V294" s="13">
        <f t="shared" si="49"/>
        <v>3.6735905938847115E-11</v>
      </c>
      <c r="W294" s="13">
        <f t="shared" si="54"/>
        <v>3.6735905938847115E-11</v>
      </c>
      <c r="X294" s="13">
        <v>0</v>
      </c>
      <c r="Y294" s="13">
        <v>0</v>
      </c>
      <c r="Z294" s="13">
        <v>0</v>
      </c>
      <c r="AA294" s="13">
        <f t="shared" si="55"/>
        <v>2.4251309271248583E-5</v>
      </c>
      <c r="AB294" s="13">
        <f t="shared" si="56"/>
        <v>653.05001461398331</v>
      </c>
      <c r="AC294" s="13">
        <f t="shared" si="50"/>
        <v>653.05003886532927</v>
      </c>
      <c r="AD294" s="13">
        <f t="shared" si="51"/>
        <v>2.3880189972024109E-5</v>
      </c>
      <c r="AE294" s="13">
        <f t="shared" si="46"/>
        <v>1.3227625709135343E-9</v>
      </c>
      <c r="AF294" s="13">
        <f t="shared" si="52"/>
        <v>1.719488043757142E-9</v>
      </c>
      <c r="AG294" s="13">
        <f t="shared" si="53"/>
        <v>7.371478513158169E-10</v>
      </c>
      <c r="AH294" s="10"/>
      <c r="AI294" s="13">
        <f t="shared" si="47"/>
        <v>3.0109115595390432E-13</v>
      </c>
      <c r="AJ294" s="10"/>
      <c r="AK294" s="10"/>
      <c r="AL294" s="10"/>
      <c r="AM294" s="10"/>
      <c r="AN294" s="10"/>
    </row>
    <row r="295" spans="19:40">
      <c r="S295" s="10"/>
      <c r="T295" s="12">
        <v>289</v>
      </c>
      <c r="U295" s="13">
        <f t="shared" si="48"/>
        <v>0.1174174425001778</v>
      </c>
      <c r="V295" s="13">
        <f t="shared" si="49"/>
        <v>3.241602805853239E-11</v>
      </c>
      <c r="W295" s="13">
        <f t="shared" si="54"/>
        <v>3.241602805853239E-11</v>
      </c>
      <c r="X295" s="13">
        <v>0</v>
      </c>
      <c r="Y295" s="13">
        <v>0</v>
      </c>
      <c r="Z295" s="13">
        <v>0</v>
      </c>
      <c r="AA295" s="13">
        <f t="shared" si="55"/>
        <v>2.2724503844418526E-5</v>
      </c>
      <c r="AB295" s="13">
        <f t="shared" si="56"/>
        <v>653.0500161407931</v>
      </c>
      <c r="AC295" s="13">
        <f t="shared" si="50"/>
        <v>653.05003886532938</v>
      </c>
      <c r="AD295" s="13">
        <f t="shared" si="51"/>
        <v>2.2310801488147381E-5</v>
      </c>
      <c r="AE295" s="13">
        <f t="shared" si="46"/>
        <v>1.2358318695003245E-9</v>
      </c>
      <c r="AF295" s="13">
        <f t="shared" si="52"/>
        <v>1.6112329057582635E-9</v>
      </c>
      <c r="AG295" s="13">
        <f t="shared" si="53"/>
        <v>6.8870316373617643E-10</v>
      </c>
      <c r="AH295" s="10"/>
      <c r="AI295" s="13">
        <f t="shared" si="47"/>
        <v>2.6774382177532101E-13</v>
      </c>
      <c r="AJ295" s="10"/>
      <c r="AK295" s="10"/>
      <c r="AL295" s="10"/>
      <c r="AM295" s="10"/>
      <c r="AN295" s="10"/>
    </row>
    <row r="296" spans="19:40">
      <c r="S296" s="10"/>
      <c r="T296" s="12">
        <v>290</v>
      </c>
      <c r="U296" s="13">
        <f t="shared" si="48"/>
        <v>0.11748730432438062</v>
      </c>
      <c r="V296" s="13">
        <f t="shared" si="49"/>
        <v>2.8601872052203968E-11</v>
      </c>
      <c r="W296" s="13">
        <f t="shared" si="54"/>
        <v>2.8601872052203968E-11</v>
      </c>
      <c r="X296" s="13">
        <v>0</v>
      </c>
      <c r="Y296" s="13">
        <v>0</v>
      </c>
      <c r="Z296" s="13">
        <v>0</v>
      </c>
      <c r="AA296" s="13">
        <f t="shared" si="55"/>
        <v>2.1293822264967382E-5</v>
      </c>
      <c r="AB296" s="13">
        <f t="shared" si="56"/>
        <v>653.05001757147852</v>
      </c>
      <c r="AC296" s="13">
        <f t="shared" si="50"/>
        <v>653.05003886532938</v>
      </c>
      <c r="AD296" s="13">
        <f t="shared" si="51"/>
        <v>2.0844552204827175E-5</v>
      </c>
      <c r="AE296" s="13">
        <f t="shared" si="46"/>
        <v>1.1546141644906363E-9</v>
      </c>
      <c r="AF296" s="13">
        <f t="shared" si="52"/>
        <v>1.509793264993093E-9</v>
      </c>
      <c r="AG296" s="13">
        <f t="shared" si="53"/>
        <v>6.4344221483919872E-10</v>
      </c>
      <c r="AH296" s="10"/>
      <c r="AI296" s="13">
        <f t="shared" si="47"/>
        <v>2.3807321309199561E-13</v>
      </c>
      <c r="AJ296" s="10"/>
      <c r="AK296" s="10"/>
      <c r="AL296" s="10"/>
      <c r="AM296" s="10"/>
      <c r="AN296" s="10"/>
    </row>
    <row r="297" spans="19:40">
      <c r="S297" s="10"/>
      <c r="T297" s="12">
        <v>291</v>
      </c>
      <c r="U297" s="13">
        <f t="shared" si="48"/>
        <v>0.11755696701234787</v>
      </c>
      <c r="V297" s="13">
        <f t="shared" si="49"/>
        <v>2.5234507294337193E-11</v>
      </c>
      <c r="W297" s="13">
        <f t="shared" si="54"/>
        <v>2.5234507294337193E-11</v>
      </c>
      <c r="X297" s="13">
        <v>0</v>
      </c>
      <c r="Y297" s="13">
        <v>0</v>
      </c>
      <c r="Z297" s="13">
        <v>0</v>
      </c>
      <c r="AA297" s="13">
        <f t="shared" si="55"/>
        <v>1.9953212843156908E-5</v>
      </c>
      <c r="AB297" s="13">
        <f t="shared" si="56"/>
        <v>653.05001891209133</v>
      </c>
      <c r="AC297" s="13">
        <f t="shared" si="50"/>
        <v>653.05003886532938</v>
      </c>
      <c r="AD297" s="13">
        <f t="shared" si="51"/>
        <v>1.9474663863151185E-5</v>
      </c>
      <c r="AE297" s="13">
        <f t="shared" si="46"/>
        <v>1.0787340044426376E-9</v>
      </c>
      <c r="AF297" s="13">
        <f t="shared" si="52"/>
        <v>1.4147400338667126E-9</v>
      </c>
      <c r="AG297" s="13">
        <f t="shared" si="53"/>
        <v>6.0115577261844384E-10</v>
      </c>
      <c r="AH297" s="10"/>
      <c r="AI297" s="13">
        <f t="shared" si="47"/>
        <v>2.1167584938175296E-13</v>
      </c>
      <c r="AJ297" s="10"/>
      <c r="AK297" s="10"/>
      <c r="AL297" s="10"/>
      <c r="AM297" s="10"/>
      <c r="AN297" s="10"/>
    </row>
    <row r="298" spans="19:40">
      <c r="S298" s="10"/>
      <c r="T298" s="12">
        <v>292</v>
      </c>
      <c r="U298" s="13">
        <f t="shared" si="48"/>
        <v>0.11762643181310346</v>
      </c>
      <c r="V298" s="13">
        <f t="shared" si="49"/>
        <v>2.2261837292246135E-11</v>
      </c>
      <c r="W298" s="13">
        <f t="shared" si="54"/>
        <v>2.2261837292246135E-11</v>
      </c>
      <c r="X298" s="13">
        <v>0</v>
      </c>
      <c r="Y298" s="13">
        <v>0</v>
      </c>
      <c r="Z298" s="13">
        <v>0</v>
      </c>
      <c r="AA298" s="13">
        <f t="shared" si="55"/>
        <v>1.8697004883662316E-5</v>
      </c>
      <c r="AB298" s="13">
        <f t="shared" si="56"/>
        <v>653.05002016830224</v>
      </c>
      <c r="AC298" s="13">
        <f t="shared" si="50"/>
        <v>653.05003886532938</v>
      </c>
      <c r="AD298" s="13">
        <f t="shared" si="51"/>
        <v>1.8194803670121933E-5</v>
      </c>
      <c r="AE298" s="13">
        <f t="shared" si="46"/>
        <v>1.0078406120477151E-9</v>
      </c>
      <c r="AF298" s="13">
        <f t="shared" si="52"/>
        <v>1.3256711390539365E-9</v>
      </c>
      <c r="AG298" s="13">
        <f t="shared" si="53"/>
        <v>5.6164835554648238E-10</v>
      </c>
      <c r="AH298" s="10"/>
      <c r="AI298" s="13">
        <f t="shared" si="47"/>
        <v>1.8819231203395458E-13</v>
      </c>
      <c r="AJ298" s="10"/>
      <c r="AK298" s="10"/>
      <c r="AL298" s="10"/>
      <c r="AM298" s="10"/>
      <c r="AN298" s="10"/>
    </row>
    <row r="299" spans="19:40">
      <c r="S299" s="10"/>
      <c r="T299" s="12">
        <v>293</v>
      </c>
      <c r="U299" s="13">
        <f t="shared" si="48"/>
        <v>0.11769569996359255</v>
      </c>
      <c r="V299" s="13">
        <f t="shared" si="49"/>
        <v>1.9637811086230059E-11</v>
      </c>
      <c r="W299" s="13">
        <f t="shared" si="54"/>
        <v>1.9637811086230059E-11</v>
      </c>
      <c r="X299" s="13">
        <v>0</v>
      </c>
      <c r="Y299" s="13">
        <v>0</v>
      </c>
      <c r="Z299" s="13">
        <v>0</v>
      </c>
      <c r="AA299" s="13">
        <f t="shared" si="55"/>
        <v>1.7519884699779204E-5</v>
      </c>
      <c r="AB299" s="13">
        <f t="shared" si="56"/>
        <v>653.05002134542508</v>
      </c>
      <c r="AC299" s="13">
        <f t="shared" si="50"/>
        <v>653.05003886532938</v>
      </c>
      <c r="AD299" s="13">
        <f t="shared" si="51"/>
        <v>1.6999055022490915E-5</v>
      </c>
      <c r="AE299" s="13">
        <f t="shared" si="46"/>
        <v>9.4160626259300474E-10</v>
      </c>
      <c r="AF299" s="13">
        <f t="shared" si="52"/>
        <v>1.2422098207574594E-9</v>
      </c>
      <c r="AG299" s="13">
        <f t="shared" si="53"/>
        <v>5.2473732891349825E-10</v>
      </c>
      <c r="AH299" s="10"/>
      <c r="AI299" s="13">
        <f t="shared" si="47"/>
        <v>1.6730245700599826E-13</v>
      </c>
      <c r="AJ299" s="10"/>
      <c r="AK299" s="10"/>
      <c r="AL299" s="10"/>
      <c r="AM299" s="10"/>
      <c r="AN299" s="10"/>
    </row>
    <row r="300" spans="19:40">
      <c r="S300" s="10"/>
      <c r="T300" s="12">
        <v>294</v>
      </c>
      <c r="U300" s="13">
        <f t="shared" si="48"/>
        <v>0.11776477268883905</v>
      </c>
      <c r="V300" s="13">
        <f t="shared" si="49"/>
        <v>1.7321725175401143E-11</v>
      </c>
      <c r="W300" s="13">
        <f t="shared" si="54"/>
        <v>1.7321725175401143E-11</v>
      </c>
      <c r="X300" s="13">
        <v>0</v>
      </c>
      <c r="Y300" s="13">
        <v>0</v>
      </c>
      <c r="Z300" s="13">
        <v>0</v>
      </c>
      <c r="AA300" s="13">
        <f t="shared" si="55"/>
        <v>1.6416873137633511E-5</v>
      </c>
      <c r="AB300" s="13">
        <f t="shared" si="56"/>
        <v>653.05002244843899</v>
      </c>
      <c r="AC300" s="13">
        <f t="shared" si="50"/>
        <v>653.0500388653295</v>
      </c>
      <c r="AD300" s="13">
        <f t="shared" si="51"/>
        <v>1.5881890154658134E-5</v>
      </c>
      <c r="AE300" s="13">
        <f t="shared" si="46"/>
        <v>8.7972476898697185E-10</v>
      </c>
      <c r="AF300" s="13">
        <f t="shared" si="52"/>
        <v>1.1640030390389379E-9</v>
      </c>
      <c r="AG300" s="13">
        <f t="shared" si="53"/>
        <v>4.9025206055275591E-10</v>
      </c>
      <c r="AH300" s="10"/>
      <c r="AI300" s="13">
        <f t="shared" si="47"/>
        <v>1.487211448716635E-13</v>
      </c>
      <c r="AJ300" s="10"/>
      <c r="AK300" s="10"/>
      <c r="AL300" s="10"/>
      <c r="AM300" s="10"/>
      <c r="AN300" s="10"/>
    </row>
    <row r="301" spans="19:40">
      <c r="S301" s="10"/>
      <c r="T301" s="12">
        <v>295</v>
      </c>
      <c r="U301" s="13">
        <f t="shared" si="48"/>
        <v>0.11783365120210072</v>
      </c>
      <c r="V301" s="13">
        <f t="shared" si="49"/>
        <v>1.5277605633685847E-11</v>
      </c>
      <c r="W301" s="13">
        <f t="shared" si="54"/>
        <v>1.5277605633685847E-11</v>
      </c>
      <c r="X301" s="13">
        <v>0</v>
      </c>
      <c r="Y301" s="13">
        <v>0</v>
      </c>
      <c r="Z301" s="13">
        <v>0</v>
      </c>
      <c r="AA301" s="13">
        <f t="shared" si="55"/>
        <v>1.5383304515338311E-5</v>
      </c>
      <c r="AB301" s="13">
        <f t="shared" si="56"/>
        <v>653.05002348200969</v>
      </c>
      <c r="AC301" s="13">
        <f t="shared" si="50"/>
        <v>653.0500388653295</v>
      </c>
      <c r="AD301" s="13">
        <f t="shared" si="51"/>
        <v>1.4838144584182193E-5</v>
      </c>
      <c r="AE301" s="13">
        <f t="shared" si="46"/>
        <v>8.2191006634515976E-10</v>
      </c>
      <c r="AF301" s="13">
        <f t="shared" si="52"/>
        <v>1.0907199804821655E-9</v>
      </c>
      <c r="AG301" s="13">
        <f t="shared" si="53"/>
        <v>4.5803313205019155E-10</v>
      </c>
      <c r="AH301" s="10"/>
      <c r="AI301" s="13">
        <f t="shared" si="47"/>
        <v>1.3219443265372734E-13</v>
      </c>
      <c r="AJ301" s="10"/>
      <c r="AK301" s="10"/>
      <c r="AL301" s="10"/>
      <c r="AM301" s="10"/>
      <c r="AN301" s="10"/>
    </row>
    <row r="302" spans="19:40">
      <c r="S302" s="10"/>
      <c r="T302" s="12">
        <v>296</v>
      </c>
      <c r="U302" s="13">
        <f t="shared" si="48"/>
        <v>0.1179023367050214</v>
      </c>
      <c r="V302" s="13">
        <f t="shared" si="49"/>
        <v>1.347366125385112E-11</v>
      </c>
      <c r="W302" s="13">
        <f t="shared" si="54"/>
        <v>1.347366125385112E-11</v>
      </c>
      <c r="X302" s="13">
        <v>0</v>
      </c>
      <c r="Y302" s="13">
        <v>0</v>
      </c>
      <c r="Z302" s="13">
        <v>0</v>
      </c>
      <c r="AA302" s="13">
        <f t="shared" si="55"/>
        <v>1.4414806888024617E-5</v>
      </c>
      <c r="AB302" s="13">
        <f t="shared" si="56"/>
        <v>653.05002445050911</v>
      </c>
      <c r="AC302" s="13">
        <f t="shared" si="50"/>
        <v>653.0500388653295</v>
      </c>
      <c r="AD302" s="13">
        <f t="shared" si="51"/>
        <v>1.386299323675733E-5</v>
      </c>
      <c r="AE302" s="13">
        <f t="shared" si="46"/>
        <v>7.6789488959340939E-10</v>
      </c>
      <c r="AF302" s="13">
        <f t="shared" si="52"/>
        <v>1.0220506588718607E-9</v>
      </c>
      <c r="AG302" s="13">
        <f t="shared" si="53"/>
        <v>4.2793160179186701E-10</v>
      </c>
      <c r="AH302" s="10"/>
      <c r="AI302" s="13">
        <f t="shared" si="47"/>
        <v>1.1749617777548859E-13</v>
      </c>
      <c r="AJ302" s="10"/>
      <c r="AK302" s="10"/>
      <c r="AL302" s="10"/>
      <c r="AM302" s="10"/>
      <c r="AN302" s="10"/>
    </row>
    <row r="303" spans="19:40">
      <c r="S303" s="10"/>
      <c r="T303" s="12">
        <v>297</v>
      </c>
      <c r="U303" s="13">
        <f t="shared" si="48"/>
        <v>0.11797083038778133</v>
      </c>
      <c r="V303" s="13">
        <f t="shared" si="49"/>
        <v>1.1881799598345678E-11</v>
      </c>
      <c r="W303" s="13">
        <f t="shared" si="54"/>
        <v>1.1881799598345678E-11</v>
      </c>
      <c r="X303" s="13">
        <v>0</v>
      </c>
      <c r="Y303" s="13">
        <v>0</v>
      </c>
      <c r="Z303" s="13">
        <v>0</v>
      </c>
      <c r="AA303" s="13">
        <f t="shared" si="55"/>
        <v>1.350728355528016E-5</v>
      </c>
      <c r="AB303" s="13">
        <f t="shared" si="56"/>
        <v>653.05002535803408</v>
      </c>
      <c r="AC303" s="13">
        <f t="shared" si="50"/>
        <v>653.0500388653295</v>
      </c>
      <c r="AD303" s="13">
        <f t="shared" si="51"/>
        <v>1.2951928140278714E-5</v>
      </c>
      <c r="AE303" s="13">
        <f t="shared" si="46"/>
        <v>7.1742953797579773E-10</v>
      </c>
      <c r="AF303" s="13">
        <f t="shared" si="52"/>
        <v>9.5770460396924822E-10</v>
      </c>
      <c r="AG303" s="13">
        <f t="shared" si="53"/>
        <v>3.9980831644263492E-10</v>
      </c>
      <c r="AH303" s="10"/>
      <c r="AI303" s="13">
        <f t="shared" si="47"/>
        <v>1.0442500977620959E-13</v>
      </c>
      <c r="AJ303" s="10"/>
      <c r="AK303" s="10"/>
      <c r="AL303" s="10"/>
      <c r="AM303" s="10"/>
      <c r="AN303" s="10"/>
    </row>
    <row r="304" spans="19:40">
      <c r="S304" s="10"/>
      <c r="T304" s="12">
        <v>298</v>
      </c>
      <c r="U304" s="13">
        <f t="shared" si="48"/>
        <v>0.11803913342924435</v>
      </c>
      <c r="V304" s="13">
        <f t="shared" si="49"/>
        <v>1.0477198759117412E-11</v>
      </c>
      <c r="W304" s="13">
        <f t="shared" si="54"/>
        <v>1.0477198759117412E-11</v>
      </c>
      <c r="X304" s="13">
        <v>0</v>
      </c>
      <c r="Y304" s="13">
        <v>0</v>
      </c>
      <c r="Z304" s="13">
        <v>0</v>
      </c>
      <c r="AA304" s="13">
        <f t="shared" si="55"/>
        <v>1.2656895732784024E-5</v>
      </c>
      <c r="AB304" s="13">
        <f t="shared" si="56"/>
        <v>653.05002620842333</v>
      </c>
      <c r="AC304" s="13">
        <f t="shared" si="50"/>
        <v>653.0500388653295</v>
      </c>
      <c r="AD304" s="13">
        <f t="shared" si="51"/>
        <v>1.2100737584872125E-5</v>
      </c>
      <c r="AE304" s="13">
        <f t="shared" si="46"/>
        <v>6.702807207562358E-10</v>
      </c>
      <c r="AF304" s="13">
        <f t="shared" si="52"/>
        <v>8.9740963283820352E-10</v>
      </c>
      <c r="AG304" s="13">
        <f t="shared" si="53"/>
        <v>3.7353326767323946E-10</v>
      </c>
      <c r="AH304" s="10"/>
      <c r="AI304" s="13">
        <f t="shared" si="47"/>
        <v>9.2801630182181888E-14</v>
      </c>
      <c r="AJ304" s="10"/>
      <c r="AK304" s="10"/>
      <c r="AL304" s="10"/>
      <c r="AM304" s="10"/>
      <c r="AN304" s="10"/>
    </row>
    <row r="305" spans="19:40">
      <c r="S305" s="10"/>
      <c r="T305" s="12">
        <v>299</v>
      </c>
      <c r="U305" s="13">
        <f t="shared" si="48"/>
        <v>0.1181072469971033</v>
      </c>
      <c r="V305" s="13">
        <f t="shared" si="49"/>
        <v>9.2379284475671939E-12</v>
      </c>
      <c r="W305" s="13">
        <f t="shared" si="54"/>
        <v>9.2379284475671939E-12</v>
      </c>
      <c r="X305" s="13">
        <v>0</v>
      </c>
      <c r="Y305" s="13">
        <v>0</v>
      </c>
      <c r="Z305" s="13">
        <v>0</v>
      </c>
      <c r="AA305" s="13">
        <f t="shared" si="55"/>
        <v>1.1860046314848236E-5</v>
      </c>
      <c r="AB305" s="13">
        <f t="shared" si="56"/>
        <v>653.05002700527393</v>
      </c>
      <c r="AC305" s="13">
        <f t="shared" si="50"/>
        <v>653.0500388653295</v>
      </c>
      <c r="AD305" s="13">
        <f t="shared" si="51"/>
        <v>1.1305486652541586E-5</v>
      </c>
      <c r="AE305" s="13">
        <f t="shared" si="46"/>
        <v>6.2623047877795819E-10</v>
      </c>
      <c r="AF305" s="13">
        <f t="shared" si="52"/>
        <v>8.4091069852491235E-10</v>
      </c>
      <c r="AG305" s="13">
        <f t="shared" si="53"/>
        <v>3.4898499116223339E-10</v>
      </c>
      <c r="AH305" s="10"/>
      <c r="AI305" s="13">
        <f t="shared" si="47"/>
        <v>8.2466405166239686E-14</v>
      </c>
      <c r="AJ305" s="10"/>
      <c r="AK305" s="10"/>
      <c r="AL305" s="10"/>
      <c r="AM305" s="10"/>
      <c r="AN305" s="10"/>
    </row>
    <row r="306" spans="19:40">
      <c r="S306" s="10"/>
      <c r="T306" s="12">
        <v>300</v>
      </c>
      <c r="U306" s="13">
        <f t="shared" si="48"/>
        <v>0.11817517224802268</v>
      </c>
      <c r="V306" s="13">
        <f t="shared" si="49"/>
        <v>8.144614762152017E-12</v>
      </c>
      <c r="W306" s="13">
        <f t="shared" si="54"/>
        <v>8.144614762152017E-12</v>
      </c>
      <c r="X306" s="13">
        <v>0</v>
      </c>
      <c r="Y306" s="13">
        <v>0</v>
      </c>
      <c r="Z306" s="13">
        <v>0</v>
      </c>
      <c r="AA306" s="13">
        <f t="shared" si="55"/>
        <v>1.1113364659190871E-5</v>
      </c>
      <c r="AB306" s="13">
        <f t="shared" si="56"/>
        <v>653.05002775195669</v>
      </c>
      <c r="AC306" s="13">
        <f t="shared" si="50"/>
        <v>653.0500388653295</v>
      </c>
      <c r="AD306" s="13">
        <f t="shared" si="51"/>
        <v>1.0562499026421226E-5</v>
      </c>
      <c r="AE306" s="13">
        <f t="shared" si="46"/>
        <v>5.8507517689578621E-10</v>
      </c>
      <c r="AF306" s="13">
        <f t="shared" si="52"/>
        <v>7.8796881122116621E-10</v>
      </c>
      <c r="AG306" s="13">
        <f t="shared" si="53"/>
        <v>3.26050005094512E-10</v>
      </c>
      <c r="AH306" s="10"/>
      <c r="AI306" s="13">
        <f t="shared" si="47"/>
        <v>7.3277219418850526E-14</v>
      </c>
      <c r="AJ306" s="10"/>
      <c r="AK306" s="10"/>
      <c r="AL306" s="10"/>
      <c r="AM306" s="10"/>
      <c r="AN306" s="10"/>
    </row>
    <row r="307" spans="19:40">
      <c r="S307" s="10"/>
      <c r="T307" s="12">
        <v>301</v>
      </c>
      <c r="U307" s="13">
        <f t="shared" si="48"/>
        <v>0.11824291032777928</v>
      </c>
      <c r="V307" s="13">
        <f t="shared" si="49"/>
        <v>7.1801436252728882E-12</v>
      </c>
      <c r="W307" s="13">
        <f t="shared" si="54"/>
        <v>7.1801436252728882E-12</v>
      </c>
      <c r="X307" s="13">
        <v>0</v>
      </c>
      <c r="Y307" s="13">
        <v>0</v>
      </c>
      <c r="Z307" s="13">
        <v>0</v>
      </c>
      <c r="AA307" s="13">
        <f t="shared" si="55"/>
        <v>1.041369232958817E-5</v>
      </c>
      <c r="AB307" s="13">
        <f t="shared" si="56"/>
        <v>653.05002845162994</v>
      </c>
      <c r="AC307" s="13">
        <f t="shared" si="50"/>
        <v>653.0500388653295</v>
      </c>
      <c r="AD307" s="13">
        <f t="shared" si="51"/>
        <v>9.8683399955334151E-6</v>
      </c>
      <c r="AE307" s="13">
        <f t="shared" si="46"/>
        <v>5.4662456262362755E-10</v>
      </c>
      <c r="AF307" s="13">
        <f t="shared" si="52"/>
        <v>7.3836002734799418E-10</v>
      </c>
      <c r="AG307" s="13">
        <f t="shared" si="53"/>
        <v>3.0462228556083272E-10</v>
      </c>
      <c r="AH307" s="10"/>
      <c r="AI307" s="13">
        <f t="shared" si="47"/>
        <v>6.5107563039990896E-14</v>
      </c>
      <c r="AJ307" s="10"/>
      <c r="AK307" s="10"/>
      <c r="AL307" s="10"/>
      <c r="AM307" s="10"/>
      <c r="AN307" s="10"/>
    </row>
    <row r="308" spans="19:40">
      <c r="S308" s="10"/>
      <c r="T308" s="12">
        <v>302</v>
      </c>
      <c r="U308" s="13">
        <f t="shared" si="48"/>
        <v>0.1183104623714004</v>
      </c>
      <c r="V308" s="13">
        <f t="shared" si="49"/>
        <v>6.3293984522279181E-12</v>
      </c>
      <c r="W308" s="13">
        <f t="shared" si="54"/>
        <v>6.3293984522279181E-12</v>
      </c>
      <c r="X308" s="13">
        <v>0</v>
      </c>
      <c r="Y308" s="13">
        <v>0</v>
      </c>
      <c r="Z308" s="13">
        <v>0</v>
      </c>
      <c r="AA308" s="13">
        <f t="shared" si="55"/>
        <v>9.7580697361041106E-6</v>
      </c>
      <c r="AB308" s="13">
        <f t="shared" si="56"/>
        <v>653.05002910725341</v>
      </c>
      <c r="AC308" s="13">
        <f t="shared" si="50"/>
        <v>653.0500388653295</v>
      </c>
      <c r="AD308" s="13">
        <f t="shared" si="51"/>
        <v>9.2198005764824647E-6</v>
      </c>
      <c r="AE308" s="13">
        <f t="shared" si="46"/>
        <v>5.1070088664575215E-10</v>
      </c>
      <c r="AF308" s="13">
        <f t="shared" si="52"/>
        <v>6.9187450228361716E-10</v>
      </c>
      <c r="AG308" s="13">
        <f t="shared" si="53"/>
        <v>2.8460277643327046E-10</v>
      </c>
      <c r="AH308" s="10"/>
      <c r="AI308" s="13">
        <f t="shared" si="47"/>
        <v>5.7844826286502995E-14</v>
      </c>
      <c r="AJ308" s="10"/>
      <c r="AK308" s="10"/>
      <c r="AL308" s="10"/>
      <c r="AM308" s="10"/>
      <c r="AN308" s="10"/>
    </row>
    <row r="309" spans="19:40">
      <c r="S309" s="10"/>
      <c r="T309" s="12">
        <v>303</v>
      </c>
      <c r="U309" s="13">
        <f t="shared" si="48"/>
        <v>0.11837782950329989</v>
      </c>
      <c r="V309" s="13">
        <f t="shared" si="49"/>
        <v>5.5790281213968817E-12</v>
      </c>
      <c r="W309" s="13">
        <f t="shared" si="54"/>
        <v>5.5790281213968817E-12</v>
      </c>
      <c r="X309" s="13">
        <v>0</v>
      </c>
      <c r="Y309" s="13">
        <v>0</v>
      </c>
      <c r="Z309" s="13">
        <v>0</v>
      </c>
      <c r="AA309" s="13">
        <f t="shared" si="55"/>
        <v>9.1437236163918522E-6</v>
      </c>
      <c r="AB309" s="13">
        <f t="shared" si="56"/>
        <v>653.05002972160025</v>
      </c>
      <c r="AC309" s="13">
        <f t="shared" si="50"/>
        <v>653.0500388653295</v>
      </c>
      <c r="AD309" s="13">
        <f t="shared" si="51"/>
        <v>8.6138826786773408E-6</v>
      </c>
      <c r="AE309" s="13">
        <f t="shared" si="46"/>
        <v>4.7713808112634423E-10</v>
      </c>
      <c r="AF309" s="13">
        <f t="shared" si="52"/>
        <v>6.4831560272890837E-10</v>
      </c>
      <c r="AG309" s="13">
        <f t="shared" si="53"/>
        <v>2.6589893145091964E-10</v>
      </c>
      <c r="AH309" s="10"/>
      <c r="AI309" s="13">
        <f t="shared" si="47"/>
        <v>5.1388779711985705E-14</v>
      </c>
      <c r="AJ309" s="10"/>
      <c r="AK309" s="10"/>
      <c r="AL309" s="10"/>
      <c r="AM309" s="10"/>
      <c r="AN309" s="10"/>
    </row>
    <row r="310" spans="19:40">
      <c r="S310" s="10"/>
      <c r="T310" s="12">
        <v>304</v>
      </c>
      <c r="U310" s="13">
        <f t="shared" si="48"/>
        <v>0.11844501283741217</v>
      </c>
      <c r="V310" s="13">
        <f t="shared" si="49"/>
        <v>4.9172417637487426E-12</v>
      </c>
      <c r="W310" s="13">
        <f t="shared" si="54"/>
        <v>4.9172417637487426E-12</v>
      </c>
      <c r="X310" s="13">
        <v>0</v>
      </c>
      <c r="Y310" s="13">
        <v>0</v>
      </c>
      <c r="Z310" s="13">
        <v>0</v>
      </c>
      <c r="AA310" s="13">
        <f t="shared" si="55"/>
        <v>8.5680553051184611E-6</v>
      </c>
      <c r="AB310" s="13">
        <f t="shared" si="56"/>
        <v>653.05003029726925</v>
      </c>
      <c r="AC310" s="13">
        <f t="shared" si="50"/>
        <v>653.0500388653295</v>
      </c>
      <c r="AD310" s="13">
        <f t="shared" si="51"/>
        <v>8.0477852445010917E-6</v>
      </c>
      <c r="AE310" s="13">
        <f t="shared" si="46"/>
        <v>4.4578099201898797E-10</v>
      </c>
      <c r="AF310" s="13">
        <f t="shared" si="52"/>
        <v>6.0749907495578816E-10</v>
      </c>
      <c r="AG310" s="13">
        <f t="shared" si="53"/>
        <v>2.484242863990536E-10</v>
      </c>
      <c r="AH310" s="10"/>
      <c r="AI310" s="13">
        <f t="shared" si="47"/>
        <v>4.5650219650469785E-14</v>
      </c>
      <c r="AJ310" s="10"/>
      <c r="AK310" s="10"/>
      <c r="AL310" s="10"/>
      <c r="AM310" s="10"/>
      <c r="AN310" s="10"/>
    </row>
    <row r="311" spans="19:40">
      <c r="S311" s="10"/>
      <c r="T311" s="12">
        <v>305</v>
      </c>
      <c r="U311" s="13">
        <f t="shared" si="48"/>
        <v>0.11851201347732375</v>
      </c>
      <c r="V311" s="13">
        <f t="shared" si="49"/>
        <v>4.3336272877095611E-12</v>
      </c>
      <c r="W311" s="13">
        <f t="shared" si="54"/>
        <v>4.3336272877095611E-12</v>
      </c>
      <c r="X311" s="13">
        <v>0</v>
      </c>
      <c r="Y311" s="13">
        <v>0</v>
      </c>
      <c r="Z311" s="13">
        <v>0</v>
      </c>
      <c r="AA311" s="13">
        <f t="shared" si="55"/>
        <v>8.0286297418974652E-6</v>
      </c>
      <c r="AB311" s="13">
        <f t="shared" si="56"/>
        <v>653.05003083669544</v>
      </c>
      <c r="AC311" s="13">
        <f t="shared" si="50"/>
        <v>653.0500388653295</v>
      </c>
      <c r="AD311" s="13">
        <f t="shared" si="51"/>
        <v>7.5188913003523389E-6</v>
      </c>
      <c r="AE311" s="13">
        <f t="shared" si="46"/>
        <v>4.16484661827361E-10</v>
      </c>
      <c r="AF311" s="13">
        <f t="shared" si="52"/>
        <v>5.6925226542036019E-10</v>
      </c>
      <c r="AG311" s="13">
        <f t="shared" si="53"/>
        <v>2.3209805940405716E-10</v>
      </c>
      <c r="AH311" s="10"/>
      <c r="AI311" s="13">
        <f t="shared" si="47"/>
        <v>4.0549761151153695E-14</v>
      </c>
      <c r="AJ311" s="10"/>
      <c r="AK311" s="10"/>
      <c r="AL311" s="10"/>
      <c r="AM311" s="10"/>
      <c r="AN311" s="10"/>
    </row>
    <row r="312" spans="19:40">
      <c r="S312" s="10"/>
      <c r="T312" s="12">
        <v>306</v>
      </c>
      <c r="U312" s="13">
        <f t="shared" si="48"/>
        <v>0.11857883251640317</v>
      </c>
      <c r="V312" s="13">
        <f t="shared" si="49"/>
        <v>3.8189909081495169E-12</v>
      </c>
      <c r="W312" s="13">
        <f t="shared" si="54"/>
        <v>3.8189909081495169E-12</v>
      </c>
      <c r="X312" s="13">
        <v>0</v>
      </c>
      <c r="Y312" s="13">
        <v>0</v>
      </c>
      <c r="Z312" s="13">
        <v>0</v>
      </c>
      <c r="AA312" s="13">
        <f t="shared" si="55"/>
        <v>7.5231651712371271E-6</v>
      </c>
      <c r="AB312" s="13">
        <f t="shared" si="56"/>
        <v>653.05003134216054</v>
      </c>
      <c r="AC312" s="13">
        <f t="shared" si="50"/>
        <v>653.0500388653295</v>
      </c>
      <c r="AD312" s="13">
        <f t="shared" si="51"/>
        <v>7.0247558586952072E-6</v>
      </c>
      <c r="AE312" s="13">
        <f t="shared" si="46"/>
        <v>3.8911365950161539E-10</v>
      </c>
      <c r="AF312" s="13">
        <f t="shared" si="52"/>
        <v>5.3341339044407752E-10</v>
      </c>
      <c r="AG312" s="13">
        <f t="shared" si="53"/>
        <v>2.1684477749641733E-10</v>
      </c>
      <c r="AH312" s="10"/>
      <c r="AI312" s="13">
        <f t="shared" si="47"/>
        <v>3.6016762397070918E-14</v>
      </c>
      <c r="AJ312" s="10"/>
      <c r="AK312" s="10"/>
      <c r="AL312" s="10"/>
      <c r="AM312" s="10"/>
      <c r="AN312" s="10"/>
    </row>
    <row r="313" spans="19:40">
      <c r="S313" s="10"/>
      <c r="T313" s="12">
        <v>307</v>
      </c>
      <c r="U313" s="13">
        <f t="shared" si="48"/>
        <v>0.11864547103792861</v>
      </c>
      <c r="V313" s="13">
        <f t="shared" si="49"/>
        <v>3.365215260853727E-12</v>
      </c>
      <c r="W313" s="13">
        <f t="shared" si="54"/>
        <v>3.365215260853727E-12</v>
      </c>
      <c r="X313" s="13">
        <v>0</v>
      </c>
      <c r="Y313" s="13">
        <v>0</v>
      </c>
      <c r="Z313" s="13">
        <v>0</v>
      </c>
      <c r="AA313" s="13">
        <f t="shared" si="55"/>
        <v>7.0495234909390304E-6</v>
      </c>
      <c r="AB313" s="13">
        <f t="shared" si="56"/>
        <v>653.05003181580264</v>
      </c>
      <c r="AC313" s="13">
        <f t="shared" si="50"/>
        <v>653.0500388653295</v>
      </c>
      <c r="AD313" s="13">
        <f t="shared" si="51"/>
        <v>6.5630946151885668E-6</v>
      </c>
      <c r="AE313" s="13">
        <f t="shared" si="46"/>
        <v>3.6354145437280699E-10</v>
      </c>
      <c r="AF313" s="13">
        <f t="shared" si="52"/>
        <v>4.998308518737782E-10</v>
      </c>
      <c r="AG313" s="13">
        <f t="shared" si="53"/>
        <v>2.0259392771548419E-10</v>
      </c>
      <c r="AH313" s="10"/>
      <c r="AI313" s="13">
        <f t="shared" si="47"/>
        <v>3.1988366360136765E-14</v>
      </c>
      <c r="AJ313" s="10"/>
      <c r="AK313" s="10"/>
      <c r="AL313" s="10"/>
      <c r="AM313" s="10"/>
      <c r="AN313" s="10"/>
    </row>
    <row r="314" spans="19:40">
      <c r="S314" s="10"/>
      <c r="T314" s="12">
        <v>308</v>
      </c>
      <c r="U314" s="13">
        <f t="shared" si="48"/>
        <v>0.11871193011521335</v>
      </c>
      <c r="V314" s="13">
        <f t="shared" si="49"/>
        <v>2.965133960867697E-12</v>
      </c>
      <c r="W314" s="13">
        <f t="shared" si="54"/>
        <v>2.965133960867697E-12</v>
      </c>
      <c r="X314" s="13">
        <v>0</v>
      </c>
      <c r="Y314" s="13">
        <v>0</v>
      </c>
      <c r="Z314" s="13">
        <v>0</v>
      </c>
      <c r="AA314" s="13">
        <f t="shared" si="55"/>
        <v>6.6057012081241033E-6</v>
      </c>
      <c r="AB314" s="13">
        <f t="shared" si="56"/>
        <v>653.05003225962537</v>
      </c>
      <c r="AC314" s="13">
        <f t="shared" si="50"/>
        <v>653.0500388653295</v>
      </c>
      <c r="AD314" s="13">
        <f t="shared" si="51"/>
        <v>6.1317733886412072E-6</v>
      </c>
      <c r="AE314" s="13">
        <f t="shared" si="46"/>
        <v>3.3964983123129932E-10</v>
      </c>
      <c r="AF314" s="13">
        <f t="shared" si="52"/>
        <v>4.6836259582591048E-10</v>
      </c>
      <c r="AG314" s="13">
        <f t="shared" si="53"/>
        <v>1.8927963114315991E-10</v>
      </c>
      <c r="AH314" s="10"/>
      <c r="AI314" s="13">
        <f t="shared" si="47"/>
        <v>2.8408646980438502E-14</v>
      </c>
      <c r="AJ314" s="10"/>
      <c r="AK314" s="10"/>
      <c r="AL314" s="10"/>
      <c r="AM314" s="10"/>
      <c r="AN314" s="10"/>
    </row>
    <row r="315" spans="19:40">
      <c r="S315" s="10"/>
      <c r="T315" s="12">
        <v>309</v>
      </c>
      <c r="U315" s="13">
        <f t="shared" si="48"/>
        <v>0.11877821081172973</v>
      </c>
      <c r="V315" s="13">
        <f t="shared" si="49"/>
        <v>2.6124207085804664E-12</v>
      </c>
      <c r="W315" s="13">
        <f t="shared" si="54"/>
        <v>2.6124207085804664E-12</v>
      </c>
      <c r="X315" s="13">
        <v>0</v>
      </c>
      <c r="Y315" s="13">
        <v>0</v>
      </c>
      <c r="Z315" s="13">
        <v>0</v>
      </c>
      <c r="AA315" s="13">
        <f t="shared" si="55"/>
        <v>6.1898209646330731E-6</v>
      </c>
      <c r="AB315" s="13">
        <f t="shared" si="56"/>
        <v>653.05003267550592</v>
      </c>
      <c r="AC315" s="13">
        <f t="shared" si="50"/>
        <v>653.0500388653295</v>
      </c>
      <c r="AD315" s="13">
        <f t="shared" si="51"/>
        <v>5.7287982549737507E-6</v>
      </c>
      <c r="AE315" s="13">
        <f t="shared" si="46"/>
        <v>3.1732834384526015E-10</v>
      </c>
      <c r="AF315" s="13">
        <f t="shared" si="52"/>
        <v>4.3887551180250167E-10</v>
      </c>
      <c r="AG315" s="13">
        <f t="shared" si="53"/>
        <v>1.7684033835966662E-10</v>
      </c>
      <c r="AH315" s="10"/>
      <c r="AI315" s="13">
        <f t="shared" si="47"/>
        <v>2.5227848528553243E-14</v>
      </c>
      <c r="AJ315" s="10"/>
      <c r="AK315" s="10"/>
      <c r="AL315" s="10"/>
      <c r="AM315" s="10"/>
      <c r="AN315" s="10"/>
    </row>
    <row r="316" spans="19:40">
      <c r="S316" s="10"/>
      <c r="T316" s="12">
        <v>310</v>
      </c>
      <c r="U316" s="13">
        <f t="shared" si="48"/>
        <v>0.11884431418123058</v>
      </c>
      <c r="V316" s="13">
        <f t="shared" si="49"/>
        <v>2.3014912649000921E-12</v>
      </c>
      <c r="W316" s="13">
        <f t="shared" si="54"/>
        <v>2.3014912649000921E-12</v>
      </c>
      <c r="X316" s="13">
        <v>0</v>
      </c>
      <c r="Y316" s="13">
        <v>0</v>
      </c>
      <c r="Z316" s="13">
        <v>0</v>
      </c>
      <c r="AA316" s="13">
        <f t="shared" si="55"/>
        <v>5.8001235959564356E-6</v>
      </c>
      <c r="AB316" s="13">
        <f t="shared" si="56"/>
        <v>653.05003306520359</v>
      </c>
      <c r="AC316" s="13">
        <f t="shared" si="50"/>
        <v>653.0500388653295</v>
      </c>
      <c r="AD316" s="13">
        <f t="shared" si="51"/>
        <v>5.3523063295767455E-6</v>
      </c>
      <c r="AE316" s="13">
        <f t="shared" si="46"/>
        <v>2.9647380439305034E-10</v>
      </c>
      <c r="AF316" s="13">
        <f t="shared" si="52"/>
        <v>4.1124486963719326E-10</v>
      </c>
      <c r="AG316" s="13">
        <f t="shared" si="53"/>
        <v>1.6521854491357183E-10</v>
      </c>
      <c r="AH316" s="10"/>
      <c r="AI316" s="13">
        <f t="shared" si="47"/>
        <v>2.240170803357379E-14</v>
      </c>
      <c r="AJ316" s="10"/>
      <c r="AK316" s="10"/>
      <c r="AL316" s="10"/>
      <c r="AM316" s="10"/>
      <c r="AN316" s="10"/>
    </row>
    <row r="317" spans="19:40">
      <c r="S317" s="10"/>
      <c r="T317" s="12">
        <v>311</v>
      </c>
      <c r="U317" s="13">
        <f t="shared" si="48"/>
        <v>0.11891024126786934</v>
      </c>
      <c r="V317" s="13">
        <f t="shared" si="49"/>
        <v>2.0274168095579145E-12</v>
      </c>
      <c r="W317" s="13">
        <f t="shared" si="54"/>
        <v>2.0274168095579145E-12</v>
      </c>
      <c r="X317" s="13">
        <v>0</v>
      </c>
      <c r="Y317" s="13">
        <v>0</v>
      </c>
      <c r="Z317" s="13">
        <v>0</v>
      </c>
      <c r="AA317" s="13">
        <f t="shared" si="55"/>
        <v>5.4349606901055852E-6</v>
      </c>
      <c r="AB317" s="13">
        <f t="shared" si="56"/>
        <v>653.05003343036674</v>
      </c>
      <c r="AC317" s="13">
        <f t="shared" si="50"/>
        <v>653.0500388653295</v>
      </c>
      <c r="AD317" s="13">
        <f t="shared" si="51"/>
        <v>5.0005571554517859E-6</v>
      </c>
      <c r="AE317" s="13">
        <f t="shared" si="46"/>
        <v>2.7698980644932611E-10</v>
      </c>
      <c r="AF317" s="13">
        <f t="shared" si="52"/>
        <v>3.8535379188967591E-10</v>
      </c>
      <c r="AG317" s="13">
        <f t="shared" si="53"/>
        <v>1.5436052549076371E-10</v>
      </c>
      <c r="AH317" s="10"/>
      <c r="AI317" s="13">
        <f t="shared" si="47"/>
        <v>1.9890851752101741E-14</v>
      </c>
      <c r="AJ317" s="10"/>
      <c r="AK317" s="10"/>
      <c r="AL317" s="10"/>
      <c r="AM317" s="10"/>
      <c r="AN317" s="10"/>
    </row>
    <row r="318" spans="19:40">
      <c r="S318" s="10"/>
      <c r="T318" s="12">
        <v>312</v>
      </c>
      <c r="U318" s="13">
        <f t="shared" si="48"/>
        <v>0.11897599310631796</v>
      </c>
      <c r="V318" s="13">
        <f t="shared" si="49"/>
        <v>1.7858473672640528E-12</v>
      </c>
      <c r="W318" s="13">
        <f t="shared" si="54"/>
        <v>1.7858473672640528E-12</v>
      </c>
      <c r="X318" s="13">
        <v>0</v>
      </c>
      <c r="Y318" s="13">
        <v>0</v>
      </c>
      <c r="Z318" s="13">
        <v>0</v>
      </c>
      <c r="AA318" s="13">
        <f t="shared" si="55"/>
        <v>5.09278761495119E-6</v>
      </c>
      <c r="AB318" s="13">
        <f t="shared" si="56"/>
        <v>653.05003377254002</v>
      </c>
      <c r="AC318" s="13">
        <f t="shared" si="50"/>
        <v>653.05003886532938</v>
      </c>
      <c r="AD318" s="13">
        <f t="shared" si="51"/>
        <v>4.671924657323349E-6</v>
      </c>
      <c r="AE318" s="13">
        <f t="shared" si="46"/>
        <v>2.5878627931977373E-10</v>
      </c>
      <c r="AF318" s="13">
        <f t="shared" si="52"/>
        <v>3.6109275945680102E-10</v>
      </c>
      <c r="AG318" s="13">
        <f t="shared" si="53"/>
        <v>1.4421608555351497E-10</v>
      </c>
      <c r="AH318" s="10"/>
      <c r="AI318" s="13">
        <f t="shared" si="47"/>
        <v>1.7660257628736223E-14</v>
      </c>
      <c r="AJ318" s="10"/>
      <c r="AK318" s="10"/>
      <c r="AL318" s="10"/>
      <c r="AM318" s="10"/>
      <c r="AN318" s="10"/>
    </row>
    <row r="319" spans="19:40">
      <c r="S319" s="10"/>
      <c r="T319" s="12">
        <v>313</v>
      </c>
      <c r="U319" s="13">
        <f t="shared" si="48"/>
        <v>0.11904157072188293</v>
      </c>
      <c r="V319" s="13">
        <f t="shared" si="49"/>
        <v>1.5729441376232557E-12</v>
      </c>
      <c r="W319" s="13">
        <f t="shared" si="54"/>
        <v>1.5729441376232557E-12</v>
      </c>
      <c r="X319" s="13">
        <v>0</v>
      </c>
      <c r="Y319" s="13">
        <v>0</v>
      </c>
      <c r="Z319" s="13">
        <v>0</v>
      </c>
      <c r="AA319" s="13">
        <f t="shared" si="55"/>
        <v>4.7721569845363053E-6</v>
      </c>
      <c r="AB319" s="13">
        <f t="shared" si="56"/>
        <v>653.05003409317089</v>
      </c>
      <c r="AC319" s="13">
        <f t="shared" si="50"/>
        <v>653.0500388653295</v>
      </c>
      <c r="AD319" s="13">
        <f t="shared" si="51"/>
        <v>4.3648896245253713E-6</v>
      </c>
      <c r="AE319" s="13">
        <f t="shared" si="46"/>
        <v>2.4177907166430865E-10</v>
      </c>
      <c r="AF319" s="13">
        <f t="shared" si="52"/>
        <v>3.3835914830914356E-10</v>
      </c>
      <c r="AG319" s="13">
        <f t="shared" si="53"/>
        <v>1.347383293015245E-10</v>
      </c>
      <c r="AH319" s="10"/>
      <c r="AI319" s="13">
        <f t="shared" si="47"/>
        <v>1.5678776569014542E-14</v>
      </c>
      <c r="AJ319" s="10"/>
      <c r="AK319" s="10"/>
      <c r="AL319" s="10"/>
      <c r="AM319" s="10"/>
      <c r="AN319" s="10"/>
    </row>
    <row r="320" spans="19:40">
      <c r="S320" s="10"/>
      <c r="T320" s="12">
        <v>314</v>
      </c>
      <c r="U320" s="13">
        <f t="shared" si="48"/>
        <v>0.11910697513061996</v>
      </c>
      <c r="V320" s="13">
        <f t="shared" si="49"/>
        <v>1.3853196986226225E-12</v>
      </c>
      <c r="W320" s="13">
        <f t="shared" si="54"/>
        <v>1.3853196986226225E-12</v>
      </c>
      <c r="X320" s="13">
        <v>0</v>
      </c>
      <c r="Y320" s="13">
        <v>0</v>
      </c>
      <c r="Z320" s="13">
        <v>0</v>
      </c>
      <c r="AA320" s="13">
        <f t="shared" si="55"/>
        <v>4.4717125367283582E-6</v>
      </c>
      <c r="AB320" s="13">
        <f t="shared" si="56"/>
        <v>653.05003439361553</v>
      </c>
      <c r="AC320" s="13">
        <f t="shared" si="50"/>
        <v>653.0500388653295</v>
      </c>
      <c r="AD320" s="13">
        <f t="shared" si="51"/>
        <v>4.0780326879113256E-6</v>
      </c>
      <c r="AE320" s="13">
        <f t="shared" si="46"/>
        <v>2.2588956248396071E-10</v>
      </c>
      <c r="AF320" s="13">
        <f t="shared" si="52"/>
        <v>3.1705679539345082E-10</v>
      </c>
      <c r="AG320" s="13">
        <f t="shared" si="53"/>
        <v>1.2588344288228397E-10</v>
      </c>
      <c r="AH320" s="10"/>
      <c r="AI320" s="13">
        <f t="shared" si="47"/>
        <v>1.3918706122619297E-14</v>
      </c>
      <c r="AJ320" s="10"/>
      <c r="AK320" s="10"/>
      <c r="AL320" s="10"/>
      <c r="AM320" s="10"/>
      <c r="AN320" s="10"/>
    </row>
    <row r="321" spans="19:40">
      <c r="S321" s="10"/>
      <c r="T321" s="12">
        <v>315</v>
      </c>
      <c r="U321" s="13">
        <f t="shared" si="48"/>
        <v>0.11917220733944635</v>
      </c>
      <c r="V321" s="13">
        <f t="shared" si="49"/>
        <v>1.2199851720856007E-12</v>
      </c>
      <c r="W321" s="13">
        <f t="shared" si="54"/>
        <v>1.2199851720856007E-12</v>
      </c>
      <c r="X321" s="13">
        <v>0</v>
      </c>
      <c r="Y321" s="13">
        <v>0</v>
      </c>
      <c r="Z321" s="13">
        <v>0</v>
      </c>
      <c r="AA321" s="13">
        <f t="shared" si="55"/>
        <v>4.1901833963139058E-6</v>
      </c>
      <c r="AB321" s="13">
        <f t="shared" si="56"/>
        <v>653.05003467514484</v>
      </c>
      <c r="AC321" s="13">
        <f t="shared" si="50"/>
        <v>653.0500388653295</v>
      </c>
      <c r="AD321" s="13">
        <f t="shared" si="51"/>
        <v>3.8100277583203322E-6</v>
      </c>
      <c r="AE321" s="13">
        <f t="shared" si="46"/>
        <v>2.1104429767315288E-10</v>
      </c>
      <c r="AF321" s="13">
        <f t="shared" si="52"/>
        <v>2.9709559186477456E-10</v>
      </c>
      <c r="AG321" s="13">
        <f t="shared" si="53"/>
        <v>1.1761049184860446E-10</v>
      </c>
      <c r="AH321" s="10"/>
      <c r="AI321" s="13">
        <f t="shared" si="47"/>
        <v>1.2355410867919995E-14</v>
      </c>
      <c r="AJ321" s="10"/>
      <c r="AK321" s="10"/>
      <c r="AL321" s="10"/>
      <c r="AM321" s="10"/>
      <c r="AN321" s="10"/>
    </row>
    <row r="322" spans="19:40">
      <c r="S322" s="10"/>
      <c r="T322" s="12">
        <v>316</v>
      </c>
      <c r="U322" s="13">
        <f t="shared" si="48"/>
        <v>0.11923726834625197</v>
      </c>
      <c r="V322" s="13">
        <f t="shared" si="49"/>
        <v>1.0743035444928734E-12</v>
      </c>
      <c r="W322" s="13">
        <f t="shared" si="54"/>
        <v>1.0743035444928734E-12</v>
      </c>
      <c r="X322" s="13">
        <v>0</v>
      </c>
      <c r="Y322" s="13">
        <v>0</v>
      </c>
      <c r="Z322" s="13">
        <v>0</v>
      </c>
      <c r="AA322" s="13">
        <f t="shared" si="55"/>
        <v>3.9263786992703409E-6</v>
      </c>
      <c r="AB322" s="13">
        <f t="shared" si="56"/>
        <v>653.05003493894969</v>
      </c>
      <c r="AC322" s="13">
        <f t="shared" si="50"/>
        <v>653.0500388653295</v>
      </c>
      <c r="AD322" s="13">
        <f t="shared" si="51"/>
        <v>3.5596358962657383E-6</v>
      </c>
      <c r="AE322" s="13">
        <f t="shared" si="46"/>
        <v>1.9717465045726706E-10</v>
      </c>
      <c r="AF322" s="13">
        <f t="shared" si="52"/>
        <v>2.7839110192768868E-10</v>
      </c>
      <c r="AG322" s="13">
        <f t="shared" si="53"/>
        <v>1.0988123192700042E-10</v>
      </c>
      <c r="AH322" s="10"/>
      <c r="AI322" s="13">
        <f t="shared" si="47"/>
        <v>1.0966984407515213E-14</v>
      </c>
      <c r="AJ322" s="10"/>
      <c r="AK322" s="10"/>
      <c r="AL322" s="10"/>
      <c r="AM322" s="10"/>
      <c r="AN322" s="10"/>
    </row>
    <row r="323" spans="19:40">
      <c r="S323" s="10"/>
      <c r="T323" s="12">
        <v>317</v>
      </c>
      <c r="U323" s="13">
        <f t="shared" si="48"/>
        <v>0.11930215914000845</v>
      </c>
      <c r="V323" s="13">
        <f t="shared" si="49"/>
        <v>9.4594842954598403E-13</v>
      </c>
      <c r="W323" s="13">
        <f t="shared" si="54"/>
        <v>9.4594842954598403E-13</v>
      </c>
      <c r="X323" s="13">
        <v>0</v>
      </c>
      <c r="Y323" s="13">
        <v>0</v>
      </c>
      <c r="Z323" s="13">
        <v>0</v>
      </c>
      <c r="AA323" s="13">
        <f t="shared" si="55"/>
        <v>3.6791825554763322E-6</v>
      </c>
      <c r="AB323" s="13">
        <f t="shared" si="56"/>
        <v>653.05003518614592</v>
      </c>
      <c r="AC323" s="13">
        <f t="shared" si="50"/>
        <v>653.05003886532938</v>
      </c>
      <c r="AD323" s="13">
        <f t="shared" si="51"/>
        <v>3.3256995845061081E-6</v>
      </c>
      <c r="AE323" s="13">
        <f t="shared" si="46"/>
        <v>1.8421650414579599E-10</v>
      </c>
      <c r="AF323" s="13">
        <f t="shared" si="52"/>
        <v>2.6086420567431565E-10</v>
      </c>
      <c r="AG323" s="13">
        <f t="shared" si="53"/>
        <v>1.0265993222216095E-10</v>
      </c>
      <c r="AH323" s="10"/>
      <c r="AI323" s="13">
        <f t="shared" si="47"/>
        <v>9.7339484363674476E-15</v>
      </c>
      <c r="AJ323" s="10"/>
      <c r="AK323" s="10"/>
      <c r="AL323" s="10"/>
      <c r="AM323" s="10"/>
      <c r="AN323" s="10"/>
    </row>
    <row r="324" spans="19:40">
      <c r="S324" s="10"/>
      <c r="T324" s="12">
        <v>318</v>
      </c>
      <c r="U324" s="13">
        <f t="shared" si="48"/>
        <v>0.11936688070087689</v>
      </c>
      <c r="V324" s="13">
        <f t="shared" si="49"/>
        <v>8.3286764116456745E-13</v>
      </c>
      <c r="W324" s="13">
        <f t="shared" si="54"/>
        <v>8.3286764116456745E-13</v>
      </c>
      <c r="X324" s="13">
        <v>0</v>
      </c>
      <c r="Y324" s="13">
        <v>0</v>
      </c>
      <c r="Z324" s="13">
        <v>0</v>
      </c>
      <c r="AA324" s="13">
        <f t="shared" si="55"/>
        <v>3.4475493285542715E-6</v>
      </c>
      <c r="AB324" s="13">
        <f t="shared" si="56"/>
        <v>653.05003541777921</v>
      </c>
      <c r="AC324" s="13">
        <f t="shared" si="50"/>
        <v>653.05003886532938</v>
      </c>
      <c r="AD324" s="13">
        <f t="shared" si="51"/>
        <v>3.1071373770211096E-6</v>
      </c>
      <c r="AE324" s="13">
        <f t="shared" si="46"/>
        <v>1.7210995573454111E-10</v>
      </c>
      <c r="AF324" s="13">
        <f t="shared" si="52"/>
        <v>2.444407644083881E-10</v>
      </c>
      <c r="AG324" s="13">
        <f t="shared" si="53"/>
        <v>9.5913210040224759E-11</v>
      </c>
      <c r="AH324" s="10"/>
      <c r="AI324" s="13">
        <f t="shared" si="47"/>
        <v>8.6389848365576947E-15</v>
      </c>
      <c r="AJ324" s="10"/>
      <c r="AK324" s="10"/>
      <c r="AL324" s="10"/>
      <c r="AM324" s="10"/>
      <c r="AN324" s="10"/>
    </row>
    <row r="325" spans="19:40">
      <c r="S325" s="10"/>
      <c r="T325" s="12">
        <v>319</v>
      </c>
      <c r="U325" s="13">
        <f t="shared" si="48"/>
        <v>0.1194314340003135</v>
      </c>
      <c r="V325" s="13">
        <f t="shared" si="49"/>
        <v>7.3325101847834106E-13</v>
      </c>
      <c r="W325" s="13">
        <f t="shared" si="54"/>
        <v>7.3325101847834106E-13</v>
      </c>
      <c r="X325" s="13">
        <v>0</v>
      </c>
      <c r="Y325" s="13">
        <v>0</v>
      </c>
      <c r="Z325" s="13">
        <v>0</v>
      </c>
      <c r="AA325" s="13">
        <f t="shared" si="55"/>
        <v>3.2304992128793391E-6</v>
      </c>
      <c r="AB325" s="13">
        <f t="shared" si="56"/>
        <v>653.05003563482944</v>
      </c>
      <c r="AC325" s="13">
        <f t="shared" si="50"/>
        <v>653.05003886532938</v>
      </c>
      <c r="AD325" s="13">
        <f t="shared" si="51"/>
        <v>2.9029388996549288E-6</v>
      </c>
      <c r="AE325" s="13">
        <f t="shared" si="46"/>
        <v>1.6079903898669177E-10</v>
      </c>
      <c r="AF325" s="13">
        <f t="shared" si="52"/>
        <v>2.2905130703968759E-10</v>
      </c>
      <c r="AG325" s="13">
        <f t="shared" si="53"/>
        <v>8.9609876567287347E-11</v>
      </c>
      <c r="AH325" s="10"/>
      <c r="AI325" s="13">
        <f t="shared" si="47"/>
        <v>7.6666971919506245E-15</v>
      </c>
      <c r="AJ325" s="10"/>
      <c r="AK325" s="10"/>
      <c r="AL325" s="10"/>
      <c r="AM325" s="10"/>
      <c r="AN325" s="10"/>
    </row>
    <row r="326" spans="19:40">
      <c r="S326" s="10"/>
      <c r="T326" s="12">
        <v>320</v>
      </c>
      <c r="U326" s="13">
        <f t="shared" si="48"/>
        <v>0.11949582000117413</v>
      </c>
      <c r="V326" s="13">
        <f t="shared" si="49"/>
        <v>6.4550200887827923E-13</v>
      </c>
      <c r="W326" s="13">
        <f t="shared" si="54"/>
        <v>6.4550200887827923E-13</v>
      </c>
      <c r="X326" s="13">
        <v>0</v>
      </c>
      <c r="Y326" s="13">
        <v>0</v>
      </c>
      <c r="Z326" s="13">
        <v>0</v>
      </c>
      <c r="AA326" s="13">
        <f t="shared" si="55"/>
        <v>3.0271140890467126E-6</v>
      </c>
      <c r="AB326" s="13">
        <f t="shared" si="56"/>
        <v>653.05003583821463</v>
      </c>
      <c r="AC326" s="13">
        <f t="shared" si="50"/>
        <v>653.05003886532938</v>
      </c>
      <c r="AD326" s="13">
        <f t="shared" si="51"/>
        <v>2.7121601793155949E-6</v>
      </c>
      <c r="AE326" s="13">
        <f t="shared" ref="AE326:AE389" si="57">(V326+AA326)/AC326/12/(1+rdis_Month)^T326</f>
        <v>1.5023146571266627E-10</v>
      </c>
      <c r="AF326" s="13">
        <f t="shared" si="52"/>
        <v>2.1463073622232487E-10</v>
      </c>
      <c r="AG326" s="13">
        <f t="shared" si="53"/>
        <v>8.3720792689748251E-11</v>
      </c>
      <c r="AH326" s="10"/>
      <c r="AI326" s="13">
        <f t="shared" ref="AI326:AI389" si="58">EXP(-lambda_capi*(T326^gamma_capi))</f>
        <v>6.8033985079178193E-15</v>
      </c>
      <c r="AJ326" s="10"/>
      <c r="AK326" s="10"/>
      <c r="AL326" s="10"/>
      <c r="AM326" s="10"/>
      <c r="AN326" s="10"/>
    </row>
    <row r="327" spans="19:40">
      <c r="S327" s="10"/>
      <c r="T327" s="12">
        <v>321</v>
      </c>
      <c r="U327" s="13">
        <f t="shared" ref="U327:U390" si="59">gamma_capi*lambda_capi*T327^(gamma_capi-1)</f>
        <v>0.11956003965781693</v>
      </c>
      <c r="V327" s="13">
        <f t="shared" ref="V327:V390" si="60">SUM(W327:Z327)</f>
        <v>5.682125722830724E-13</v>
      </c>
      <c r="W327" s="13">
        <f t="shared" si="54"/>
        <v>5.682125722830724E-13</v>
      </c>
      <c r="X327" s="13">
        <v>0</v>
      </c>
      <c r="Y327" s="13">
        <v>0</v>
      </c>
      <c r="Z327" s="13">
        <v>0</v>
      </c>
      <c r="AA327" s="13">
        <f t="shared" si="55"/>
        <v>2.8365336402662435E-6</v>
      </c>
      <c r="AB327" s="13">
        <f t="shared" si="56"/>
        <v>653.05003602879515</v>
      </c>
      <c r="AC327" s="13">
        <f t="shared" ref="AC327:AC390" si="61">V327+AA327+AB327</f>
        <v>653.05003886532938</v>
      </c>
      <c r="AD327" s="13">
        <f t="shared" ref="AD327:AD390" si="62">(V327*cPFS_CAPI_after+AA327*cP)/AC327/(1+rdis_Month)^T326</f>
        <v>2.5339192801375053E-6</v>
      </c>
      <c r="AE327" s="13">
        <f t="shared" si="57"/>
        <v>1.4035838405272068E-10</v>
      </c>
      <c r="AF327" s="13">
        <f t="shared" ref="AF327:AF390" si="63">(SUM(W327:Z327)*uS+AA327*uP)/AC327/12</f>
        <v>2.0111805299384304E-10</v>
      </c>
      <c r="AG327" s="13">
        <f t="shared" ref="AG327:AG390" si="64">(W327*uS/12+X327*(uS+duAE1_CAPI)/12+Y327*(uS+duAE2_CAPI)/12+Z327*(uS+duAE3_CAPI)/12+AA327*uP/12)/AC327/(1+rdis_Month)^T326</f>
        <v>7.8218734289990105E-11</v>
      </c>
      <c r="AH327" s="10"/>
      <c r="AI327" s="13">
        <f t="shared" si="58"/>
        <v>6.0369222707640669E-15</v>
      </c>
      <c r="AJ327" s="10"/>
      <c r="AK327" s="10"/>
      <c r="AL327" s="10"/>
      <c r="AM327" s="10"/>
      <c r="AN327" s="10"/>
    </row>
    <row r="328" spans="19:40">
      <c r="S328" s="10"/>
      <c r="T328" s="12">
        <v>322</v>
      </c>
      <c r="U328" s="13">
        <f t="shared" si="59"/>
        <v>0.11962409391620356</v>
      </c>
      <c r="V328" s="13">
        <f t="shared" si="60"/>
        <v>5.0014102030403469E-13</v>
      </c>
      <c r="W328" s="13">
        <f t="shared" ref="W328:W391" si="65">(1-($Q$13+U328))*V327</f>
        <v>5.0014102030403469E-13</v>
      </c>
      <c r="X328" s="13">
        <v>0</v>
      </c>
      <c r="Y328" s="13">
        <v>0</v>
      </c>
      <c r="Z328" s="13">
        <v>0</v>
      </c>
      <c r="AA328" s="13">
        <f t="shared" si="55"/>
        <v>2.6579517132575538E-6</v>
      </c>
      <c r="AB328" s="13">
        <f t="shared" si="56"/>
        <v>653.05003620737716</v>
      </c>
      <c r="AC328" s="13">
        <f t="shared" si="61"/>
        <v>653.05003886532938</v>
      </c>
      <c r="AD328" s="13">
        <f t="shared" si="62"/>
        <v>2.3673922264335432E-6</v>
      </c>
      <c r="AE328" s="13">
        <f t="shared" si="57"/>
        <v>1.3113415264493037E-10</v>
      </c>
      <c r="AF328" s="13">
        <f t="shared" si="63"/>
        <v>1.884560987503802E-10</v>
      </c>
      <c r="AG328" s="13">
        <f t="shared" si="64"/>
        <v>7.3078266394682226E-11</v>
      </c>
      <c r="AH328" s="10"/>
      <c r="AI328" s="13">
        <f t="shared" si="58"/>
        <v>5.3564542932127399E-15</v>
      </c>
      <c r="AJ328" s="10"/>
      <c r="AK328" s="10"/>
      <c r="AL328" s="10"/>
      <c r="AM328" s="10"/>
      <c r="AN328" s="10"/>
    </row>
    <row r="329" spans="19:40">
      <c r="S329" s="10"/>
      <c r="T329" s="12">
        <v>323</v>
      </c>
      <c r="U329" s="13">
        <f t="shared" si="59"/>
        <v>0.1196879837139989</v>
      </c>
      <c r="V329" s="13">
        <f t="shared" si="60"/>
        <v>4.4019244870478214E-13</v>
      </c>
      <c r="W329" s="13">
        <f t="shared" si="65"/>
        <v>4.4019244870478214E-13</v>
      </c>
      <c r="X329" s="13">
        <v>0</v>
      </c>
      <c r="Y329" s="13">
        <v>0</v>
      </c>
      <c r="Z329" s="13">
        <v>0</v>
      </c>
      <c r="AA329" s="13">
        <f t="shared" si="55"/>
        <v>2.4906129082526807E-6</v>
      </c>
      <c r="AB329" s="13">
        <f t="shared" si="56"/>
        <v>653.050036374716</v>
      </c>
      <c r="AC329" s="13">
        <f t="shared" si="61"/>
        <v>653.05003886532938</v>
      </c>
      <c r="AD329" s="13">
        <f t="shared" si="62"/>
        <v>2.2118091935890021E-6</v>
      </c>
      <c r="AE329" s="13">
        <f t="shared" si="57"/>
        <v>1.2251612963458129E-10</v>
      </c>
      <c r="AF329" s="13">
        <f t="shared" si="63"/>
        <v>1.7659131346645819E-10</v>
      </c>
      <c r="AG329" s="13">
        <f t="shared" si="64"/>
        <v>6.8275625593925926E-11</v>
      </c>
      <c r="AH329" s="10"/>
      <c r="AI329" s="13">
        <f t="shared" si="58"/>
        <v>4.7523830702858055E-15</v>
      </c>
      <c r="AJ329" s="10"/>
      <c r="AK329" s="10"/>
      <c r="AL329" s="10"/>
      <c r="AM329" s="10"/>
      <c r="AN329" s="10"/>
    </row>
    <row r="330" spans="19:40">
      <c r="S330" s="10"/>
      <c r="T330" s="12">
        <v>324</v>
      </c>
      <c r="U330" s="13">
        <f t="shared" si="59"/>
        <v>0.1197517099806692</v>
      </c>
      <c r="V330" s="13">
        <f t="shared" si="60"/>
        <v>3.8740146111663906E-13</v>
      </c>
      <c r="W330" s="13">
        <f t="shared" si="65"/>
        <v>3.8740146111663906E-13</v>
      </c>
      <c r="X330" s="13">
        <v>0</v>
      </c>
      <c r="Y330" s="13">
        <v>0</v>
      </c>
      <c r="Z330" s="13">
        <v>0</v>
      </c>
      <c r="AA330" s="13">
        <f t="shared" si="55"/>
        <v>2.3338093836824602E-6</v>
      </c>
      <c r="AB330" s="13">
        <f t="shared" si="56"/>
        <v>653.05003653151959</v>
      </c>
      <c r="AC330" s="13">
        <f t="shared" si="61"/>
        <v>653.05003886532938</v>
      </c>
      <c r="AD330" s="13">
        <f t="shared" si="62"/>
        <v>2.0664509492881893E-6</v>
      </c>
      <c r="AE330" s="13">
        <f t="shared" si="57"/>
        <v>1.1446447554961605E-10</v>
      </c>
      <c r="AF330" s="13">
        <f t="shared" si="63"/>
        <v>1.654735091366787E-10</v>
      </c>
      <c r="AG330" s="13">
        <f t="shared" si="64"/>
        <v>6.3788610187690776E-11</v>
      </c>
      <c r="AH330" s="10"/>
      <c r="AI330" s="13">
        <f t="shared" si="58"/>
        <v>4.2161666177983538E-15</v>
      </c>
      <c r="AJ330" s="10"/>
      <c r="AK330" s="10"/>
      <c r="AL330" s="10"/>
      <c r="AM330" s="10"/>
      <c r="AN330" s="10"/>
    </row>
    <row r="331" spans="19:40">
      <c r="S331" s="10"/>
      <c r="T331" s="12">
        <v>325</v>
      </c>
      <c r="U331" s="13">
        <f t="shared" si="59"/>
        <v>0.11981527363757892</v>
      </c>
      <c r="V331" s="13">
        <f t="shared" si="60"/>
        <v>3.4091691697647036E-13</v>
      </c>
      <c r="W331" s="13">
        <f t="shared" si="65"/>
        <v>3.4091691697647036E-13</v>
      </c>
      <c r="X331" s="13">
        <v>0</v>
      </c>
      <c r="Y331" s="13">
        <v>0</v>
      </c>
      <c r="Z331" s="13">
        <v>0</v>
      </c>
      <c r="AA331" s="13">
        <f t="shared" si="55"/>
        <v>2.1868778620308906E-6</v>
      </c>
      <c r="AB331" s="13">
        <f t="shared" si="56"/>
        <v>653.05003667845119</v>
      </c>
      <c r="AC331" s="13">
        <f t="shared" si="61"/>
        <v>653.05003886532938</v>
      </c>
      <c r="AD331" s="13">
        <f t="shared" si="62"/>
        <v>1.9306455286219087E-6</v>
      </c>
      <c r="AE331" s="13">
        <f t="shared" si="57"/>
        <v>1.0694196913087681E-10</v>
      </c>
      <c r="AF331" s="13">
        <f t="shared" si="63"/>
        <v>1.550556574809933E-10</v>
      </c>
      <c r="AG331" s="13">
        <f t="shared" si="64"/>
        <v>5.9596477551714639E-11</v>
      </c>
      <c r="AH331" s="10"/>
      <c r="AI331" s="13">
        <f t="shared" si="58"/>
        <v>3.7402139867081183E-15</v>
      </c>
      <c r="AJ331" s="10"/>
      <c r="AK331" s="10"/>
      <c r="AL331" s="10"/>
      <c r="AM331" s="10"/>
      <c r="AN331" s="10"/>
    </row>
    <row r="332" spans="19:40">
      <c r="S332" s="10"/>
      <c r="T332" s="12">
        <v>326</v>
      </c>
      <c r="U332" s="13">
        <f t="shared" si="59"/>
        <v>0.11987867559808585</v>
      </c>
      <c r="V332" s="13">
        <f t="shared" si="60"/>
        <v>2.9998846762299216E-13</v>
      </c>
      <c r="W332" s="13">
        <f t="shared" si="65"/>
        <v>2.9998846762299216E-13</v>
      </c>
      <c r="X332" s="13">
        <v>0</v>
      </c>
      <c r="Y332" s="13">
        <v>0</v>
      </c>
      <c r="Z332" s="13">
        <v>0</v>
      </c>
      <c r="AA332" s="13">
        <f t="shared" si="55"/>
        <v>2.0491968241926137E-6</v>
      </c>
      <c r="AB332" s="13">
        <f t="shared" si="56"/>
        <v>653.05003681613232</v>
      </c>
      <c r="AC332" s="13">
        <f t="shared" si="61"/>
        <v>653.0500388653295</v>
      </c>
      <c r="AD332" s="13">
        <f t="shared" si="62"/>
        <v>1.8037651277051984E-6</v>
      </c>
      <c r="AE332" s="13">
        <f t="shared" si="57"/>
        <v>9.9913835265775203E-11</v>
      </c>
      <c r="AF332" s="13">
        <f t="shared" si="63"/>
        <v>1.4529369101554967E-10</v>
      </c>
      <c r="AG332" s="13">
        <f t="shared" si="64"/>
        <v>5.5679848248411907E-11</v>
      </c>
      <c r="AH332" s="10"/>
      <c r="AI332" s="13">
        <f t="shared" si="58"/>
        <v>3.3177798436177083E-15</v>
      </c>
      <c r="AJ332" s="10"/>
      <c r="AK332" s="10"/>
      <c r="AL332" s="10"/>
      <c r="AM332" s="10"/>
      <c r="AN332" s="10"/>
    </row>
    <row r="333" spans="19:40">
      <c r="S333" s="10"/>
      <c r="T333" s="12">
        <v>327</v>
      </c>
      <c r="U333" s="13">
        <f t="shared" si="59"/>
        <v>0.11994191676763519</v>
      </c>
      <c r="V333" s="13">
        <f t="shared" si="60"/>
        <v>2.6395467188351649E-13</v>
      </c>
      <c r="W333" s="13">
        <f t="shared" si="65"/>
        <v>2.6395467188351649E-13</v>
      </c>
      <c r="X333" s="13">
        <v>0</v>
      </c>
      <c r="Y333" s="13">
        <v>0</v>
      </c>
      <c r="Z333" s="13">
        <v>0</v>
      </c>
      <c r="AA333" s="13">
        <f t="shared" ref="AA333:AA396" si="66">(1-$Q$17)*AA332+(U333*W332)</f>
        <v>1.9201838804659793E-6</v>
      </c>
      <c r="AB333" s="13">
        <f t="shared" ref="AB333:AB396" si="67">(AB332*1)+(AA332*$Q$17)+(W332*$Q$13)</f>
        <v>653.05003694514528</v>
      </c>
      <c r="AC333" s="13">
        <f t="shared" si="61"/>
        <v>653.05003886532938</v>
      </c>
      <c r="AD333" s="13">
        <f t="shared" si="62"/>
        <v>1.6852232014448852E-6</v>
      </c>
      <c r="AE333" s="13">
        <f t="shared" si="57"/>
        <v>9.3347584229967656E-11</v>
      </c>
      <c r="AF333" s="13">
        <f t="shared" si="63"/>
        <v>1.3614631664765107E-10</v>
      </c>
      <c r="AG333" s="13">
        <f t="shared" si="64"/>
        <v>5.2020616439516452E-11</v>
      </c>
      <c r="AH333" s="10"/>
      <c r="AI333" s="13">
        <f t="shared" si="58"/>
        <v>2.9428706834081906E-15</v>
      </c>
      <c r="AJ333" s="10"/>
      <c r="AK333" s="10"/>
      <c r="AL333" s="10"/>
      <c r="AM333" s="10"/>
      <c r="AN333" s="10"/>
    </row>
    <row r="334" spans="19:40">
      <c r="S334" s="10"/>
      <c r="T334" s="12">
        <v>328</v>
      </c>
      <c r="U334" s="13">
        <f t="shared" si="59"/>
        <v>0.12000499804385199</v>
      </c>
      <c r="V334" s="13">
        <f t="shared" si="60"/>
        <v>2.3223250671569001E-13</v>
      </c>
      <c r="W334" s="13">
        <f t="shared" si="65"/>
        <v>2.3223250671569001E-13</v>
      </c>
      <c r="X334" s="13">
        <v>0</v>
      </c>
      <c r="Y334" s="13">
        <v>0</v>
      </c>
      <c r="Z334" s="13">
        <v>0</v>
      </c>
      <c r="AA334" s="13">
        <f t="shared" si="66"/>
        <v>1.7992933070612772E-6</v>
      </c>
      <c r="AB334" s="13">
        <f t="shared" si="67"/>
        <v>653.05003706603588</v>
      </c>
      <c r="AC334" s="13">
        <f t="shared" si="61"/>
        <v>653.05003886532938</v>
      </c>
      <c r="AD334" s="13">
        <f t="shared" si="62"/>
        <v>1.5744717520402836E-6</v>
      </c>
      <c r="AE334" s="13">
        <f t="shared" si="57"/>
        <v>8.7212861493889374E-11</v>
      </c>
      <c r="AF334" s="13">
        <f t="shared" si="63"/>
        <v>1.2757484100634132E-10</v>
      </c>
      <c r="AG334" s="13">
        <f t="shared" si="64"/>
        <v>4.8601866186315858E-11</v>
      </c>
      <c r="AH334" s="10"/>
      <c r="AI334" s="13">
        <f t="shared" si="58"/>
        <v>2.6101613965849785E-15</v>
      </c>
      <c r="AJ334" s="10"/>
      <c r="AK334" s="10"/>
      <c r="AL334" s="10"/>
      <c r="AM334" s="10"/>
      <c r="AN334" s="10"/>
    </row>
    <row r="335" spans="19:40">
      <c r="S335" s="10"/>
      <c r="T335" s="12">
        <v>329</v>
      </c>
      <c r="U335" s="13">
        <f t="shared" si="59"/>
        <v>0.12006792031663222</v>
      </c>
      <c r="V335" s="13">
        <f t="shared" si="60"/>
        <v>2.0430810990141946E-13</v>
      </c>
      <c r="W335" s="13">
        <f t="shared" si="65"/>
        <v>2.0430810990141946E-13</v>
      </c>
      <c r="X335" s="13">
        <v>0</v>
      </c>
      <c r="Y335" s="13">
        <v>0</v>
      </c>
      <c r="Z335" s="13">
        <v>0</v>
      </c>
      <c r="AA335" s="13">
        <f t="shared" si="66"/>
        <v>1.6860137377038302E-6</v>
      </c>
      <c r="AB335" s="13">
        <f t="shared" si="67"/>
        <v>653.0500371793155</v>
      </c>
      <c r="AC335" s="13">
        <f t="shared" si="61"/>
        <v>653.05003886532938</v>
      </c>
      <c r="AD335" s="13">
        <f t="shared" si="62"/>
        <v>1.4709987956821122E-6</v>
      </c>
      <c r="AE335" s="13">
        <f t="shared" si="57"/>
        <v>8.1481307399839357E-11</v>
      </c>
      <c r="AF335" s="13">
        <f t="shared" si="63"/>
        <v>1.1954300676977066E-10</v>
      </c>
      <c r="AG335" s="13">
        <f t="shared" si="64"/>
        <v>4.5407793250551619E-11</v>
      </c>
      <c r="AH335" s="10"/>
      <c r="AI335" s="13">
        <f t="shared" si="58"/>
        <v>2.3149210535097683E-15</v>
      </c>
      <c r="AJ335" s="10"/>
      <c r="AK335" s="10"/>
      <c r="AL335" s="10"/>
      <c r="AM335" s="10"/>
      <c r="AN335" s="10"/>
    </row>
    <row r="336" spans="19:40">
      <c r="S336" s="10"/>
      <c r="T336" s="12">
        <v>330</v>
      </c>
      <c r="U336" s="13">
        <f t="shared" si="59"/>
        <v>0.1201306844682327</v>
      </c>
      <c r="V336" s="13">
        <f t="shared" si="60"/>
        <v>1.7972861074466502E-13</v>
      </c>
      <c r="W336" s="13">
        <f t="shared" si="65"/>
        <v>1.7972861074466502E-13</v>
      </c>
      <c r="X336" s="13">
        <v>0</v>
      </c>
      <c r="Y336" s="13">
        <v>0</v>
      </c>
      <c r="Z336" s="13">
        <v>0</v>
      </c>
      <c r="AA336" s="13">
        <f t="shared" si="66"/>
        <v>1.5798660005676546E-6</v>
      </c>
      <c r="AB336" s="13">
        <f t="shared" si="67"/>
        <v>653.0500372854633</v>
      </c>
      <c r="AC336" s="13">
        <f t="shared" si="61"/>
        <v>653.0500388653295</v>
      </c>
      <c r="AD336" s="13">
        <f t="shared" si="62"/>
        <v>1.3743259957384978E-6</v>
      </c>
      <c r="AE336" s="13">
        <f t="shared" si="57"/>
        <v>7.6126426060935324E-11</v>
      </c>
      <c r="AF336" s="13">
        <f t="shared" si="63"/>
        <v>1.1201683929701096E-10</v>
      </c>
      <c r="AG336" s="13">
        <f t="shared" si="64"/>
        <v>4.2423632034487166E-11</v>
      </c>
      <c r="AH336" s="10"/>
      <c r="AI336" s="13">
        <f t="shared" si="58"/>
        <v>2.0529468921056064E-15</v>
      </c>
      <c r="AJ336" s="10"/>
      <c r="AK336" s="10"/>
      <c r="AL336" s="10"/>
      <c r="AM336" s="10"/>
      <c r="AN336" s="10"/>
    </row>
    <row r="337" spans="19:40">
      <c r="S337" s="10"/>
      <c r="T337" s="12">
        <v>331</v>
      </c>
      <c r="U337" s="13">
        <f t="shared" si="59"/>
        <v>0.12019329137335953</v>
      </c>
      <c r="V337" s="13">
        <f t="shared" si="60"/>
        <v>1.5809492148616862E-13</v>
      </c>
      <c r="W337" s="13">
        <f t="shared" si="65"/>
        <v>1.5809492148616862E-13</v>
      </c>
      <c r="X337" s="13">
        <v>0</v>
      </c>
      <c r="Y337" s="13">
        <v>0</v>
      </c>
      <c r="Z337" s="13">
        <v>0</v>
      </c>
      <c r="AA337" s="13">
        <f t="shared" si="66"/>
        <v>1.4804010913901183E-6</v>
      </c>
      <c r="AB337" s="13">
        <f t="shared" si="67"/>
        <v>653.05003738492826</v>
      </c>
      <c r="AC337" s="13">
        <f t="shared" si="61"/>
        <v>653.0500388653295</v>
      </c>
      <c r="AD337" s="13">
        <f t="shared" si="62"/>
        <v>1.2840064514865977E-6</v>
      </c>
      <c r="AE337" s="13">
        <f t="shared" si="57"/>
        <v>7.1123462875889703E-11</v>
      </c>
      <c r="AF337" s="13">
        <f t="shared" si="63"/>
        <v>1.0496450291557819E-10</v>
      </c>
      <c r="AG337" s="13">
        <f t="shared" si="64"/>
        <v>3.9635587322403489E-11</v>
      </c>
      <c r="AH337" s="10"/>
      <c r="AI337" s="13">
        <f t="shared" si="58"/>
        <v>1.8205056065054583E-15</v>
      </c>
      <c r="AJ337" s="10"/>
      <c r="AK337" s="10"/>
      <c r="AL337" s="10"/>
      <c r="AM337" s="10"/>
      <c r="AN337" s="10"/>
    </row>
    <row r="338" spans="19:40">
      <c r="S338" s="10"/>
      <c r="T338" s="12">
        <v>332</v>
      </c>
      <c r="U338" s="13">
        <f t="shared" si="59"/>
        <v>0.12025574189925535</v>
      </c>
      <c r="V338" s="13">
        <f t="shared" si="60"/>
        <v>1.3905537696890046E-13</v>
      </c>
      <c r="W338" s="13">
        <f t="shared" si="65"/>
        <v>1.3905537696890046E-13</v>
      </c>
      <c r="X338" s="13">
        <v>0</v>
      </c>
      <c r="Y338" s="13">
        <v>0</v>
      </c>
      <c r="Z338" s="13">
        <v>0</v>
      </c>
      <c r="AA338" s="13">
        <f t="shared" si="66"/>
        <v>1.3871982741940482E-6</v>
      </c>
      <c r="AB338" s="13">
        <f t="shared" si="67"/>
        <v>653.05003747813112</v>
      </c>
      <c r="AC338" s="13">
        <f t="shared" si="61"/>
        <v>653.0500388653295</v>
      </c>
      <c r="AD338" s="13">
        <f t="shared" si="62"/>
        <v>1.1996226321674335E-6</v>
      </c>
      <c r="AE338" s="13">
        <f t="shared" si="57"/>
        <v>6.6449290093385464E-11</v>
      </c>
      <c r="AF338" s="13">
        <f t="shared" si="63"/>
        <v>9.8356166256761819E-11</v>
      </c>
      <c r="AG338" s="13">
        <f t="shared" si="64"/>
        <v>3.7030770507977474E-11</v>
      </c>
      <c r="AH338" s="10"/>
      <c r="AI338" s="13">
        <f t="shared" si="58"/>
        <v>1.6142811329253365E-15</v>
      </c>
      <c r="AJ338" s="10"/>
      <c r="AK338" s="10"/>
      <c r="AL338" s="10"/>
      <c r="AM338" s="10"/>
      <c r="AN338" s="10"/>
    </row>
    <row r="339" spans="19:40">
      <c r="S339" s="10"/>
      <c r="T339" s="12">
        <v>333</v>
      </c>
      <c r="U339" s="13">
        <f t="shared" si="59"/>
        <v>0.1203180369057852</v>
      </c>
      <c r="V339" s="13">
        <f t="shared" si="60"/>
        <v>1.2230012319158562E-13</v>
      </c>
      <c r="W339" s="13">
        <f t="shared" si="65"/>
        <v>1.2230012319158562E-13</v>
      </c>
      <c r="X339" s="13">
        <v>0</v>
      </c>
      <c r="Y339" s="13">
        <v>0</v>
      </c>
      <c r="Z339" s="13">
        <v>0</v>
      </c>
      <c r="AA339" s="13">
        <f t="shared" si="66"/>
        <v>1.2998633015835011E-6</v>
      </c>
      <c r="AB339" s="13">
        <f t="shared" si="67"/>
        <v>653.05003756546614</v>
      </c>
      <c r="AC339" s="13">
        <f t="shared" si="61"/>
        <v>653.05003886532961</v>
      </c>
      <c r="AD339" s="13">
        <f t="shared" si="62"/>
        <v>1.1207844468133698E-6</v>
      </c>
      <c r="AE339" s="13">
        <f t="shared" si="57"/>
        <v>6.2082299897041931E-11</v>
      </c>
      <c r="AF339" s="13">
        <f t="shared" si="63"/>
        <v>9.2163876069133232E-11</v>
      </c>
      <c r="AG339" s="13">
        <f t="shared" si="64"/>
        <v>3.4597140012735886E-11</v>
      </c>
      <c r="AH339" s="10"/>
      <c r="AI339" s="13">
        <f t="shared" si="58"/>
        <v>1.4313282170883588E-15</v>
      </c>
      <c r="AJ339" s="10"/>
      <c r="AK339" s="10"/>
      <c r="AL339" s="10"/>
      <c r="AM339" s="10"/>
      <c r="AN339" s="10"/>
    </row>
    <row r="340" spans="19:40">
      <c r="S340" s="10"/>
      <c r="T340" s="12">
        <v>334</v>
      </c>
      <c r="U340" s="13">
        <f t="shared" si="59"/>
        <v>0.12038017724552133</v>
      </c>
      <c r="V340" s="13">
        <f t="shared" si="60"/>
        <v>1.075561669720416E-13</v>
      </c>
      <c r="W340" s="13">
        <f t="shared" si="65"/>
        <v>1.075561669720416E-13</v>
      </c>
      <c r="X340" s="13">
        <v>0</v>
      </c>
      <c r="Y340" s="13">
        <v>0</v>
      </c>
      <c r="Z340" s="13">
        <v>0</v>
      </c>
      <c r="AA340" s="13">
        <f t="shared" si="66"/>
        <v>1.2180267470851835E-6</v>
      </c>
      <c r="AB340" s="13">
        <f t="shared" si="67"/>
        <v>653.0500376473027</v>
      </c>
      <c r="AC340" s="13">
        <f t="shared" si="61"/>
        <v>653.05003886532961</v>
      </c>
      <c r="AD340" s="13">
        <f t="shared" si="62"/>
        <v>1.0471274409252991E-6</v>
      </c>
      <c r="AE340" s="13">
        <f t="shared" si="57"/>
        <v>5.8002304516726241E-11</v>
      </c>
      <c r="AF340" s="13">
        <f t="shared" si="63"/>
        <v>8.6361438976467225E-11</v>
      </c>
      <c r="AG340" s="13">
        <f t="shared" si="64"/>
        <v>3.2323445620151435E-11</v>
      </c>
      <c r="AH340" s="10"/>
      <c r="AI340" s="13">
        <f t="shared" si="58"/>
        <v>1.2690311259819662E-15</v>
      </c>
      <c r="AJ340" s="10"/>
      <c r="AK340" s="10"/>
      <c r="AL340" s="10"/>
      <c r="AM340" s="10"/>
      <c r="AN340" s="10"/>
    </row>
    <row r="341" spans="19:40">
      <c r="S341" s="10"/>
      <c r="T341" s="12">
        <v>335</v>
      </c>
      <c r="U341" s="13">
        <f t="shared" si="59"/>
        <v>0.12044216376382651</v>
      </c>
      <c r="V341" s="13">
        <f t="shared" si="60"/>
        <v>9.4583009182449991E-14</v>
      </c>
      <c r="W341" s="13">
        <f t="shared" si="65"/>
        <v>9.4583009182449991E-14</v>
      </c>
      <c r="X341" s="13">
        <v>0</v>
      </c>
      <c r="Y341" s="13">
        <v>0</v>
      </c>
      <c r="Z341" s="13">
        <v>0</v>
      </c>
      <c r="AA341" s="13">
        <f t="shared" si="66"/>
        <v>1.1413424424814525E-6</v>
      </c>
      <c r="AB341" s="13">
        <f t="shared" si="67"/>
        <v>653.05003772398697</v>
      </c>
      <c r="AC341" s="13">
        <f t="shared" si="61"/>
        <v>653.0500388653295</v>
      </c>
      <c r="AD341" s="13">
        <f t="shared" si="62"/>
        <v>9.7831111166304552E-7</v>
      </c>
      <c r="AE341" s="13">
        <f t="shared" si="57"/>
        <v>5.4190442904447514E-11</v>
      </c>
      <c r="AF341" s="13">
        <f t="shared" si="63"/>
        <v>8.0924310679915396E-11</v>
      </c>
      <c r="AG341" s="13">
        <f t="shared" si="64"/>
        <v>3.0199176468049434E-11</v>
      </c>
      <c r="AH341" s="10"/>
      <c r="AI341" s="13">
        <f t="shared" si="58"/>
        <v>1.1250669366197528E-15</v>
      </c>
      <c r="AJ341" s="10"/>
      <c r="AK341" s="10"/>
      <c r="AL341" s="10"/>
      <c r="AM341" s="10"/>
      <c r="AN341" s="10"/>
    </row>
    <row r="342" spans="19:40">
      <c r="S342" s="10"/>
      <c r="T342" s="12">
        <v>336</v>
      </c>
      <c r="U342" s="13">
        <f t="shared" si="59"/>
        <v>0.12050399729893654</v>
      </c>
      <c r="V342" s="13">
        <f t="shared" si="60"/>
        <v>8.31687930702301E-14</v>
      </c>
      <c r="W342" s="13">
        <f t="shared" si="65"/>
        <v>8.31687930702301E-14</v>
      </c>
      <c r="X342" s="13">
        <v>0</v>
      </c>
      <c r="Y342" s="13">
        <v>0</v>
      </c>
      <c r="Z342" s="13">
        <v>0</v>
      </c>
      <c r="AA342" s="13">
        <f t="shared" si="66"/>
        <v>1.0694860135249185E-6</v>
      </c>
      <c r="AB342" s="13">
        <f t="shared" si="67"/>
        <v>653.05003779584342</v>
      </c>
      <c r="AC342" s="13">
        <f t="shared" si="61"/>
        <v>653.0500388653295</v>
      </c>
      <c r="AD342" s="13">
        <f t="shared" si="62"/>
        <v>9.1401733376034033E-7</v>
      </c>
      <c r="AE342" s="13">
        <f t="shared" si="57"/>
        <v>5.0629093543416999E-11</v>
      </c>
      <c r="AF342" s="13">
        <f t="shared" si="63"/>
        <v>7.5829492135758862E-11</v>
      </c>
      <c r="AG342" s="13">
        <f t="shared" si="64"/>
        <v>2.8214512458904277E-11</v>
      </c>
      <c r="AH342" s="10"/>
      <c r="AI342" s="13">
        <f t="shared" si="58"/>
        <v>9.9737289675016557E-16</v>
      </c>
      <c r="AJ342" s="10"/>
      <c r="AK342" s="10"/>
      <c r="AL342" s="10"/>
      <c r="AM342" s="10"/>
      <c r="AN342" s="10"/>
    </row>
    <row r="343" spans="19:40">
      <c r="S343" s="10"/>
      <c r="T343" s="12">
        <v>337</v>
      </c>
      <c r="U343" s="13">
        <f t="shared" si="59"/>
        <v>0.12056567868204116</v>
      </c>
      <c r="V343" s="13">
        <f t="shared" si="60"/>
        <v>7.3126907178198499E-14</v>
      </c>
      <c r="W343" s="13">
        <f t="shared" si="65"/>
        <v>7.3126907178198499E-14</v>
      </c>
      <c r="X343" s="13">
        <v>0</v>
      </c>
      <c r="Y343" s="13">
        <v>0</v>
      </c>
      <c r="Z343" s="13">
        <v>0</v>
      </c>
      <c r="AA343" s="13">
        <f t="shared" si="66"/>
        <v>1.0021535078408235E-6</v>
      </c>
      <c r="AB343" s="13">
        <f t="shared" si="67"/>
        <v>653.05003786317593</v>
      </c>
      <c r="AC343" s="13">
        <f t="shared" si="61"/>
        <v>653.0500388653295</v>
      </c>
      <c r="AD343" s="13">
        <f t="shared" si="62"/>
        <v>8.5394888888762063E-7</v>
      </c>
      <c r="AE343" s="13">
        <f t="shared" si="57"/>
        <v>4.7301792987209263E-11</v>
      </c>
      <c r="AF343" s="13">
        <f t="shared" si="63"/>
        <v>7.1055432269574566E-11</v>
      </c>
      <c r="AG343" s="13">
        <f t="shared" si="64"/>
        <v>2.6360278863405859E-11</v>
      </c>
      <c r="AH343" s="10"/>
      <c r="AI343" s="13">
        <f t="shared" si="58"/>
        <v>8.8411740791799583E-16</v>
      </c>
      <c r="AJ343" s="10"/>
      <c r="AK343" s="10"/>
      <c r="AL343" s="10"/>
      <c r="AM343" s="10"/>
      <c r="AN343" s="10"/>
    </row>
    <row r="344" spans="19:40">
      <c r="S344" s="10"/>
      <c r="T344" s="12">
        <v>338</v>
      </c>
      <c r="U344" s="13">
        <f t="shared" si="59"/>
        <v>0.12062720873736409</v>
      </c>
      <c r="V344" s="13">
        <f t="shared" si="60"/>
        <v>6.4292989447727291E-14</v>
      </c>
      <c r="W344" s="13">
        <f t="shared" si="65"/>
        <v>6.4292989447727291E-14</v>
      </c>
      <c r="X344" s="13">
        <v>0</v>
      </c>
      <c r="Y344" s="13">
        <v>0</v>
      </c>
      <c r="Z344" s="13">
        <v>0</v>
      </c>
      <c r="AA344" s="13">
        <f t="shared" si="66"/>
        <v>9.3906010921330202E-7</v>
      </c>
      <c r="AB344" s="13">
        <f t="shared" si="67"/>
        <v>653.05003792626928</v>
      </c>
      <c r="AC344" s="13">
        <f t="shared" si="61"/>
        <v>653.0500388653295</v>
      </c>
      <c r="AD344" s="13">
        <f t="shared" si="62"/>
        <v>7.9782809166409961E-7</v>
      </c>
      <c r="AE344" s="13">
        <f t="shared" si="57"/>
        <v>4.4193159752448973E-11</v>
      </c>
      <c r="AF344" s="13">
        <f t="shared" si="63"/>
        <v>6.6581936815297398E-11</v>
      </c>
      <c r="AG344" s="13">
        <f t="shared" si="64"/>
        <v>2.4627903907437128E-11</v>
      </c>
      <c r="AH344" s="10"/>
      <c r="AI344" s="13">
        <f t="shared" si="58"/>
        <v>7.8367423069090972E-16</v>
      </c>
      <c r="AJ344" s="10"/>
      <c r="AK344" s="10"/>
      <c r="AL344" s="10"/>
      <c r="AM344" s="10"/>
      <c r="AN344" s="10"/>
    </row>
    <row r="345" spans="19:40">
      <c r="S345" s="10"/>
      <c r="T345" s="12">
        <v>339</v>
      </c>
      <c r="U345" s="13">
        <f t="shared" si="59"/>
        <v>0.12068858828224167</v>
      </c>
      <c r="V345" s="13">
        <f t="shared" si="60"/>
        <v>5.6522285336221896E-14</v>
      </c>
      <c r="W345" s="13">
        <f t="shared" si="65"/>
        <v>5.6522285336221896E-14</v>
      </c>
      <c r="X345" s="13">
        <v>0</v>
      </c>
      <c r="Y345" s="13">
        <v>0</v>
      </c>
      <c r="Z345" s="13">
        <v>0</v>
      </c>
      <c r="AA345" s="13">
        <f t="shared" si="66"/>
        <v>8.7993893281703339E-7</v>
      </c>
      <c r="AB345" s="13">
        <f t="shared" si="67"/>
        <v>653.05003798539042</v>
      </c>
      <c r="AC345" s="13">
        <f t="shared" si="61"/>
        <v>653.05003886532938</v>
      </c>
      <c r="AD345" s="13">
        <f t="shared" si="62"/>
        <v>7.4539550596738054E-7</v>
      </c>
      <c r="AE345" s="13">
        <f t="shared" si="57"/>
        <v>4.1288823213195191E-11</v>
      </c>
      <c r="AF345" s="13">
        <f t="shared" si="63"/>
        <v>6.2390082893569753E-11</v>
      </c>
      <c r="AG345" s="13">
        <f t="shared" si="64"/>
        <v>2.3009379146396208E-11</v>
      </c>
      <c r="AH345" s="10"/>
      <c r="AI345" s="13">
        <f t="shared" si="58"/>
        <v>6.9459955586653764E-16</v>
      </c>
      <c r="AJ345" s="10"/>
      <c r="AK345" s="10"/>
      <c r="AL345" s="10"/>
      <c r="AM345" s="10"/>
      <c r="AN345" s="10"/>
    </row>
    <row r="346" spans="19:40">
      <c r="S346" s="10"/>
      <c r="T346" s="12">
        <v>340</v>
      </c>
      <c r="U346" s="13">
        <f t="shared" si="59"/>
        <v>0.12074981812720076</v>
      </c>
      <c r="V346" s="13">
        <f t="shared" si="60"/>
        <v>4.9687318300616227E-14</v>
      </c>
      <c r="W346" s="13">
        <f t="shared" si="65"/>
        <v>4.9687318300616227E-14</v>
      </c>
      <c r="X346" s="13">
        <v>0</v>
      </c>
      <c r="Y346" s="13">
        <v>0</v>
      </c>
      <c r="Z346" s="13">
        <v>0</v>
      </c>
      <c r="AA346" s="13">
        <f t="shared" si="66"/>
        <v>8.2453989629817867E-7</v>
      </c>
      <c r="AB346" s="13">
        <f t="shared" si="67"/>
        <v>653.05003804078945</v>
      </c>
      <c r="AC346" s="13">
        <f t="shared" si="61"/>
        <v>653.05003886532938</v>
      </c>
      <c r="AD346" s="13">
        <f t="shared" si="62"/>
        <v>6.9640874560630573E-7</v>
      </c>
      <c r="AE346" s="13">
        <f t="shared" si="57"/>
        <v>3.857535716831736E-11</v>
      </c>
      <c r="AF346" s="13">
        <f t="shared" si="63"/>
        <v>5.8462138968045455E-11</v>
      </c>
      <c r="AG346" s="13">
        <f t="shared" si="64"/>
        <v>2.1497222443681375E-11</v>
      </c>
      <c r="AH346" s="10"/>
      <c r="AI346" s="13">
        <f t="shared" si="58"/>
        <v>6.156116246630467E-16</v>
      </c>
      <c r="AJ346" s="10"/>
      <c r="AK346" s="10"/>
      <c r="AL346" s="10"/>
      <c r="AM346" s="10"/>
      <c r="AN346" s="10"/>
    </row>
    <row r="347" spans="19:40">
      <c r="S347" s="10"/>
      <c r="T347" s="12">
        <v>341</v>
      </c>
      <c r="U347" s="13">
        <f t="shared" si="59"/>
        <v>0.12081089907603504</v>
      </c>
      <c r="V347" s="13">
        <f t="shared" si="60"/>
        <v>4.3675835875959986E-14</v>
      </c>
      <c r="W347" s="13">
        <f t="shared" si="65"/>
        <v>4.3675835875959986E-14</v>
      </c>
      <c r="X347" s="13">
        <v>0</v>
      </c>
      <c r="Y347" s="13">
        <v>0</v>
      </c>
      <c r="Z347" s="13">
        <v>0</v>
      </c>
      <c r="AA347" s="13">
        <f t="shared" si="66"/>
        <v>7.7262866192933471E-7</v>
      </c>
      <c r="AB347" s="13">
        <f t="shared" si="67"/>
        <v>653.05003809270067</v>
      </c>
      <c r="AC347" s="13">
        <f t="shared" si="61"/>
        <v>653.05003886532938</v>
      </c>
      <c r="AD347" s="13">
        <f t="shared" si="62"/>
        <v>6.5064135381273716E-7</v>
      </c>
      <c r="AE347" s="13">
        <f t="shared" si="57"/>
        <v>3.6040217774758902E-11</v>
      </c>
      <c r="AF347" s="13">
        <f t="shared" si="63"/>
        <v>5.4781489841065651E-11</v>
      </c>
      <c r="AG347" s="13">
        <f t="shared" si="64"/>
        <v>2.0084443382196132E-11</v>
      </c>
      <c r="AH347" s="10"/>
      <c r="AI347" s="13">
        <f t="shared" si="58"/>
        <v>5.4557261579515526E-16</v>
      </c>
      <c r="AJ347" s="10"/>
      <c r="AK347" s="10"/>
      <c r="AL347" s="10"/>
      <c r="AM347" s="10"/>
      <c r="AN347" s="10"/>
    </row>
    <row r="348" spans="19:40">
      <c r="S348" s="10"/>
      <c r="T348" s="12">
        <v>342</v>
      </c>
      <c r="U348" s="13">
        <f t="shared" si="59"/>
        <v>0.1208718319258808</v>
      </c>
      <c r="V348" s="13">
        <f t="shared" si="60"/>
        <v>3.8388998887072875E-14</v>
      </c>
      <c r="W348" s="13">
        <f t="shared" si="65"/>
        <v>3.8388998887072875E-14</v>
      </c>
      <c r="X348" s="13">
        <v>0</v>
      </c>
      <c r="Y348" s="13">
        <v>0</v>
      </c>
      <c r="Z348" s="13">
        <v>0</v>
      </c>
      <c r="AA348" s="13">
        <f t="shared" si="66"/>
        <v>7.239856453638701E-7</v>
      </c>
      <c r="AB348" s="13">
        <f t="shared" si="67"/>
        <v>653.05003814134375</v>
      </c>
      <c r="AC348" s="13">
        <f t="shared" si="61"/>
        <v>653.05003886532938</v>
      </c>
      <c r="AD348" s="13">
        <f t="shared" si="62"/>
        <v>6.0788175637233623E-7</v>
      </c>
      <c r="AE348" s="13">
        <f t="shared" si="57"/>
        <v>3.3671685559766887E-11</v>
      </c>
      <c r="AF348" s="13">
        <f t="shared" si="63"/>
        <v>5.1332566371438184E-11</v>
      </c>
      <c r="AG348" s="13">
        <f t="shared" si="64"/>
        <v>1.8764510948978348E-11</v>
      </c>
      <c r="AH348" s="10"/>
      <c r="AI348" s="13">
        <f t="shared" si="58"/>
        <v>4.8347254841110977E-16</v>
      </c>
      <c r="AJ348" s="10"/>
      <c r="AK348" s="10"/>
      <c r="AL348" s="10"/>
      <c r="AM348" s="10"/>
      <c r="AN348" s="10"/>
    </row>
    <row r="349" spans="19:40">
      <c r="S349" s="10"/>
      <c r="T349" s="12">
        <v>343</v>
      </c>
      <c r="U349" s="13">
        <f t="shared" si="59"/>
        <v>0.12093261746729117</v>
      </c>
      <c r="V349" s="13">
        <f t="shared" si="60"/>
        <v>3.3739785137596234E-14</v>
      </c>
      <c r="W349" s="13">
        <f t="shared" si="65"/>
        <v>3.3739785137596234E-14</v>
      </c>
      <c r="X349" s="13">
        <v>0</v>
      </c>
      <c r="Y349" s="13">
        <v>0</v>
      </c>
      <c r="Z349" s="13">
        <v>0</v>
      </c>
      <c r="AA349" s="13">
        <f t="shared" si="66"/>
        <v>6.7840508679672137E-7</v>
      </c>
      <c r="AB349" s="13">
        <f t="shared" si="67"/>
        <v>653.05003818692433</v>
      </c>
      <c r="AC349" s="13">
        <f t="shared" si="61"/>
        <v>653.0500388653295</v>
      </c>
      <c r="AD349" s="13">
        <f t="shared" si="62"/>
        <v>5.6793228355483062E-7</v>
      </c>
      <c r="AE349" s="13">
        <f t="shared" si="57"/>
        <v>3.1458811244022616E-11</v>
      </c>
      <c r="AF349" s="13">
        <f t="shared" si="63"/>
        <v>4.810077961702883E-11</v>
      </c>
      <c r="AG349" s="13">
        <f t="shared" si="64"/>
        <v>1.7531323343566173E-11</v>
      </c>
      <c r="AH349" s="10"/>
      <c r="AI349" s="13">
        <f t="shared" si="58"/>
        <v>4.2841497753526325E-16</v>
      </c>
      <c r="AJ349" s="10"/>
      <c r="AK349" s="10"/>
      <c r="AL349" s="10"/>
      <c r="AM349" s="10"/>
      <c r="AN349" s="10"/>
    </row>
    <row r="350" spans="19:40">
      <c r="S350" s="10"/>
      <c r="T350" s="12">
        <v>344</v>
      </c>
      <c r="U350" s="13">
        <f t="shared" si="59"/>
        <v>0.12099325648430949</v>
      </c>
      <c r="V350" s="13">
        <f t="shared" si="60"/>
        <v>2.9651582282907884E-14</v>
      </c>
      <c r="W350" s="13">
        <f t="shared" si="65"/>
        <v>2.9651582282907884E-14</v>
      </c>
      <c r="X350" s="13">
        <v>0</v>
      </c>
      <c r="Y350" s="13">
        <v>0</v>
      </c>
      <c r="Z350" s="13">
        <v>0</v>
      </c>
      <c r="AA350" s="13">
        <f t="shared" si="66"/>
        <v>6.3569418060269726E-7</v>
      </c>
      <c r="AB350" s="13">
        <f t="shared" si="67"/>
        <v>653.05003822963522</v>
      </c>
      <c r="AC350" s="13">
        <f t="shared" si="61"/>
        <v>653.05003886532938</v>
      </c>
      <c r="AD350" s="13">
        <f t="shared" si="62"/>
        <v>5.3060825632231058E-7</v>
      </c>
      <c r="AE350" s="13">
        <f t="shared" si="57"/>
        <v>2.9391365125224425E-11</v>
      </c>
      <c r="AF350" s="13">
        <f t="shared" si="63"/>
        <v>4.5072459123587624E-11</v>
      </c>
      <c r="AG350" s="13">
        <f t="shared" si="64"/>
        <v>1.6379179770530787E-11</v>
      </c>
      <c r="AH350" s="10"/>
      <c r="AI350" s="13">
        <f t="shared" si="58"/>
        <v>3.7960428329387482E-16</v>
      </c>
      <c r="AJ350" s="10"/>
      <c r="AK350" s="10"/>
      <c r="AL350" s="10"/>
      <c r="AM350" s="10"/>
      <c r="AN350" s="10"/>
    </row>
    <row r="351" spans="19:40">
      <c r="S351" s="10"/>
      <c r="T351" s="12">
        <v>345</v>
      </c>
      <c r="U351" s="13">
        <f t="shared" si="59"/>
        <v>0.12105374975454176</v>
      </c>
      <c r="V351" s="13">
        <f t="shared" si="60"/>
        <v>2.6056947562870178E-14</v>
      </c>
      <c r="W351" s="13">
        <f t="shared" si="65"/>
        <v>2.6056947562870178E-14</v>
      </c>
      <c r="X351" s="13">
        <v>0</v>
      </c>
      <c r="Y351" s="13">
        <v>0</v>
      </c>
      <c r="Z351" s="13">
        <v>0</v>
      </c>
      <c r="AA351" s="13">
        <f t="shared" si="66"/>
        <v>5.9567225977069868E-7</v>
      </c>
      <c r="AB351" s="13">
        <f t="shared" si="67"/>
        <v>653.05003826965719</v>
      </c>
      <c r="AC351" s="13">
        <f t="shared" si="61"/>
        <v>653.0500388653295</v>
      </c>
      <c r="AD351" s="13">
        <f t="shared" si="62"/>
        <v>4.9573713259123883E-7</v>
      </c>
      <c r="AE351" s="13">
        <f t="shared" si="57"/>
        <v>2.7459789788133693E-11</v>
      </c>
      <c r="AF351" s="13">
        <f t="shared" si="63"/>
        <v>4.2234795098773102E-11</v>
      </c>
      <c r="AG351" s="13">
        <f t="shared" si="64"/>
        <v>1.5302754085778243E-11</v>
      </c>
      <c r="AH351" s="10"/>
      <c r="AI351" s="13">
        <f t="shared" si="58"/>
        <v>3.3633437713112887E-16</v>
      </c>
      <c r="AJ351" s="10"/>
      <c r="AK351" s="10"/>
      <c r="AL351" s="10"/>
      <c r="AM351" s="10"/>
      <c r="AN351" s="10"/>
    </row>
    <row r="352" spans="19:40">
      <c r="S352" s="10"/>
      <c r="T352" s="12">
        <v>346</v>
      </c>
      <c r="U352" s="13">
        <f t="shared" si="59"/>
        <v>0.12111409804922783</v>
      </c>
      <c r="V352" s="13">
        <f t="shared" si="60"/>
        <v>2.2896514692883908E-14</v>
      </c>
      <c r="W352" s="13">
        <f t="shared" si="65"/>
        <v>2.2896514692883908E-14</v>
      </c>
      <c r="X352" s="13">
        <v>0</v>
      </c>
      <c r="Y352" s="13">
        <v>0</v>
      </c>
      <c r="Z352" s="13">
        <v>0</v>
      </c>
      <c r="AA352" s="13">
        <f t="shared" si="66"/>
        <v>5.5817003168404097E-7</v>
      </c>
      <c r="AB352" s="13">
        <f t="shared" si="67"/>
        <v>653.05003830715941</v>
      </c>
      <c r="AC352" s="13">
        <f t="shared" si="61"/>
        <v>653.0500388653295</v>
      </c>
      <c r="AD352" s="13">
        <f t="shared" si="62"/>
        <v>4.6315770960148903E-7</v>
      </c>
      <c r="AE352" s="13">
        <f t="shared" si="57"/>
        <v>2.565515592247232E-11</v>
      </c>
      <c r="AF352" s="13">
        <f t="shared" si="63"/>
        <v>3.9575784226771394E-11</v>
      </c>
      <c r="AG352" s="13">
        <f t="shared" si="64"/>
        <v>1.429707017479272E-11</v>
      </c>
      <c r="AH352" s="10"/>
      <c r="AI352" s="13">
        <f t="shared" si="58"/>
        <v>2.979786677440819E-16</v>
      </c>
      <c r="AJ352" s="10"/>
      <c r="AK352" s="10"/>
      <c r="AL352" s="10"/>
      <c r="AM352" s="10"/>
      <c r="AN352" s="10"/>
    </row>
    <row r="353" spans="19:40">
      <c r="S353" s="10"/>
      <c r="T353" s="12">
        <v>347</v>
      </c>
      <c r="U353" s="13">
        <f t="shared" si="59"/>
        <v>0.121174302133312</v>
      </c>
      <c r="V353" s="13">
        <f t="shared" si="60"/>
        <v>2.0118030527573716E-14</v>
      </c>
      <c r="W353" s="13">
        <f t="shared" si="65"/>
        <v>2.0118030527573716E-14</v>
      </c>
      <c r="X353" s="13">
        <v>0</v>
      </c>
      <c r="Y353" s="13">
        <v>0</v>
      </c>
      <c r="Z353" s="13">
        <v>0</v>
      </c>
      <c r="AA353" s="13">
        <f t="shared" si="66"/>
        <v>5.2302886201425641E-7</v>
      </c>
      <c r="AB353" s="13">
        <f t="shared" si="67"/>
        <v>653.05003834230058</v>
      </c>
      <c r="AC353" s="13">
        <f t="shared" si="61"/>
        <v>653.0500388653295</v>
      </c>
      <c r="AD353" s="13">
        <f t="shared" si="62"/>
        <v>4.3271937870508938E-7</v>
      </c>
      <c r="AE353" s="13">
        <f t="shared" si="57"/>
        <v>2.3969121044426422E-11</v>
      </c>
      <c r="AF353" s="13">
        <f t="shared" si="63"/>
        <v>3.7084178894306246E-11</v>
      </c>
      <c r="AG353" s="13">
        <f t="shared" si="64"/>
        <v>1.3357478948999393E-11</v>
      </c>
      <c r="AH353" s="10"/>
      <c r="AI353" s="13">
        <f t="shared" si="58"/>
        <v>2.6398114684084192E-16</v>
      </c>
      <c r="AJ353" s="10"/>
      <c r="AK353" s="10"/>
      <c r="AL353" s="10"/>
      <c r="AM353" s="10"/>
      <c r="AN353" s="10"/>
    </row>
    <row r="354" spans="19:40">
      <c r="S354" s="10"/>
      <c r="T354" s="12">
        <v>348</v>
      </c>
      <c r="U354" s="13">
        <f t="shared" si="59"/>
        <v>0.12123436276551208</v>
      </c>
      <c r="V354" s="13">
        <f t="shared" si="60"/>
        <v>1.7675506156318874E-14</v>
      </c>
      <c r="W354" s="13">
        <f t="shared" si="65"/>
        <v>1.7675506156318874E-14</v>
      </c>
      <c r="X354" s="13">
        <v>0</v>
      </c>
      <c r="Y354" s="13">
        <v>0</v>
      </c>
      <c r="Z354" s="13">
        <v>0</v>
      </c>
      <c r="AA354" s="13">
        <f t="shared" si="66"/>
        <v>4.901001036992738E-7</v>
      </c>
      <c r="AB354" s="13">
        <f t="shared" si="67"/>
        <v>653.05003837522929</v>
      </c>
      <c r="AC354" s="13">
        <f t="shared" si="61"/>
        <v>653.05003886532938</v>
      </c>
      <c r="AD354" s="13">
        <f t="shared" si="62"/>
        <v>4.0428142912968753E-7</v>
      </c>
      <c r="AE354" s="13">
        <f t="shared" si="57"/>
        <v>2.2393890930934729E-11</v>
      </c>
      <c r="AF354" s="13">
        <f t="shared" si="63"/>
        <v>3.4749439613266816E-11</v>
      </c>
      <c r="AG354" s="13">
        <f t="shared" si="64"/>
        <v>1.2479636853905792E-11</v>
      </c>
      <c r="AH354" s="10"/>
      <c r="AI354" s="13">
        <f t="shared" si="58"/>
        <v>2.3384847029169022E-16</v>
      </c>
      <c r="AJ354" s="10"/>
      <c r="AK354" s="10"/>
      <c r="AL354" s="10"/>
      <c r="AM354" s="10"/>
      <c r="AN354" s="10"/>
    </row>
    <row r="355" spans="19:40">
      <c r="S355" s="10"/>
      <c r="T355" s="12">
        <v>349</v>
      </c>
      <c r="U355" s="13">
        <f t="shared" si="59"/>
        <v>0.12129428069838807</v>
      </c>
      <c r="V355" s="13">
        <f t="shared" si="60"/>
        <v>1.5528468895318245E-14</v>
      </c>
      <c r="W355" s="13">
        <f t="shared" si="65"/>
        <v>1.5528468895318245E-14</v>
      </c>
      <c r="X355" s="13">
        <v>0</v>
      </c>
      <c r="Y355" s="13">
        <v>0</v>
      </c>
      <c r="Z355" s="13">
        <v>0</v>
      </c>
      <c r="AA355" s="13">
        <f t="shared" si="66"/>
        <v>4.5924446816757238E-7</v>
      </c>
      <c r="AB355" s="13">
        <f t="shared" si="67"/>
        <v>653.05003840608492</v>
      </c>
      <c r="AC355" s="13">
        <f t="shared" si="61"/>
        <v>653.05003886532938</v>
      </c>
      <c r="AD355" s="13">
        <f t="shared" si="62"/>
        <v>3.7771239749814889E-7</v>
      </c>
      <c r="AE355" s="13">
        <f t="shared" si="57"/>
        <v>2.0922183588479692E-11</v>
      </c>
      <c r="AF355" s="13">
        <f t="shared" si="63"/>
        <v>3.2561690438701353E-11</v>
      </c>
      <c r="AG355" s="13">
        <f t="shared" si="64"/>
        <v>1.1659485789668857E-11</v>
      </c>
      <c r="AH355" s="10"/>
      <c r="AI355" s="13">
        <f t="shared" si="58"/>
        <v>2.0714292400664795E-16</v>
      </c>
      <c r="AJ355" s="10"/>
      <c r="AK355" s="10"/>
      <c r="AL355" s="10"/>
      <c r="AM355" s="10"/>
      <c r="AN355" s="10"/>
    </row>
    <row r="356" spans="19:40">
      <c r="S356" s="10"/>
      <c r="T356" s="12">
        <v>350</v>
      </c>
      <c r="U356" s="13">
        <f t="shared" si="59"/>
        <v>0.12135405667840937</v>
      </c>
      <c r="V356" s="13">
        <f t="shared" si="60"/>
        <v>1.3641303234836837E-14</v>
      </c>
      <c r="W356" s="13">
        <f t="shared" si="65"/>
        <v>1.3641303234836837E-14</v>
      </c>
      <c r="X356" s="13">
        <v>0</v>
      </c>
      <c r="Y356" s="13">
        <v>0</v>
      </c>
      <c r="Z356" s="13">
        <v>0</v>
      </c>
      <c r="AA356" s="13">
        <f t="shared" si="66"/>
        <v>4.3033143614860837E-7</v>
      </c>
      <c r="AB356" s="13">
        <f t="shared" si="67"/>
        <v>653.05003843499799</v>
      </c>
      <c r="AC356" s="13">
        <f t="shared" si="61"/>
        <v>653.05003886532938</v>
      </c>
      <c r="AD356" s="13">
        <f t="shared" si="62"/>
        <v>3.5288946009722888E-7</v>
      </c>
      <c r="AE356" s="13">
        <f t="shared" si="57"/>
        <v>1.9547195589816547E-11</v>
      </c>
      <c r="AF356" s="13">
        <f t="shared" si="63"/>
        <v>3.051167719359523E-11</v>
      </c>
      <c r="AG356" s="13">
        <f t="shared" si="64"/>
        <v>1.0893234351264483E-11</v>
      </c>
      <c r="AH356" s="10"/>
      <c r="AI356" s="13">
        <f t="shared" si="58"/>
        <v>1.8347617612108018E-16</v>
      </c>
      <c r="AJ356" s="10"/>
      <c r="AK356" s="10"/>
      <c r="AL356" s="10"/>
      <c r="AM356" s="10"/>
      <c r="AN356" s="10"/>
    </row>
    <row r="357" spans="19:40">
      <c r="S357" s="10"/>
      <c r="T357" s="12">
        <v>351</v>
      </c>
      <c r="U357" s="13">
        <f t="shared" si="59"/>
        <v>0.12141369144602153</v>
      </c>
      <c r="V357" s="13">
        <f t="shared" si="60"/>
        <v>1.1982670207385332E-14</v>
      </c>
      <c r="W357" s="13">
        <f t="shared" si="65"/>
        <v>1.1982670207385332E-14</v>
      </c>
      <c r="X357" s="13">
        <v>0</v>
      </c>
      <c r="Y357" s="13">
        <v>0</v>
      </c>
      <c r="Z357" s="13">
        <v>0</v>
      </c>
      <c r="AA357" s="13">
        <f t="shared" si="66"/>
        <v>4.0323870557725853E-7</v>
      </c>
      <c r="AB357" s="13">
        <f t="shared" si="67"/>
        <v>653.0500384620907</v>
      </c>
      <c r="AC357" s="13">
        <f t="shared" si="61"/>
        <v>653.05003886532938</v>
      </c>
      <c r="AD357" s="13">
        <f t="shared" si="62"/>
        <v>3.2969786508587652E-7</v>
      </c>
      <c r="AE357" s="13">
        <f t="shared" si="57"/>
        <v>1.8262570623021681E-11</v>
      </c>
      <c r="AF357" s="13">
        <f t="shared" si="63"/>
        <v>2.8590728323724556E-11</v>
      </c>
      <c r="AG357" s="13">
        <f t="shared" si="64"/>
        <v>1.0177340301536364E-11</v>
      </c>
      <c r="AH357" s="10"/>
      <c r="AI357" s="13">
        <f t="shared" si="58"/>
        <v>1.6250372797055284E-16</v>
      </c>
      <c r="AJ357" s="10"/>
      <c r="AK357" s="10"/>
      <c r="AL357" s="10"/>
      <c r="AM357" s="10"/>
      <c r="AN357" s="10"/>
    </row>
    <row r="358" spans="19:40">
      <c r="S358" s="10"/>
      <c r="T358" s="12">
        <v>352</v>
      </c>
      <c r="U358" s="13">
        <f t="shared" si="59"/>
        <v>0.1214731857357117</v>
      </c>
      <c r="V358" s="13">
        <f t="shared" si="60"/>
        <v>1.0524995884634582E-14</v>
      </c>
      <c r="W358" s="13">
        <f t="shared" si="65"/>
        <v>1.0524995884634582E-14</v>
      </c>
      <c r="X358" s="13">
        <v>0</v>
      </c>
      <c r="Y358" s="13">
        <v>0</v>
      </c>
      <c r="Z358" s="13">
        <v>0</v>
      </c>
      <c r="AA358" s="13">
        <f t="shared" si="66"/>
        <v>3.7785167425693124E-7</v>
      </c>
      <c r="AB358" s="13">
        <f t="shared" si="67"/>
        <v>653.05003848747776</v>
      </c>
      <c r="AC358" s="13">
        <f t="shared" si="61"/>
        <v>653.0500388653295</v>
      </c>
      <c r="AD358" s="13">
        <f t="shared" si="62"/>
        <v>3.080304020183692E-7</v>
      </c>
      <c r="AE358" s="13">
        <f t="shared" si="57"/>
        <v>1.70623701074688E-11</v>
      </c>
      <c r="AF358" s="13">
        <f t="shared" si="63"/>
        <v>2.6790718217001676E-11</v>
      </c>
      <c r="AG358" s="13">
        <f t="shared" si="64"/>
        <v>9.5084941961006314E-12</v>
      </c>
      <c r="AH358" s="10"/>
      <c r="AI358" s="13">
        <f t="shared" si="58"/>
        <v>1.4391998603324176E-16</v>
      </c>
      <c r="AJ358" s="10"/>
      <c r="AK358" s="10"/>
      <c r="AL358" s="10"/>
      <c r="AM358" s="10"/>
      <c r="AN358" s="10"/>
    </row>
    <row r="359" spans="19:40">
      <c r="S359" s="10"/>
      <c r="T359" s="12">
        <v>353</v>
      </c>
      <c r="U359" s="13">
        <f t="shared" si="59"/>
        <v>0.12153254027607345</v>
      </c>
      <c r="V359" s="13">
        <f t="shared" si="60"/>
        <v>9.2440208071335167E-15</v>
      </c>
      <c r="W359" s="13">
        <f t="shared" si="65"/>
        <v>9.2440208071335167E-15</v>
      </c>
      <c r="X359" s="13">
        <v>0</v>
      </c>
      <c r="Y359" s="13">
        <v>0</v>
      </c>
      <c r="Z359" s="13">
        <v>0</v>
      </c>
      <c r="AA359" s="13">
        <f t="shared" si="66"/>
        <v>3.540629550930236E-7</v>
      </c>
      <c r="AB359" s="13">
        <f t="shared" si="67"/>
        <v>653.05003851126651</v>
      </c>
      <c r="AC359" s="13">
        <f t="shared" si="61"/>
        <v>653.0500388653295</v>
      </c>
      <c r="AD359" s="13">
        <f t="shared" si="62"/>
        <v>2.8778690622997067E-7</v>
      </c>
      <c r="AE359" s="13">
        <f t="shared" si="57"/>
        <v>1.5941045740896451E-11</v>
      </c>
      <c r="AF359" s="13">
        <f t="shared" si="63"/>
        <v>2.5104032832153791E-11</v>
      </c>
      <c r="AG359" s="13">
        <f t="shared" si="64"/>
        <v>8.8836040844071937E-12</v>
      </c>
      <c r="AH359" s="10"/>
      <c r="AI359" s="13">
        <f t="shared" si="58"/>
        <v>1.2745388564692742E-16</v>
      </c>
      <c r="AJ359" s="10"/>
      <c r="AK359" s="10"/>
      <c r="AL359" s="10"/>
      <c r="AM359" s="10"/>
      <c r="AN359" s="10"/>
    </row>
    <row r="360" spans="19:40">
      <c r="S360" s="10"/>
      <c r="T360" s="12">
        <v>354</v>
      </c>
      <c r="U360" s="13">
        <f t="shared" si="59"/>
        <v>0.12159175578987058</v>
      </c>
      <c r="V360" s="13">
        <f t="shared" si="60"/>
        <v>8.1184031184125624E-15</v>
      </c>
      <c r="W360" s="13">
        <f t="shared" si="65"/>
        <v>8.1184031184125624E-15</v>
      </c>
      <c r="X360" s="13">
        <v>0</v>
      </c>
      <c r="Y360" s="13">
        <v>0</v>
      </c>
      <c r="Z360" s="13">
        <v>0</v>
      </c>
      <c r="AA360" s="13">
        <f t="shared" si="66"/>
        <v>3.3177192184617278E-7</v>
      </c>
      <c r="AB360" s="13">
        <f t="shared" si="67"/>
        <v>653.05003853355754</v>
      </c>
      <c r="AC360" s="13">
        <f t="shared" si="61"/>
        <v>653.0500388653295</v>
      </c>
      <c r="AD360" s="13">
        <f t="shared" si="62"/>
        <v>2.6887379579397491E-7</v>
      </c>
      <c r="AE360" s="13">
        <f t="shared" si="57"/>
        <v>1.4893413850657387E-11</v>
      </c>
      <c r="AF360" s="13">
        <f t="shared" si="63"/>
        <v>2.3523537491344085E-11</v>
      </c>
      <c r="AG360" s="13">
        <f t="shared" si="64"/>
        <v>8.2997812162338277E-12</v>
      </c>
      <c r="AH360" s="10"/>
      <c r="AI360" s="13">
        <f t="shared" si="58"/>
        <v>1.1286500498314873E-16</v>
      </c>
      <c r="AJ360" s="10"/>
      <c r="AK360" s="10"/>
      <c r="AL360" s="10"/>
      <c r="AM360" s="10"/>
      <c r="AN360" s="10"/>
    </row>
    <row r="361" spans="19:40">
      <c r="S361" s="10"/>
      <c r="T361" s="12">
        <v>355</v>
      </c>
      <c r="U361" s="13">
        <f t="shared" si="59"/>
        <v>0.12165083299410009</v>
      </c>
      <c r="V361" s="13">
        <f t="shared" si="60"/>
        <v>7.1293690288665492E-15</v>
      </c>
      <c r="W361" s="13">
        <f t="shared" si="65"/>
        <v>7.1293690288665492E-15</v>
      </c>
      <c r="X361" s="13">
        <v>0</v>
      </c>
      <c r="Y361" s="13">
        <v>0</v>
      </c>
      <c r="Z361" s="13">
        <v>0</v>
      </c>
      <c r="AA361" s="13">
        <f t="shared" si="66"/>
        <v>3.1088428348384863E-7</v>
      </c>
      <c r="AB361" s="13">
        <f t="shared" si="67"/>
        <v>653.05003855444522</v>
      </c>
      <c r="AC361" s="13">
        <f t="shared" si="61"/>
        <v>653.0500388653295</v>
      </c>
      <c r="AD361" s="13">
        <f t="shared" si="62"/>
        <v>2.5120363890956689E-7</v>
      </c>
      <c r="AE361" s="13">
        <f t="shared" si="57"/>
        <v>1.3914631430580622E-11</v>
      </c>
      <c r="AF361" s="13">
        <f t="shared" si="63"/>
        <v>2.2042546700498504E-11</v>
      </c>
      <c r="AG361" s="13">
        <f t="shared" si="64"/>
        <v>7.7543266875369221E-12</v>
      </c>
      <c r="AH361" s="10"/>
      <c r="AI361" s="13">
        <f t="shared" si="58"/>
        <v>9.9940114589549885E-17</v>
      </c>
      <c r="AJ361" s="10"/>
      <c r="AK361" s="10"/>
      <c r="AL361" s="10"/>
      <c r="AM361" s="10"/>
      <c r="AN361" s="10"/>
    </row>
    <row r="362" spans="19:40">
      <c r="S362" s="10"/>
      <c r="T362" s="12">
        <v>356</v>
      </c>
      <c r="U362" s="13">
        <f t="shared" si="59"/>
        <v>0.12170977260005415</v>
      </c>
      <c r="V362" s="13">
        <f t="shared" si="60"/>
        <v>6.2604049882211901E-15</v>
      </c>
      <c r="W362" s="13">
        <f t="shared" si="65"/>
        <v>6.2604049882211901E-15</v>
      </c>
      <c r="X362" s="13">
        <v>0</v>
      </c>
      <c r="Y362" s="13">
        <v>0</v>
      </c>
      <c r="Z362" s="13">
        <v>0</v>
      </c>
      <c r="AA362" s="13">
        <f t="shared" si="66"/>
        <v>2.9131168532980361E-7</v>
      </c>
      <c r="AB362" s="13">
        <f t="shared" si="67"/>
        <v>653.05003857401778</v>
      </c>
      <c r="AC362" s="13">
        <f t="shared" si="61"/>
        <v>653.0500388653295</v>
      </c>
      <c r="AD362" s="13">
        <f t="shared" si="62"/>
        <v>2.3469474972061004E-7</v>
      </c>
      <c r="AE362" s="13">
        <f t="shared" si="57"/>
        <v>1.3000173752669454E-11</v>
      </c>
      <c r="AF362" s="13">
        <f t="shared" si="63"/>
        <v>2.0654795869678341E-11</v>
      </c>
      <c r="AG362" s="13">
        <f t="shared" si="64"/>
        <v>7.2447189639251163E-12</v>
      </c>
      <c r="AH362" s="10"/>
      <c r="AI362" s="13">
        <f t="shared" si="58"/>
        <v>8.8490113885419007E-17</v>
      </c>
      <c r="AJ362" s="10"/>
      <c r="AK362" s="10"/>
      <c r="AL362" s="10"/>
      <c r="AM362" s="10"/>
      <c r="AN362" s="10"/>
    </row>
    <row r="363" spans="19:40">
      <c r="S363" s="10"/>
      <c r="T363" s="12">
        <v>357</v>
      </c>
      <c r="U363" s="13">
        <f t="shared" si="59"/>
        <v>0.12176857531338169</v>
      </c>
      <c r="V363" s="13">
        <f t="shared" si="60"/>
        <v>5.4969866101476211E-15</v>
      </c>
      <c r="W363" s="13">
        <f t="shared" si="65"/>
        <v>5.4969866101476211E-15</v>
      </c>
      <c r="X363" s="13">
        <v>0</v>
      </c>
      <c r="Y363" s="13">
        <v>0</v>
      </c>
      <c r="Z363" s="13">
        <v>0</v>
      </c>
      <c r="AA363" s="13">
        <f t="shared" si="66"/>
        <v>2.7297133532424994E-7</v>
      </c>
      <c r="AB363" s="13">
        <f t="shared" si="67"/>
        <v>653.05003859235808</v>
      </c>
      <c r="AC363" s="13">
        <f t="shared" si="61"/>
        <v>653.05003886532938</v>
      </c>
      <c r="AD363" s="13">
        <f t="shared" si="62"/>
        <v>2.1927081069690136E-7</v>
      </c>
      <c r="AE363" s="13">
        <f t="shared" si="57"/>
        <v>1.214581345013848E-11</v>
      </c>
      <c r="AF363" s="13">
        <f t="shared" si="63"/>
        <v>1.9354414813875931E-11</v>
      </c>
      <c r="AG363" s="13">
        <f t="shared" si="64"/>
        <v>6.7686022240793469E-12</v>
      </c>
      <c r="AH363" s="10"/>
      <c r="AI363" s="13">
        <f t="shared" si="58"/>
        <v>7.8347311397525787E-17</v>
      </c>
      <c r="AJ363" s="10"/>
      <c r="AK363" s="10"/>
      <c r="AL363" s="10"/>
      <c r="AM363" s="10"/>
      <c r="AN363" s="10"/>
    </row>
    <row r="364" spans="19:40">
      <c r="S364" s="10"/>
      <c r="T364" s="12">
        <v>358</v>
      </c>
      <c r="U364" s="13">
        <f t="shared" si="59"/>
        <v>0.12182724183414849</v>
      </c>
      <c r="V364" s="13">
        <f t="shared" si="60"/>
        <v>4.8263399790830165E-15</v>
      </c>
      <c r="W364" s="13">
        <f t="shared" si="65"/>
        <v>4.8263399790830165E-15</v>
      </c>
      <c r="X364" s="13">
        <v>0</v>
      </c>
      <c r="Y364" s="13">
        <v>0</v>
      </c>
      <c r="Z364" s="13">
        <v>0</v>
      </c>
      <c r="AA364" s="13">
        <f t="shared" si="66"/>
        <v>2.5578565381385165E-7</v>
      </c>
      <c r="AB364" s="13">
        <f t="shared" si="67"/>
        <v>653.05003860954378</v>
      </c>
      <c r="AC364" s="13">
        <f t="shared" si="61"/>
        <v>653.05003886532938</v>
      </c>
      <c r="AD364" s="13">
        <f t="shared" si="62"/>
        <v>2.048605198322267E-7</v>
      </c>
      <c r="AE364" s="13">
        <f t="shared" si="57"/>
        <v>1.1347600975094797E-11</v>
      </c>
      <c r="AF364" s="13">
        <f t="shared" si="63"/>
        <v>1.8135902922141979E-11</v>
      </c>
      <c r="AG364" s="13">
        <f t="shared" si="64"/>
        <v>6.3237754692330734E-12</v>
      </c>
      <c r="AH364" s="10"/>
      <c r="AI364" s="13">
        <f t="shared" si="58"/>
        <v>6.9363010328385164E-17</v>
      </c>
      <c r="AJ364" s="10"/>
      <c r="AK364" s="10"/>
      <c r="AL364" s="10"/>
      <c r="AM364" s="10"/>
      <c r="AN364" s="10"/>
    </row>
    <row r="365" spans="19:40">
      <c r="S365" s="10"/>
      <c r="T365" s="12">
        <v>359</v>
      </c>
      <c r="U365" s="13">
        <f t="shared" si="59"/>
        <v>0.121885772856897</v>
      </c>
      <c r="V365" s="13">
        <f t="shared" si="60"/>
        <v>4.2372314867146469E-15</v>
      </c>
      <c r="W365" s="13">
        <f t="shared" si="65"/>
        <v>4.2372314867146469E-15</v>
      </c>
      <c r="X365" s="13">
        <v>0</v>
      </c>
      <c r="Y365" s="13">
        <v>0</v>
      </c>
      <c r="Z365" s="13">
        <v>0</v>
      </c>
      <c r="AA365" s="13">
        <f t="shared" si="66"/>
        <v>2.3968194539014941E-7</v>
      </c>
      <c r="AB365" s="13">
        <f t="shared" si="67"/>
        <v>653.05003862564752</v>
      </c>
      <c r="AC365" s="13">
        <f t="shared" si="61"/>
        <v>653.0500388653295</v>
      </c>
      <c r="AD365" s="13">
        <f t="shared" si="62"/>
        <v>1.9139726102827827E-7</v>
      </c>
      <c r="AE365" s="13">
        <f t="shared" si="57"/>
        <v>1.0601846340522929E-11</v>
      </c>
      <c r="AF365" s="13">
        <f t="shared" si="63"/>
        <v>1.6994105890010168E-11</v>
      </c>
      <c r="AG365" s="13">
        <f t="shared" si="64"/>
        <v>5.9081823483679538E-12</v>
      </c>
      <c r="AH365" s="10"/>
      <c r="AI365" s="13">
        <f t="shared" si="58"/>
        <v>6.1405365321837086E-17</v>
      </c>
      <c r="AJ365" s="10"/>
      <c r="AK365" s="10"/>
      <c r="AL365" s="10"/>
      <c r="AM365" s="10"/>
      <c r="AN365" s="10"/>
    </row>
    <row r="366" spans="19:40">
      <c r="S366" s="10"/>
      <c r="T366" s="12">
        <v>360</v>
      </c>
      <c r="U366" s="13">
        <f t="shared" si="59"/>
        <v>0.12194416907070516</v>
      </c>
      <c r="V366" s="13">
        <f t="shared" si="60"/>
        <v>3.7197828019927212E-15</v>
      </c>
      <c r="W366" s="13">
        <f t="shared" si="65"/>
        <v>3.7197828019927212E-15</v>
      </c>
      <c r="X366" s="13">
        <v>0</v>
      </c>
      <c r="Y366" s="13">
        <v>0</v>
      </c>
      <c r="Z366" s="13">
        <v>0</v>
      </c>
      <c r="AA366" s="13">
        <f t="shared" si="66"/>
        <v>2.2459209138830001E-7</v>
      </c>
      <c r="AB366" s="13">
        <f t="shared" si="67"/>
        <v>653.0500386407374</v>
      </c>
      <c r="AC366" s="13">
        <f t="shared" si="61"/>
        <v>653.0500388653295</v>
      </c>
      <c r="AD366" s="13">
        <f t="shared" si="62"/>
        <v>1.7881879614067389E-7</v>
      </c>
      <c r="AE366" s="13">
        <f t="shared" si="57"/>
        <v>9.9051020621702626E-12</v>
      </c>
      <c r="AF366" s="13">
        <f t="shared" si="63"/>
        <v>1.5924193916797168E-11</v>
      </c>
      <c r="AG366" s="13">
        <f t="shared" si="64"/>
        <v>5.5199016520887753E-12</v>
      </c>
      <c r="AH366" s="10"/>
      <c r="AI366" s="13">
        <f t="shared" si="58"/>
        <v>5.435748009052669E-17</v>
      </c>
      <c r="AJ366" s="10"/>
      <c r="AK366" s="10"/>
      <c r="AL366" s="10"/>
      <c r="AM366" s="10"/>
      <c r="AN366" s="10"/>
    </row>
    <row r="367" spans="19:40">
      <c r="S367" s="10"/>
      <c r="T367" s="12">
        <v>361</v>
      </c>
      <c r="U367" s="13">
        <f t="shared" si="59"/>
        <v>0.12200243115924428</v>
      </c>
      <c r="V367" s="13">
        <f t="shared" si="60"/>
        <v>3.2653079811109644E-15</v>
      </c>
      <c r="W367" s="13">
        <f t="shared" si="65"/>
        <v>3.2653079811109644E-15</v>
      </c>
      <c r="X367" s="13">
        <v>0</v>
      </c>
      <c r="Y367" s="13">
        <v>0</v>
      </c>
      <c r="Z367" s="13">
        <v>0</v>
      </c>
      <c r="AA367" s="13">
        <f t="shared" si="66"/>
        <v>2.1045226174540491E-7</v>
      </c>
      <c r="AB367" s="13">
        <f t="shared" si="67"/>
        <v>653.0500386548772</v>
      </c>
      <c r="AC367" s="13">
        <f t="shared" si="61"/>
        <v>653.0500388653295</v>
      </c>
      <c r="AD367" s="13">
        <f t="shared" si="62"/>
        <v>1.6706697726346316E-7</v>
      </c>
      <c r="AE367" s="13">
        <f t="shared" si="57"/>
        <v>9.2541472214766332E-12</v>
      </c>
      <c r="AF367" s="13">
        <f t="shared" si="63"/>
        <v>1.4921641275552835E-11</v>
      </c>
      <c r="AG367" s="13">
        <f t="shared" si="64"/>
        <v>5.157138431232616E-12</v>
      </c>
      <c r="AH367" s="10"/>
      <c r="AI367" s="13">
        <f t="shared" si="58"/>
        <v>4.8115718948642578E-17</v>
      </c>
      <c r="AJ367" s="10"/>
      <c r="AK367" s="10"/>
      <c r="AL367" s="10"/>
      <c r="AM367" s="10"/>
      <c r="AN367" s="10"/>
    </row>
    <row r="368" spans="19:40">
      <c r="S368" s="10"/>
      <c r="T368" s="12">
        <v>362</v>
      </c>
      <c r="U368" s="13">
        <f t="shared" si="59"/>
        <v>0.1220605598008366</v>
      </c>
      <c r="V368" s="13">
        <f t="shared" si="60"/>
        <v>2.8661700789543264E-15</v>
      </c>
      <c r="W368" s="13">
        <f t="shared" si="65"/>
        <v>2.8661700789543264E-15</v>
      </c>
      <c r="X368" s="13">
        <v>0</v>
      </c>
      <c r="Y368" s="13">
        <v>0</v>
      </c>
      <c r="Z368" s="13">
        <v>0</v>
      </c>
      <c r="AA368" s="13">
        <f t="shared" si="66"/>
        <v>1.972026449995929E-7</v>
      </c>
      <c r="AB368" s="13">
        <f t="shared" si="67"/>
        <v>653.05003866812683</v>
      </c>
      <c r="AC368" s="13">
        <f t="shared" si="61"/>
        <v>653.0500388653295</v>
      </c>
      <c r="AD368" s="13">
        <f t="shared" si="62"/>
        <v>1.5608747792206225E-7</v>
      </c>
      <c r="AE368" s="13">
        <f t="shared" si="57"/>
        <v>8.645972575874063E-12</v>
      </c>
      <c r="AF368" s="13">
        <f t="shared" si="63"/>
        <v>1.3982207169241547E-11</v>
      </c>
      <c r="AG368" s="13">
        <f t="shared" si="64"/>
        <v>4.8182156991552789E-12</v>
      </c>
      <c r="AH368" s="10"/>
      <c r="AI368" s="13">
        <f t="shared" si="58"/>
        <v>4.2588208297110037E-17</v>
      </c>
      <c r="AJ368" s="10"/>
      <c r="AK368" s="10"/>
      <c r="AL368" s="10"/>
      <c r="AM368" s="10"/>
      <c r="AN368" s="10"/>
    </row>
    <row r="369" spans="19:40">
      <c r="S369" s="10"/>
      <c r="T369" s="12">
        <v>363</v>
      </c>
      <c r="U369" s="13">
        <f t="shared" si="59"/>
        <v>0.12211855566851144</v>
      </c>
      <c r="V369" s="13">
        <f t="shared" si="60"/>
        <v>2.5156549366428849E-15</v>
      </c>
      <c r="W369" s="13">
        <f t="shared" si="65"/>
        <v>2.5156549366428849E-15</v>
      </c>
      <c r="X369" s="13">
        <v>0</v>
      </c>
      <c r="Y369" s="13">
        <v>0</v>
      </c>
      <c r="Z369" s="13">
        <v>0</v>
      </c>
      <c r="AA369" s="13">
        <f t="shared" si="66"/>
        <v>1.8478719528775686E-7</v>
      </c>
      <c r="AB369" s="13">
        <f t="shared" si="67"/>
        <v>653.05003868054223</v>
      </c>
      <c r="AC369" s="13">
        <f t="shared" si="61"/>
        <v>653.05003886532938</v>
      </c>
      <c r="AD369" s="13">
        <f t="shared" si="62"/>
        <v>1.4582954193197037E-7</v>
      </c>
      <c r="AE369" s="13">
        <f t="shared" si="57"/>
        <v>8.0777666476244434E-12</v>
      </c>
      <c r="AF369" s="13">
        <f t="shared" si="63"/>
        <v>1.3101917792176449E-11</v>
      </c>
      <c r="AG369" s="13">
        <f t="shared" si="64"/>
        <v>4.5015666793362491E-12</v>
      </c>
      <c r="AH369" s="10"/>
      <c r="AI369" s="13">
        <f t="shared" si="58"/>
        <v>3.7693506779347071E-17</v>
      </c>
      <c r="AJ369" s="10"/>
      <c r="AK369" s="10"/>
      <c r="AL369" s="10"/>
      <c r="AM369" s="10"/>
      <c r="AN369" s="10"/>
    </row>
    <row r="370" spans="19:40">
      <c r="S370" s="10"/>
      <c r="T370" s="12">
        <v>364</v>
      </c>
      <c r="U370" s="13">
        <f t="shared" si="59"/>
        <v>0.12217641943006124</v>
      </c>
      <c r="V370" s="13">
        <f t="shared" si="60"/>
        <v>2.2078600959295258E-15</v>
      </c>
      <c r="W370" s="13">
        <f t="shared" si="65"/>
        <v>2.2078600959295258E-15</v>
      </c>
      <c r="X370" s="13">
        <v>0</v>
      </c>
      <c r="Y370" s="13">
        <v>0</v>
      </c>
      <c r="Z370" s="13">
        <v>0</v>
      </c>
      <c r="AA370" s="13">
        <f t="shared" si="66"/>
        <v>1.7315339527174807E-7</v>
      </c>
      <c r="AB370" s="13">
        <f t="shared" si="67"/>
        <v>653.05003869217603</v>
      </c>
      <c r="AC370" s="13">
        <f t="shared" si="61"/>
        <v>653.05003886532938</v>
      </c>
      <c r="AD370" s="13">
        <f t="shared" si="62"/>
        <v>1.3624574876228558E-7</v>
      </c>
      <c r="AE370" s="13">
        <f t="shared" si="57"/>
        <v>7.546902726886549E-12</v>
      </c>
      <c r="AF370" s="13">
        <f t="shared" si="63"/>
        <v>1.2277049520826458E-11</v>
      </c>
      <c r="AG370" s="13">
        <f t="shared" si="64"/>
        <v>4.2057275624642991E-12</v>
      </c>
      <c r="AH370" s="10"/>
      <c r="AI370" s="13">
        <f t="shared" si="58"/>
        <v>3.3359425199790407E-17</v>
      </c>
      <c r="AJ370" s="10"/>
      <c r="AK370" s="10"/>
      <c r="AL370" s="10"/>
      <c r="AM370" s="10"/>
      <c r="AN370" s="10"/>
    </row>
    <row r="371" spans="19:40">
      <c r="S371" s="10"/>
      <c r="T371" s="12">
        <v>365</v>
      </c>
      <c r="U371" s="13">
        <f t="shared" si="59"/>
        <v>0.12223415174809635</v>
      </c>
      <c r="V371" s="13">
        <f t="shared" si="60"/>
        <v>1.937597034689083E-15</v>
      </c>
      <c r="W371" s="13">
        <f t="shared" si="65"/>
        <v>1.937597034689083E-15</v>
      </c>
      <c r="X371" s="13">
        <v>0</v>
      </c>
      <c r="Y371" s="13">
        <v>0</v>
      </c>
      <c r="Z371" s="13">
        <v>0</v>
      </c>
      <c r="AA371" s="13">
        <f t="shared" si="66"/>
        <v>1.6225203399020889E-7</v>
      </c>
      <c r="AB371" s="13">
        <f t="shared" si="67"/>
        <v>653.05003870307735</v>
      </c>
      <c r="AC371" s="13">
        <f t="shared" si="61"/>
        <v>653.05003886532938</v>
      </c>
      <c r="AD371" s="13">
        <f t="shared" si="62"/>
        <v>1.2729179431933928E-7</v>
      </c>
      <c r="AE371" s="13">
        <f t="shared" si="57"/>
        <v>7.0509267289300315E-12</v>
      </c>
      <c r="AF371" s="13">
        <f t="shared" si="63"/>
        <v>1.1504113162893311E-11</v>
      </c>
      <c r="AG371" s="13">
        <f t="shared" si="64"/>
        <v>3.9293307395211567E-12</v>
      </c>
      <c r="AH371" s="10"/>
      <c r="AI371" s="13">
        <f t="shared" si="58"/>
        <v>2.9521979408115658E-17</v>
      </c>
      <c r="AJ371" s="10"/>
      <c r="AK371" s="10"/>
      <c r="AL371" s="10"/>
      <c r="AM371" s="10"/>
      <c r="AN371" s="10"/>
    </row>
    <row r="372" spans="19:40">
      <c r="S372" s="10"/>
      <c r="T372" s="12">
        <v>366</v>
      </c>
      <c r="U372" s="13">
        <f t="shared" si="59"/>
        <v>0.1222917532800995</v>
      </c>
      <c r="V372" s="13">
        <f t="shared" si="60"/>
        <v>1.7003051324113698E-15</v>
      </c>
      <c r="W372" s="13">
        <f t="shared" si="65"/>
        <v>1.7003051324113698E-15</v>
      </c>
      <c r="X372" s="13">
        <v>0</v>
      </c>
      <c r="Y372" s="13">
        <v>0</v>
      </c>
      <c r="Z372" s="13">
        <v>0</v>
      </c>
      <c r="AA372" s="13">
        <f t="shared" si="66"/>
        <v>1.5203699869635994E-7</v>
      </c>
      <c r="AB372" s="13">
        <f t="shared" si="67"/>
        <v>653.05003871329234</v>
      </c>
      <c r="AC372" s="13">
        <f t="shared" si="61"/>
        <v>653.05003886532938</v>
      </c>
      <c r="AD372" s="13">
        <f t="shared" si="62"/>
        <v>1.1892628613704934E-7</v>
      </c>
      <c r="AE372" s="13">
        <f t="shared" si="57"/>
        <v>6.5875458493626567E-12</v>
      </c>
      <c r="AF372" s="13">
        <f t="shared" si="63"/>
        <v>1.0779839198032232E-11</v>
      </c>
      <c r="AG372" s="13">
        <f t="shared" si="64"/>
        <v>3.6710984795810299E-12</v>
      </c>
      <c r="AH372" s="10"/>
      <c r="AI372" s="13">
        <f t="shared" si="58"/>
        <v>2.6124461227959292E-17</v>
      </c>
      <c r="AJ372" s="10"/>
      <c r="AK372" s="10"/>
      <c r="AL372" s="10"/>
      <c r="AM372" s="10"/>
      <c r="AN372" s="10"/>
    </row>
    <row r="373" spans="19:40">
      <c r="S373" s="10"/>
      <c r="T373" s="12">
        <v>367</v>
      </c>
      <c r="U373" s="13">
        <f t="shared" si="59"/>
        <v>0.12234922467847921</v>
      </c>
      <c r="V373" s="13">
        <f t="shared" si="60"/>
        <v>1.4919759638727154E-15</v>
      </c>
      <c r="W373" s="13">
        <f t="shared" si="65"/>
        <v>1.4919759638727154E-15</v>
      </c>
      <c r="X373" s="13">
        <v>0</v>
      </c>
      <c r="Y373" s="13">
        <v>0</v>
      </c>
      <c r="Z373" s="13">
        <v>0</v>
      </c>
      <c r="AA373" s="13">
        <f t="shared" si="66"/>
        <v>1.4246507980121722E-7</v>
      </c>
      <c r="AB373" s="13">
        <f t="shared" si="67"/>
        <v>653.0500387228642</v>
      </c>
      <c r="AC373" s="13">
        <f t="shared" si="61"/>
        <v>653.05003886532927</v>
      </c>
      <c r="AD373" s="13">
        <f t="shared" si="62"/>
        <v>1.1111055202719534E-7</v>
      </c>
      <c r="AE373" s="13">
        <f t="shared" si="57"/>
        <v>6.1546179649260576E-12</v>
      </c>
      <c r="AF373" s="13">
        <f t="shared" si="63"/>
        <v>1.0101163947784564E-11</v>
      </c>
      <c r="AG373" s="13">
        <f t="shared" si="64"/>
        <v>3.4298370230996759E-12</v>
      </c>
      <c r="AH373" s="10"/>
      <c r="AI373" s="13">
        <f t="shared" si="58"/>
        <v>2.3116614176395848E-17</v>
      </c>
      <c r="AJ373" s="10"/>
      <c r="AK373" s="10"/>
      <c r="AL373" s="10"/>
      <c r="AM373" s="10"/>
      <c r="AN373" s="10"/>
    </row>
    <row r="374" spans="19:40">
      <c r="S374" s="10"/>
      <c r="T374" s="12">
        <v>368</v>
      </c>
      <c r="U374" s="13">
        <f t="shared" si="59"/>
        <v>0.12240656659062273</v>
      </c>
      <c r="V374" s="13">
        <f t="shared" si="60"/>
        <v>1.3090866860052456E-15</v>
      </c>
      <c r="W374" s="13">
        <f t="shared" si="65"/>
        <v>1.3090866860052456E-15</v>
      </c>
      <c r="X374" s="13">
        <v>0</v>
      </c>
      <c r="Y374" s="13">
        <v>0</v>
      </c>
      <c r="Z374" s="13">
        <v>0</v>
      </c>
      <c r="AA374" s="13">
        <f t="shared" si="66"/>
        <v>1.3349578809715171E-7</v>
      </c>
      <c r="AB374" s="13">
        <f t="shared" si="67"/>
        <v>653.05003873183352</v>
      </c>
      <c r="AC374" s="13">
        <f t="shared" si="61"/>
        <v>653.05003886532927</v>
      </c>
      <c r="AD374" s="13">
        <f t="shared" si="62"/>
        <v>1.0380846130503945E-7</v>
      </c>
      <c r="AE374" s="13">
        <f t="shared" si="57"/>
        <v>5.7501417308618968E-12</v>
      </c>
      <c r="AF374" s="13">
        <f t="shared" si="63"/>
        <v>9.4652166162211899E-12</v>
      </c>
      <c r="AG374" s="13">
        <f t="shared" si="64"/>
        <v>3.2044310633873985E-12</v>
      </c>
      <c r="AH374" s="10"/>
      <c r="AI374" s="13">
        <f t="shared" si="58"/>
        <v>2.0453902202302576E-17</v>
      </c>
      <c r="AJ374" s="10"/>
      <c r="AK374" s="10"/>
      <c r="AL374" s="10"/>
      <c r="AM374" s="10"/>
      <c r="AN374" s="10"/>
    </row>
    <row r="375" spans="19:40">
      <c r="S375" s="10"/>
      <c r="T375" s="12">
        <v>369</v>
      </c>
      <c r="U375" s="13">
        <f t="shared" si="59"/>
        <v>0.12246377965894821</v>
      </c>
      <c r="V375" s="13">
        <f t="shared" si="60"/>
        <v>1.1485414300538501E-15</v>
      </c>
      <c r="W375" s="13">
        <f t="shared" si="65"/>
        <v>1.1485414300538501E-15</v>
      </c>
      <c r="X375" s="13">
        <v>0</v>
      </c>
      <c r="Y375" s="13">
        <v>0</v>
      </c>
      <c r="Z375" s="13">
        <v>0</v>
      </c>
      <c r="AA375" s="13">
        <f t="shared" si="66"/>
        <v>1.2509118348864838E-7</v>
      </c>
      <c r="AB375" s="13">
        <f t="shared" si="67"/>
        <v>653.05003874023816</v>
      </c>
      <c r="AC375" s="13">
        <f t="shared" si="61"/>
        <v>653.05003886532938</v>
      </c>
      <c r="AD375" s="13">
        <f t="shared" si="62"/>
        <v>9.6986257763852219E-8</v>
      </c>
      <c r="AE375" s="13">
        <f t="shared" si="57"/>
        <v>5.3722473290704806E-12</v>
      </c>
      <c r="AF375" s="13">
        <f t="shared" si="63"/>
        <v>8.8693071464787324E-12</v>
      </c>
      <c r="AG375" s="13">
        <f t="shared" si="64"/>
        <v>2.9938385907548637E-12</v>
      </c>
      <c r="AH375" s="10"/>
      <c r="AI375" s="13">
        <f t="shared" si="58"/>
        <v>1.8096860988626613E-17</v>
      </c>
      <c r="AJ375" s="10"/>
      <c r="AK375" s="10"/>
      <c r="AL375" s="10"/>
      <c r="AM375" s="10"/>
      <c r="AN375" s="10"/>
    </row>
    <row r="376" spans="19:40">
      <c r="S376" s="10"/>
      <c r="T376" s="12">
        <v>370</v>
      </c>
      <c r="U376" s="13">
        <f t="shared" si="59"/>
        <v>0.12252086452095619</v>
      </c>
      <c r="V376" s="13">
        <f t="shared" si="60"/>
        <v>1.0076197407408568E-15</v>
      </c>
      <c r="W376" s="13">
        <f t="shared" si="65"/>
        <v>1.0076197407408568E-15</v>
      </c>
      <c r="X376" s="13">
        <v>0</v>
      </c>
      <c r="Y376" s="13">
        <v>0</v>
      </c>
      <c r="Z376" s="13">
        <v>0</v>
      </c>
      <c r="AA376" s="13">
        <f t="shared" si="66"/>
        <v>1.1721571450579754E-7</v>
      </c>
      <c r="AB376" s="13">
        <f t="shared" si="67"/>
        <v>653.05003874811359</v>
      </c>
      <c r="AC376" s="13">
        <f t="shared" si="61"/>
        <v>653.05003886532927</v>
      </c>
      <c r="AD376" s="13">
        <f t="shared" si="62"/>
        <v>9.061240362621389E-8</v>
      </c>
      <c r="AE376" s="13">
        <f t="shared" si="57"/>
        <v>5.0191878242923168E-12</v>
      </c>
      <c r="AF376" s="13">
        <f t="shared" si="63"/>
        <v>8.3109148418217297E-12</v>
      </c>
      <c r="AG376" s="13">
        <f t="shared" si="64"/>
        <v>2.7970860754971993E-12</v>
      </c>
      <c r="AH376" s="10"/>
      <c r="AI376" s="13">
        <f t="shared" si="58"/>
        <v>1.6010522533829501E-17</v>
      </c>
      <c r="AJ376" s="10"/>
      <c r="AK376" s="10"/>
      <c r="AL376" s="10"/>
      <c r="AM376" s="10"/>
      <c r="AN376" s="10"/>
    </row>
    <row r="377" spans="19:40">
      <c r="S377" s="10"/>
      <c r="T377" s="12">
        <v>371</v>
      </c>
      <c r="U377" s="13">
        <f t="shared" si="59"/>
        <v>0.12257782180928044</v>
      </c>
      <c r="V377" s="13">
        <f t="shared" si="60"/>
        <v>8.8393121840713307E-16</v>
      </c>
      <c r="W377" s="13">
        <f t="shared" si="65"/>
        <v>8.8393121840713307E-16</v>
      </c>
      <c r="X377" s="13">
        <v>0</v>
      </c>
      <c r="Y377" s="13">
        <v>0</v>
      </c>
      <c r="Z377" s="13">
        <v>0</v>
      </c>
      <c r="AA377" s="13">
        <f t="shared" si="66"/>
        <v>1.0983606792166184E-7</v>
      </c>
      <c r="AB377" s="13">
        <f t="shared" si="67"/>
        <v>653.05003875549323</v>
      </c>
      <c r="AC377" s="13">
        <f t="shared" si="61"/>
        <v>653.05003886532927</v>
      </c>
      <c r="AD377" s="13">
        <f t="shared" si="62"/>
        <v>8.4657433750706942E-8</v>
      </c>
      <c r="AE377" s="13">
        <f t="shared" si="57"/>
        <v>4.6893310883538701E-12</v>
      </c>
      <c r="AF377" s="13">
        <f t="shared" si="63"/>
        <v>7.7876777030978351E-12</v>
      </c>
      <c r="AG377" s="13">
        <f t="shared" si="64"/>
        <v>2.6132639674482158E-12</v>
      </c>
      <c r="AH377" s="10"/>
      <c r="AI377" s="13">
        <f t="shared" si="58"/>
        <v>1.416390476756053E-17</v>
      </c>
      <c r="AJ377" s="10"/>
      <c r="AK377" s="10"/>
      <c r="AL377" s="10"/>
      <c r="AM377" s="10"/>
      <c r="AN377" s="10"/>
    </row>
    <row r="378" spans="19:40">
      <c r="S378" s="10"/>
      <c r="T378" s="12">
        <v>372</v>
      </c>
      <c r="U378" s="13">
        <f t="shared" si="59"/>
        <v>0.12263465215173798</v>
      </c>
      <c r="V378" s="13">
        <f t="shared" si="60"/>
        <v>7.753756207827981E-16</v>
      </c>
      <c r="W378" s="13">
        <f t="shared" si="65"/>
        <v>7.753756207827981E-16</v>
      </c>
      <c r="X378" s="13">
        <v>0</v>
      </c>
      <c r="Y378" s="13">
        <v>0</v>
      </c>
      <c r="Z378" s="13">
        <v>0</v>
      </c>
      <c r="AA378" s="13">
        <f t="shared" si="66"/>
        <v>1.0292102783740166E-7</v>
      </c>
      <c r="AB378" s="13">
        <f t="shared" si="67"/>
        <v>653.05003876240824</v>
      </c>
      <c r="AC378" s="13">
        <f t="shared" si="61"/>
        <v>653.05003886532927</v>
      </c>
      <c r="AD378" s="13">
        <f t="shared" si="62"/>
        <v>7.9093819420023613E-8</v>
      </c>
      <c r="AE378" s="13">
        <f t="shared" si="57"/>
        <v>4.3811522551448532E-12</v>
      </c>
      <c r="AF378" s="13">
        <f t="shared" si="63"/>
        <v>7.2973824374836211E-12</v>
      </c>
      <c r="AG378" s="13">
        <f t="shared" si="64"/>
        <v>2.441522491300048E-12</v>
      </c>
      <c r="AH378" s="10"/>
      <c r="AI378" s="13">
        <f t="shared" si="58"/>
        <v>1.2529558879471175E-17</v>
      </c>
      <c r="AJ378" s="10"/>
      <c r="AK378" s="10"/>
      <c r="AL378" s="10"/>
      <c r="AM378" s="10"/>
      <c r="AN378" s="10"/>
    </row>
    <row r="379" spans="19:40">
      <c r="S379" s="10"/>
      <c r="T379" s="12">
        <v>373</v>
      </c>
      <c r="U379" s="13">
        <f t="shared" si="59"/>
        <v>0.12269135617137884</v>
      </c>
      <c r="V379" s="13">
        <f t="shared" si="60"/>
        <v>6.8010776976447229E-16</v>
      </c>
      <c r="W379" s="13">
        <f t="shared" si="65"/>
        <v>6.8010776976447229E-16</v>
      </c>
      <c r="X379" s="13">
        <v>0</v>
      </c>
      <c r="Y379" s="13">
        <v>0</v>
      </c>
      <c r="Z379" s="13">
        <v>0</v>
      </c>
      <c r="AA379" s="13">
        <f t="shared" si="66"/>
        <v>9.6441343639089982E-8</v>
      </c>
      <c r="AB379" s="13">
        <f t="shared" si="67"/>
        <v>653.05003876888793</v>
      </c>
      <c r="AC379" s="13">
        <f t="shared" si="61"/>
        <v>653.05003886532927</v>
      </c>
      <c r="AD379" s="13">
        <f t="shared" si="62"/>
        <v>7.3895841080805402E-8</v>
      </c>
      <c r="AE379" s="13">
        <f t="shared" si="57"/>
        <v>4.0932266714478777E-12</v>
      </c>
      <c r="AF379" s="13">
        <f t="shared" si="63"/>
        <v>6.8379550962578782E-12</v>
      </c>
      <c r="AG379" s="13">
        <f t="shared" si="64"/>
        <v>2.2810677182507426E-12</v>
      </c>
      <c r="AH379" s="10"/>
      <c r="AI379" s="13">
        <f t="shared" si="58"/>
        <v>1.1083167860866368E-17</v>
      </c>
      <c r="AJ379" s="10"/>
      <c r="AK379" s="10"/>
      <c r="AL379" s="10"/>
      <c r="AM379" s="10"/>
      <c r="AN379" s="10"/>
    </row>
    <row r="380" spans="19:40">
      <c r="S380" s="10"/>
      <c r="T380" s="12">
        <v>374</v>
      </c>
      <c r="U380" s="13">
        <f t="shared" si="59"/>
        <v>0.12274793448653468</v>
      </c>
      <c r="V380" s="13">
        <f t="shared" si="60"/>
        <v>5.965066867537301E-16</v>
      </c>
      <c r="W380" s="13">
        <f t="shared" si="65"/>
        <v>5.965066867537301E-16</v>
      </c>
      <c r="X380" s="13">
        <v>0</v>
      </c>
      <c r="Y380" s="13">
        <v>0</v>
      </c>
      <c r="Z380" s="13">
        <v>0</v>
      </c>
      <c r="AA380" s="13">
        <f t="shared" si="66"/>
        <v>9.0369606267675231E-8</v>
      </c>
      <c r="AB380" s="13">
        <f t="shared" si="67"/>
        <v>653.05003877495972</v>
      </c>
      <c r="AC380" s="13">
        <f t="shared" si="61"/>
        <v>653.05003886532927</v>
      </c>
      <c r="AD380" s="13">
        <f t="shared" si="62"/>
        <v>6.9039469446914813E-8</v>
      </c>
      <c r="AE380" s="13">
        <f t="shared" si="57"/>
        <v>3.8242233110334176E-12</v>
      </c>
      <c r="AF380" s="13">
        <f t="shared" si="63"/>
        <v>6.4074523020003455E-12</v>
      </c>
      <c r="AG380" s="13">
        <f t="shared" si="64"/>
        <v>2.1311578958198145E-12</v>
      </c>
      <c r="AH380" s="10"/>
      <c r="AI380" s="13">
        <f t="shared" si="58"/>
        <v>9.8031904880353801E-18</v>
      </c>
      <c r="AJ380" s="10"/>
      <c r="AK380" s="10"/>
      <c r="AL380" s="10"/>
      <c r="AM380" s="10"/>
      <c r="AN380" s="10"/>
    </row>
    <row r="381" spans="19:40">
      <c r="S381" s="10"/>
      <c r="T381" s="12">
        <v>375</v>
      </c>
      <c r="U381" s="13">
        <f t="shared" si="59"/>
        <v>0.12280438771086712</v>
      </c>
      <c r="V381" s="13">
        <f t="shared" si="60"/>
        <v>5.2314844899134915E-16</v>
      </c>
      <c r="W381" s="13">
        <f t="shared" si="65"/>
        <v>5.2314844899134915E-16</v>
      </c>
      <c r="X381" s="13">
        <v>0</v>
      </c>
      <c r="Y381" s="13">
        <v>0</v>
      </c>
      <c r="Z381" s="13">
        <v>0</v>
      </c>
      <c r="AA381" s="13">
        <f t="shared" si="66"/>
        <v>8.4680132278714554E-8</v>
      </c>
      <c r="AB381" s="13">
        <f t="shared" si="67"/>
        <v>653.05003878064917</v>
      </c>
      <c r="AC381" s="13">
        <f t="shared" si="61"/>
        <v>653.05003886532927</v>
      </c>
      <c r="AD381" s="13">
        <f t="shared" si="62"/>
        <v>6.4502254416500036E-8</v>
      </c>
      <c r="AE381" s="13">
        <f t="shared" si="57"/>
        <v>3.5728986215747673E-12</v>
      </c>
      <c r="AF381" s="13">
        <f t="shared" si="63"/>
        <v>6.0040530281068142E-12</v>
      </c>
      <c r="AG381" s="13">
        <f t="shared" si="64"/>
        <v>1.991100018865126E-12</v>
      </c>
      <c r="AH381" s="10"/>
      <c r="AI381" s="13">
        <f t="shared" si="58"/>
        <v>8.6705456237971039E-18</v>
      </c>
      <c r="AJ381" s="10"/>
      <c r="AK381" s="10"/>
      <c r="AL381" s="10"/>
      <c r="AM381" s="10"/>
      <c r="AN381" s="10"/>
    </row>
    <row r="382" spans="19:40">
      <c r="S382" s="10"/>
      <c r="T382" s="12">
        <v>376</v>
      </c>
      <c r="U382" s="13">
        <f t="shared" si="59"/>
        <v>0.12286071645341544</v>
      </c>
      <c r="V382" s="13">
        <f t="shared" si="60"/>
        <v>4.5878232000514466E-16</v>
      </c>
      <c r="W382" s="13">
        <f t="shared" si="65"/>
        <v>4.5878232000514466E-16</v>
      </c>
      <c r="X382" s="13">
        <v>0</v>
      </c>
      <c r="Y382" s="13">
        <v>0</v>
      </c>
      <c r="Z382" s="13">
        <v>0</v>
      </c>
      <c r="AA382" s="13">
        <f t="shared" si="66"/>
        <v>7.9348855201451204E-8</v>
      </c>
      <c r="AB382" s="13">
        <f t="shared" si="67"/>
        <v>653.05003878598041</v>
      </c>
      <c r="AC382" s="13">
        <f t="shared" si="61"/>
        <v>653.05003886532927</v>
      </c>
      <c r="AD382" s="13">
        <f t="shared" si="62"/>
        <v>6.026322128933802E-8</v>
      </c>
      <c r="AE382" s="13">
        <f t="shared" si="57"/>
        <v>3.3380907759383956E-12</v>
      </c>
      <c r="AF382" s="13">
        <f t="shared" si="63"/>
        <v>5.6260508958480792E-12</v>
      </c>
      <c r="AG382" s="13">
        <f t="shared" si="64"/>
        <v>1.8602466259496142E-12</v>
      </c>
      <c r="AH382" s="10"/>
      <c r="AI382" s="13">
        <f t="shared" si="58"/>
        <v>7.6683322891348328E-18</v>
      </c>
      <c r="AJ382" s="10"/>
      <c r="AK382" s="10"/>
      <c r="AL382" s="10"/>
      <c r="AM382" s="10"/>
      <c r="AN382" s="10"/>
    </row>
    <row r="383" spans="19:40">
      <c r="S383" s="10"/>
      <c r="T383" s="12">
        <v>377</v>
      </c>
      <c r="U383" s="13">
        <f t="shared" si="59"/>
        <v>0.12291692131864344</v>
      </c>
      <c r="V383" s="13">
        <f t="shared" si="60"/>
        <v>4.023097607469164E-16</v>
      </c>
      <c r="W383" s="13">
        <f t="shared" si="65"/>
        <v>4.023097607469164E-16</v>
      </c>
      <c r="X383" s="13">
        <v>0</v>
      </c>
      <c r="Y383" s="13">
        <v>0</v>
      </c>
      <c r="Z383" s="13">
        <v>0</v>
      </c>
      <c r="AA383" s="13">
        <f t="shared" si="66"/>
        <v>7.4353223737685433E-8</v>
      </c>
      <c r="AB383" s="13">
        <f t="shared" si="67"/>
        <v>653.05003879097603</v>
      </c>
      <c r="AC383" s="13">
        <f t="shared" si="61"/>
        <v>653.05003886532927</v>
      </c>
      <c r="AD383" s="13">
        <f t="shared" si="62"/>
        <v>5.6302773804686331E-8</v>
      </c>
      <c r="AE383" s="13">
        <f t="shared" si="57"/>
        <v>3.1187143012745296E-12</v>
      </c>
      <c r="AF383" s="13">
        <f t="shared" si="63"/>
        <v>5.2718469563892326E-12</v>
      </c>
      <c r="AG383" s="13">
        <f t="shared" si="64"/>
        <v>1.7379928062480209E-12</v>
      </c>
      <c r="AH383" s="10"/>
      <c r="AI383" s="13">
        <f t="shared" si="58"/>
        <v>6.781581467763726E-18</v>
      </c>
      <c r="AJ383" s="10"/>
      <c r="AK383" s="10"/>
      <c r="AL383" s="10"/>
      <c r="AM383" s="10"/>
      <c r="AN383" s="10"/>
    </row>
    <row r="384" spans="19:40">
      <c r="S384" s="10"/>
      <c r="T384" s="12">
        <v>378</v>
      </c>
      <c r="U384" s="13">
        <f t="shared" si="59"/>
        <v>0.12297300290648597</v>
      </c>
      <c r="V384" s="13">
        <f t="shared" si="60"/>
        <v>3.5276597508300537E-16</v>
      </c>
      <c r="W384" s="13">
        <f t="shared" si="65"/>
        <v>3.5276597508300537E-16</v>
      </c>
      <c r="X384" s="13">
        <v>0</v>
      </c>
      <c r="Y384" s="13">
        <v>0</v>
      </c>
      <c r="Z384" s="13">
        <v>0</v>
      </c>
      <c r="AA384" s="13">
        <f t="shared" si="66"/>
        <v>6.9672106369820823E-8</v>
      </c>
      <c r="AB384" s="13">
        <f t="shared" si="67"/>
        <v>653.0500387956572</v>
      </c>
      <c r="AC384" s="13">
        <f t="shared" si="61"/>
        <v>653.05003886532927</v>
      </c>
      <c r="AD384" s="13">
        <f t="shared" si="62"/>
        <v>5.2602603551406491E-8</v>
      </c>
      <c r="AE384" s="13">
        <f t="shared" si="57"/>
        <v>2.9137550610792554E-12</v>
      </c>
      <c r="AF384" s="13">
        <f t="shared" si="63"/>
        <v>4.9399429272373028E-12</v>
      </c>
      <c r="AG384" s="13">
        <f t="shared" si="64"/>
        <v>1.6237734031571491E-12</v>
      </c>
      <c r="AH384" s="10"/>
      <c r="AI384" s="13">
        <f t="shared" si="58"/>
        <v>5.9970360602964753E-18</v>
      </c>
      <c r="AJ384" s="10"/>
      <c r="AK384" s="10"/>
      <c r="AL384" s="10"/>
      <c r="AM384" s="10"/>
      <c r="AN384" s="10"/>
    </row>
    <row r="385" spans="19:40">
      <c r="S385" s="10"/>
      <c r="T385" s="12">
        <v>379</v>
      </c>
      <c r="U385" s="13">
        <f t="shared" si="59"/>
        <v>0.12302896181239466</v>
      </c>
      <c r="V385" s="13">
        <f t="shared" si="60"/>
        <v>3.0930368477871416E-16</v>
      </c>
      <c r="W385" s="13">
        <f t="shared" si="65"/>
        <v>3.0930368477871416E-16</v>
      </c>
      <c r="X385" s="13">
        <v>0</v>
      </c>
      <c r="Y385" s="13">
        <v>0</v>
      </c>
      <c r="Z385" s="13">
        <v>0</v>
      </c>
      <c r="AA385" s="13">
        <f t="shared" si="66"/>
        <v>6.5285701974578461E-8</v>
      </c>
      <c r="AB385" s="13">
        <f t="shared" si="67"/>
        <v>653.05003880004358</v>
      </c>
      <c r="AC385" s="13">
        <f t="shared" si="61"/>
        <v>653.05003886532927</v>
      </c>
      <c r="AD385" s="13">
        <f t="shared" si="62"/>
        <v>4.9145605331577902E-8</v>
      </c>
      <c r="AE385" s="13">
        <f t="shared" si="57"/>
        <v>2.7222655670311521E-12</v>
      </c>
      <c r="AF385" s="13">
        <f t="shared" si="63"/>
        <v>4.6289348545074163E-12</v>
      </c>
      <c r="AG385" s="13">
        <f t="shared" si="64"/>
        <v>1.5170604016824454E-12</v>
      </c>
      <c r="AH385" s="10"/>
      <c r="AI385" s="13">
        <f t="shared" si="58"/>
        <v>5.302955807692098E-18</v>
      </c>
      <c r="AJ385" s="10"/>
      <c r="AK385" s="10"/>
      <c r="AL385" s="10"/>
      <c r="AM385" s="10"/>
      <c r="AN385" s="10"/>
    </row>
    <row r="386" spans="19:40">
      <c r="S386" s="10"/>
      <c r="T386" s="12">
        <v>380</v>
      </c>
      <c r="U386" s="13">
        <f t="shared" si="59"/>
        <v>0.12308479862738322</v>
      </c>
      <c r="V386" s="13">
        <f t="shared" si="60"/>
        <v>2.7117886564570228E-16</v>
      </c>
      <c r="W386" s="13">
        <f t="shared" si="65"/>
        <v>2.7117886564570228E-16</v>
      </c>
      <c r="X386" s="13">
        <v>0</v>
      </c>
      <c r="Y386" s="13">
        <v>0</v>
      </c>
      <c r="Z386" s="13">
        <v>0</v>
      </c>
      <c r="AA386" s="13">
        <f t="shared" si="66"/>
        <v>6.1175456064275576E-8</v>
      </c>
      <c r="AB386" s="13">
        <f t="shared" si="67"/>
        <v>653.05003880415381</v>
      </c>
      <c r="AC386" s="13">
        <f t="shared" si="61"/>
        <v>653.05003886532927</v>
      </c>
      <c r="AD386" s="13">
        <f t="shared" si="62"/>
        <v>4.5915798086343879E-8</v>
      </c>
      <c r="AE386" s="13">
        <f t="shared" si="57"/>
        <v>2.5433605989299822E-12</v>
      </c>
      <c r="AF386" s="13">
        <f t="shared" si="63"/>
        <v>4.337507174198858E-12</v>
      </c>
      <c r="AG386" s="13">
        <f t="shared" si="64"/>
        <v>1.4173604875232911E-12</v>
      </c>
      <c r="AH386" s="10"/>
      <c r="AI386" s="13">
        <f t="shared" si="58"/>
        <v>4.6889443615420825E-18</v>
      </c>
      <c r="AJ386" s="10"/>
      <c r="AK386" s="10"/>
      <c r="AL386" s="10"/>
      <c r="AM386" s="10"/>
      <c r="AN386" s="10"/>
    </row>
    <row r="387" spans="19:40">
      <c r="S387" s="10"/>
      <c r="T387" s="12">
        <v>381</v>
      </c>
      <c r="U387" s="13">
        <f t="shared" si="59"/>
        <v>0.12314051393807196</v>
      </c>
      <c r="V387" s="13">
        <f t="shared" si="60"/>
        <v>2.377382086909912E-16</v>
      </c>
      <c r="W387" s="13">
        <f t="shared" si="65"/>
        <v>2.377382086909912E-16</v>
      </c>
      <c r="X387" s="13">
        <v>0</v>
      </c>
      <c r="Y387" s="13">
        <v>0</v>
      </c>
      <c r="Z387" s="13">
        <v>0</v>
      </c>
      <c r="AA387" s="13">
        <f t="shared" si="66"/>
        <v>5.7323982301369484E-8</v>
      </c>
      <c r="AB387" s="13">
        <f t="shared" si="67"/>
        <v>653.0500388080053</v>
      </c>
      <c r="AC387" s="13">
        <f t="shared" si="61"/>
        <v>653.05003886532927</v>
      </c>
      <c r="AD387" s="13">
        <f t="shared" si="62"/>
        <v>4.2898251018444733E-8</v>
      </c>
      <c r="AE387" s="13">
        <f t="shared" si="57"/>
        <v>2.3762131124892242E-12</v>
      </c>
      <c r="AF387" s="13">
        <f t="shared" si="63"/>
        <v>4.0644271473602605E-12</v>
      </c>
      <c r="AG387" s="13">
        <f t="shared" si="64"/>
        <v>1.3242127665731099E-12</v>
      </c>
      <c r="AH387" s="10"/>
      <c r="AI387" s="13">
        <f t="shared" si="58"/>
        <v>4.1457959965245488E-18</v>
      </c>
      <c r="AJ387" s="10"/>
      <c r="AK387" s="10"/>
      <c r="AL387" s="10"/>
      <c r="AM387" s="10"/>
      <c r="AN387" s="10"/>
    </row>
    <row r="388" spans="19:40">
      <c r="S388" s="10"/>
      <c r="T388" s="12">
        <v>382</v>
      </c>
      <c r="U388" s="13">
        <f t="shared" si="59"/>
        <v>0.12319610832673206</v>
      </c>
      <c r="V388" s="13">
        <f t="shared" si="60"/>
        <v>2.0840809843447547E-16</v>
      </c>
      <c r="W388" s="13">
        <f t="shared" si="65"/>
        <v>2.0840809843447547E-16</v>
      </c>
      <c r="X388" s="13">
        <v>0</v>
      </c>
      <c r="Y388" s="13">
        <v>0</v>
      </c>
      <c r="Z388" s="13">
        <v>0</v>
      </c>
      <c r="AA388" s="13">
        <f t="shared" si="66"/>
        <v>5.3714988954273861E-8</v>
      </c>
      <c r="AB388" s="13">
        <f t="shared" si="67"/>
        <v>653.05003881161429</v>
      </c>
      <c r="AC388" s="13">
        <f t="shared" si="61"/>
        <v>653.05003886532927</v>
      </c>
      <c r="AD388" s="13">
        <f t="shared" si="62"/>
        <v>4.0079014569915817E-8</v>
      </c>
      <c r="AE388" s="13">
        <f t="shared" si="57"/>
        <v>2.2200504160649492E-12</v>
      </c>
      <c r="AF388" s="13">
        <f t="shared" si="63"/>
        <v>3.8085396456046745E-12</v>
      </c>
      <c r="AG388" s="13">
        <f t="shared" si="64"/>
        <v>1.2371866342919767E-12</v>
      </c>
      <c r="AH388" s="10"/>
      <c r="AI388" s="13">
        <f t="shared" si="58"/>
        <v>3.6653597424947848E-18</v>
      </c>
      <c r="AJ388" s="10"/>
      <c r="AK388" s="10"/>
      <c r="AL388" s="10"/>
      <c r="AM388" s="10"/>
      <c r="AN388" s="10"/>
    </row>
    <row r="389" spans="19:40">
      <c r="S389" s="10"/>
      <c r="T389" s="12">
        <v>383</v>
      </c>
      <c r="U389" s="13">
        <f t="shared" si="59"/>
        <v>0.12325158237132899</v>
      </c>
      <c r="V389" s="13">
        <f t="shared" si="60"/>
        <v>1.8268492550561144E-16</v>
      </c>
      <c r="W389" s="13">
        <f t="shared" si="65"/>
        <v>1.8268492550561144E-16</v>
      </c>
      <c r="X389" s="13">
        <v>0</v>
      </c>
      <c r="Y389" s="13">
        <v>0</v>
      </c>
      <c r="Z389" s="13">
        <v>0</v>
      </c>
      <c r="AA389" s="13">
        <f t="shared" si="66"/>
        <v>5.0333209983355689E-8</v>
      </c>
      <c r="AB389" s="13">
        <f t="shared" si="67"/>
        <v>653.05003881499601</v>
      </c>
      <c r="AC389" s="13">
        <f t="shared" si="61"/>
        <v>653.05003886532927</v>
      </c>
      <c r="AD389" s="13">
        <f t="shared" si="62"/>
        <v>3.7445055935873035E-8</v>
      </c>
      <c r="AE389" s="13">
        <f t="shared" si="57"/>
        <v>2.0741505986467829E-12</v>
      </c>
      <c r="AF389" s="13">
        <f t="shared" si="63"/>
        <v>3.5687622649172475E-12</v>
      </c>
      <c r="AG389" s="13">
        <f t="shared" si="64"/>
        <v>1.1558797851022205E-12</v>
      </c>
      <c r="AH389" s="10"/>
      <c r="AI389" s="13">
        <f t="shared" si="58"/>
        <v>3.240418964171264E-18</v>
      </c>
      <c r="AJ389" s="10"/>
      <c r="AK389" s="10"/>
      <c r="AL389" s="10"/>
      <c r="AM389" s="10"/>
      <c r="AN389" s="10"/>
    </row>
    <row r="390" spans="19:40">
      <c r="S390" s="10"/>
      <c r="T390" s="12">
        <v>384</v>
      </c>
      <c r="U390" s="13">
        <f t="shared" si="59"/>
        <v>0.12330693664556557</v>
      </c>
      <c r="V390" s="13">
        <f t="shared" si="60"/>
        <v>1.6012657259193365E-16</v>
      </c>
      <c r="W390" s="13">
        <f t="shared" si="65"/>
        <v>1.6012657259193365E-16</v>
      </c>
      <c r="X390" s="13">
        <v>0</v>
      </c>
      <c r="Y390" s="13">
        <v>0</v>
      </c>
      <c r="Z390" s="13">
        <v>0</v>
      </c>
      <c r="AA390" s="13">
        <f t="shared" si="66"/>
        <v>4.7164340465606924E-8</v>
      </c>
      <c r="AB390" s="13">
        <f t="shared" si="67"/>
        <v>653.05003881816492</v>
      </c>
      <c r="AC390" s="13">
        <f t="shared" si="61"/>
        <v>653.05003886532927</v>
      </c>
      <c r="AD390" s="13">
        <f t="shared" si="62"/>
        <v>3.4984198816278102E-8</v>
      </c>
      <c r="AE390" s="13">
        <f t="shared" ref="AE390:AE453" si="68">(V390+AA390)/AC390/12/(1+rdis_Month)^T390</f>
        <v>1.9378391925982175E-12</v>
      </c>
      <c r="AF390" s="13">
        <f t="shared" si="63"/>
        <v>3.3440807470869349E-12</v>
      </c>
      <c r="AG390" s="13">
        <f t="shared" si="64"/>
        <v>1.0799163526048489E-12</v>
      </c>
      <c r="AH390" s="10"/>
      <c r="AI390" s="13">
        <f t="shared" ref="AI390:AI453" si="69">EXP(-lambda_capi*(T390^gamma_capi))</f>
        <v>2.8645846387515879E-18</v>
      </c>
      <c r="AJ390" s="10"/>
      <c r="AK390" s="10"/>
      <c r="AL390" s="10"/>
      <c r="AM390" s="10"/>
      <c r="AN390" s="10"/>
    </row>
    <row r="391" spans="19:40">
      <c r="S391" s="10"/>
      <c r="T391" s="12">
        <v>385</v>
      </c>
      <c r="U391" s="13">
        <f t="shared" ref="U391:U454" si="70">gamma_capi*lambda_capi*T391^(gamma_capi-1)</f>
        <v>0.12336217171892426</v>
      </c>
      <c r="V391" s="13">
        <f t="shared" ref="V391:V454" si="71">SUM(W391:Z391)</f>
        <v>1.4034493214720686E-16</v>
      </c>
      <c r="W391" s="13">
        <f t="shared" si="65"/>
        <v>1.4034493214720686E-16</v>
      </c>
      <c r="X391" s="13">
        <v>0</v>
      </c>
      <c r="Y391" s="13">
        <v>0</v>
      </c>
      <c r="Z391" s="13">
        <v>0</v>
      </c>
      <c r="AA391" s="13">
        <f t="shared" si="66"/>
        <v>4.4194976084837482E-8</v>
      </c>
      <c r="AB391" s="13">
        <f t="shared" si="67"/>
        <v>653.05003882113431</v>
      </c>
      <c r="AC391" s="13">
        <f t="shared" ref="AC391:AC454" si="72">V391+AA391+AB391</f>
        <v>653.05003886532927</v>
      </c>
      <c r="AD391" s="13">
        <f t="shared" ref="AD391:AD454" si="73">(V391*cPFS_CAPI_after+AA391*cP)/AC391/(1+rdis_Month)^T390</f>
        <v>3.2685067127166852E-8</v>
      </c>
      <c r="AE391" s="13">
        <f t="shared" si="68"/>
        <v>1.8104860557187643E-12</v>
      </c>
      <c r="AF391" s="13">
        <f t="shared" ref="AF391:AF454" si="74">(SUM(W391:Z391)*uS+AA391*uP)/AC391/12</f>
        <v>3.1335446893949038E-12</v>
      </c>
      <c r="AG391" s="13">
        <f t="shared" ref="AG391:AG454" si="75">(W391*uS/12+X391*(uS+duAE1_CAPI)/12+Y391*(uS+duAE2_CAPI)/12+Z391*(uS+duAE3_CAPI)/12+AA391*uP/12)/AC391/(1+rdis_Month)^T390</f>
        <v>1.0089451720193481E-12</v>
      </c>
      <c r="AH391" s="10"/>
      <c r="AI391" s="13">
        <f t="shared" si="69"/>
        <v>2.532200779189004E-18</v>
      </c>
      <c r="AJ391" s="10"/>
      <c r="AK391" s="10"/>
      <c r="AL391" s="10"/>
      <c r="AM391" s="10"/>
      <c r="AN391" s="10"/>
    </row>
    <row r="392" spans="19:40">
      <c r="S392" s="10"/>
      <c r="T392" s="12">
        <v>386</v>
      </c>
      <c r="U392" s="13">
        <f t="shared" si="70"/>
        <v>0.12341728815670928</v>
      </c>
      <c r="V392" s="13">
        <f t="shared" si="71"/>
        <v>1.2299933128826796E-16</v>
      </c>
      <c r="W392" s="13">
        <f t="shared" ref="W392:W455" si="76">(1-($Q$13+U392))*V391</f>
        <v>1.2299933128826796E-16</v>
      </c>
      <c r="X392" s="13">
        <v>0</v>
      </c>
      <c r="Y392" s="13">
        <v>0</v>
      </c>
      <c r="Z392" s="13">
        <v>0</v>
      </c>
      <c r="AA392" s="13">
        <f t="shared" si="66"/>
        <v>4.1412556431433346E-8</v>
      </c>
      <c r="AB392" s="13">
        <f t="shared" si="67"/>
        <v>653.05003882391668</v>
      </c>
      <c r="AC392" s="13">
        <f t="shared" si="72"/>
        <v>653.05003886532927</v>
      </c>
      <c r="AD392" s="13">
        <f t="shared" si="73"/>
        <v>3.0537032411128307E-8</v>
      </c>
      <c r="AE392" s="13">
        <f t="shared" si="68"/>
        <v>1.6915024582142918E-12</v>
      </c>
      <c r="AF392" s="13">
        <f t="shared" si="74"/>
        <v>2.9362635244116119E-12</v>
      </c>
      <c r="AG392" s="13">
        <f t="shared" si="75"/>
        <v>9.4263815681445167E-13</v>
      </c>
      <c r="AH392" s="10"/>
      <c r="AI392" s="13">
        <f t="shared" si="69"/>
        <v>2.2382606260800716E-18</v>
      </c>
      <c r="AJ392" s="10"/>
      <c r="AK392" s="10"/>
      <c r="AL392" s="10"/>
      <c r="AM392" s="10"/>
      <c r="AN392" s="10"/>
    </row>
    <row r="393" spans="19:40">
      <c r="S393" s="10"/>
      <c r="T393" s="12">
        <v>387</v>
      </c>
      <c r="U393" s="13">
        <f t="shared" si="70"/>
        <v>0.12347228652008795</v>
      </c>
      <c r="V393" s="13">
        <f t="shared" si="71"/>
        <v>1.0779075429272537E-16</v>
      </c>
      <c r="W393" s="13">
        <f t="shared" si="76"/>
        <v>1.0779075429272537E-16</v>
      </c>
      <c r="X393" s="13">
        <v>0</v>
      </c>
      <c r="Y393" s="13">
        <v>0</v>
      </c>
      <c r="Z393" s="13">
        <v>0</v>
      </c>
      <c r="AA393" s="13">
        <f t="shared" si="66"/>
        <v>3.8805311871837863E-8</v>
      </c>
      <c r="AB393" s="13">
        <f t="shared" si="67"/>
        <v>653.05003882652397</v>
      </c>
      <c r="AC393" s="13">
        <f t="shared" si="72"/>
        <v>653.05003886532927</v>
      </c>
      <c r="AD393" s="13">
        <f t="shared" si="73"/>
        <v>2.85301647039224E-8</v>
      </c>
      <c r="AE393" s="13">
        <f t="shared" si="68"/>
        <v>1.5803383611091713E-12</v>
      </c>
      <c r="AF393" s="13">
        <f t="shared" si="74"/>
        <v>2.751402752897113E-12</v>
      </c>
      <c r="AG393" s="13">
        <f t="shared" si="75"/>
        <v>8.8068878202534446E-13</v>
      </c>
      <c r="AH393" s="10"/>
      <c r="AI393" s="13">
        <f t="shared" si="69"/>
        <v>1.9783323866365707E-18</v>
      </c>
      <c r="AJ393" s="10"/>
      <c r="AK393" s="10"/>
      <c r="AL393" s="10"/>
      <c r="AM393" s="10"/>
      <c r="AN393" s="10"/>
    </row>
    <row r="394" spans="19:40">
      <c r="S394" s="10"/>
      <c r="T394" s="12">
        <v>388</v>
      </c>
      <c r="U394" s="13">
        <f t="shared" si="70"/>
        <v>0.12352716736613135</v>
      </c>
      <c r="V394" s="13">
        <f t="shared" si="71"/>
        <v>9.4456766297723781E-17</v>
      </c>
      <c r="W394" s="13">
        <f t="shared" si="76"/>
        <v>9.4456766297723781E-17</v>
      </c>
      <c r="X394" s="13">
        <v>0</v>
      </c>
      <c r="Y394" s="13">
        <v>0</v>
      </c>
      <c r="Z394" s="13">
        <v>0</v>
      </c>
      <c r="AA394" s="13">
        <f t="shared" si="66"/>
        <v>3.6362213763014389E-8</v>
      </c>
      <c r="AB394" s="13">
        <f t="shared" si="67"/>
        <v>653.0500388289671</v>
      </c>
      <c r="AC394" s="13">
        <f t="shared" si="72"/>
        <v>653.05003886532927</v>
      </c>
      <c r="AD394" s="13">
        <f t="shared" si="73"/>
        <v>2.6655186630102204E-8</v>
      </c>
      <c r="AE394" s="13">
        <f t="shared" si="68"/>
        <v>1.4764798735188331E-12</v>
      </c>
      <c r="AF394" s="13">
        <f t="shared" si="74"/>
        <v>2.5781804138697582E-12</v>
      </c>
      <c r="AG394" s="13">
        <f t="shared" si="75"/>
        <v>8.2281066724595572E-13</v>
      </c>
      <c r="AH394" s="10"/>
      <c r="AI394" s="13">
        <f t="shared" si="69"/>
        <v>1.7484934372387673E-18</v>
      </c>
      <c r="AJ394" s="10"/>
      <c r="AK394" s="10"/>
      <c r="AL394" s="10"/>
      <c r="AM394" s="10"/>
      <c r="AN394" s="10"/>
    </row>
    <row r="395" spans="19:40">
      <c r="S395" s="10"/>
      <c r="T395" s="12">
        <v>389</v>
      </c>
      <c r="U395" s="13">
        <f t="shared" si="70"/>
        <v>0.12358193124785502</v>
      </c>
      <c r="V395" s="13">
        <f t="shared" si="71"/>
        <v>8.2767053407139406E-17</v>
      </c>
      <c r="W395" s="13">
        <f t="shared" si="76"/>
        <v>8.2767053407139406E-17</v>
      </c>
      <c r="X395" s="13">
        <v>0</v>
      </c>
      <c r="Y395" s="13">
        <v>0</v>
      </c>
      <c r="Z395" s="13">
        <v>0</v>
      </c>
      <c r="AA395" s="13">
        <f t="shared" si="66"/>
        <v>3.4072927801297572E-8</v>
      </c>
      <c r="AB395" s="13">
        <f t="shared" si="67"/>
        <v>653.05003883125642</v>
      </c>
      <c r="AC395" s="13">
        <f t="shared" si="72"/>
        <v>653.05003886532938</v>
      </c>
      <c r="AD395" s="13">
        <f t="shared" si="73"/>
        <v>2.4903430515433008E-8</v>
      </c>
      <c r="AE395" s="13">
        <f t="shared" si="68"/>
        <v>1.3794468770281858E-12</v>
      </c>
      <c r="AF395" s="13">
        <f t="shared" si="74"/>
        <v>2.4158637769116955E-12</v>
      </c>
      <c r="AG395" s="13">
        <f t="shared" si="75"/>
        <v>7.6873625274579148E-13</v>
      </c>
      <c r="AH395" s="10"/>
      <c r="AI395" s="13">
        <f t="shared" si="69"/>
        <v>1.5452720285603543E-18</v>
      </c>
      <c r="AJ395" s="10"/>
      <c r="AK395" s="10"/>
      <c r="AL395" s="10"/>
      <c r="AM395" s="10"/>
      <c r="AN395" s="10"/>
    </row>
    <row r="396" spans="19:40">
      <c r="S396" s="10"/>
      <c r="T396" s="12">
        <v>390</v>
      </c>
      <c r="U396" s="13">
        <f t="shared" si="70"/>
        <v>0.12363657871425858</v>
      </c>
      <c r="V396" s="13">
        <f t="shared" si="71"/>
        <v>7.2519504629585156E-17</v>
      </c>
      <c r="W396" s="13">
        <f t="shared" si="76"/>
        <v>7.2519504629585156E-17</v>
      </c>
      <c r="X396" s="13">
        <v>0</v>
      </c>
      <c r="Y396" s="13">
        <v>0</v>
      </c>
      <c r="Z396" s="13">
        <v>0</v>
      </c>
      <c r="AA396" s="13">
        <f t="shared" si="66"/>
        <v>3.1927770308299074E-8</v>
      </c>
      <c r="AB396" s="13">
        <f t="shared" si="67"/>
        <v>653.05003883340157</v>
      </c>
      <c r="AC396" s="13">
        <f t="shared" si="72"/>
        <v>653.05003886532938</v>
      </c>
      <c r="AD396" s="13">
        <f t="shared" si="73"/>
        <v>2.3266798317846911E-8</v>
      </c>
      <c r="AE396" s="13">
        <f t="shared" si="68"/>
        <v>1.2887908061938475E-12</v>
      </c>
      <c r="AF396" s="13">
        <f t="shared" si="74"/>
        <v>2.2637662427196151E-12</v>
      </c>
      <c r="AG396" s="13">
        <f t="shared" si="75"/>
        <v>7.1821556259122837E-13</v>
      </c>
      <c r="AH396" s="10"/>
      <c r="AI396" s="13">
        <f t="shared" si="69"/>
        <v>1.3655956409558303E-18</v>
      </c>
      <c r="AJ396" s="10"/>
      <c r="AK396" s="10"/>
      <c r="AL396" s="10"/>
      <c r="AM396" s="10"/>
      <c r="AN396" s="10"/>
    </row>
    <row r="397" spans="19:40">
      <c r="S397" s="10"/>
      <c r="T397" s="12">
        <v>391</v>
      </c>
      <c r="U397" s="13">
        <f t="shared" si="70"/>
        <v>0.12369111031036524</v>
      </c>
      <c r="V397" s="13">
        <f t="shared" si="71"/>
        <v>6.3536770058779205E-17</v>
      </c>
      <c r="W397" s="13">
        <f t="shared" si="76"/>
        <v>6.3536770058779205E-17</v>
      </c>
      <c r="X397" s="13">
        <v>0</v>
      </c>
      <c r="Y397" s="13">
        <v>0</v>
      </c>
      <c r="Z397" s="13">
        <v>0</v>
      </c>
      <c r="AA397" s="13">
        <f t="shared" ref="AA397:AA460" si="77">(1-$Q$17)*AA396+(U397*W396)</f>
        <v>2.9917667268957154E-8</v>
      </c>
      <c r="AB397" s="13">
        <f t="shared" ref="AB397:AB460" si="78">(AB396*1)+(AA396*$Q$17)+(W396*$Q$13)</f>
        <v>653.05003883541167</v>
      </c>
      <c r="AC397" s="13">
        <f t="shared" si="72"/>
        <v>653.05003886532938</v>
      </c>
      <c r="AD397" s="13">
        <f t="shared" si="73"/>
        <v>2.1737724191701079E-8</v>
      </c>
      <c r="AE397" s="13">
        <f t="shared" si="68"/>
        <v>1.2040925749098584E-12</v>
      </c>
      <c r="AF397" s="13">
        <f t="shared" si="74"/>
        <v>2.1212444387900694E-12</v>
      </c>
      <c r="AG397" s="13">
        <f t="shared" si="75"/>
        <v>6.7101504905341788E-13</v>
      </c>
      <c r="AH397" s="10"/>
      <c r="AI397" s="13">
        <f t="shared" si="69"/>
        <v>1.2067452342557378E-18</v>
      </c>
      <c r="AJ397" s="10"/>
      <c r="AK397" s="10"/>
      <c r="AL397" s="10"/>
      <c r="AM397" s="10"/>
      <c r="AN397" s="10"/>
    </row>
    <row r="398" spans="19:40">
      <c r="S398" s="10"/>
      <c r="T398" s="12">
        <v>392</v>
      </c>
      <c r="U398" s="13">
        <f t="shared" si="70"/>
        <v>0.12374552657726057</v>
      </c>
      <c r="V398" s="13">
        <f t="shared" si="71"/>
        <v>5.5663237617679679E-17</v>
      </c>
      <c r="W398" s="13">
        <f t="shared" si="76"/>
        <v>5.5663237617679679E-17</v>
      </c>
      <c r="X398" s="13">
        <v>0</v>
      </c>
      <c r="Y398" s="13">
        <v>0</v>
      </c>
      <c r="Z398" s="13">
        <v>0</v>
      </c>
      <c r="AA398" s="13">
        <f t="shared" si="77"/>
        <v>2.8034115948461316E-8</v>
      </c>
      <c r="AB398" s="13">
        <f t="shared" si="78"/>
        <v>653.05003883729523</v>
      </c>
      <c r="AC398" s="13">
        <f t="shared" si="72"/>
        <v>653.05003886532938</v>
      </c>
      <c r="AD398" s="13">
        <f t="shared" si="73"/>
        <v>2.0309139512281399E-8</v>
      </c>
      <c r="AE398" s="13">
        <f t="shared" si="68"/>
        <v>1.1249606390508656E-12</v>
      </c>
      <c r="AF398" s="13">
        <f t="shared" si="74"/>
        <v>1.9876954979541383E-12</v>
      </c>
      <c r="AG398" s="13">
        <f t="shared" si="75"/>
        <v>6.2691651296071812E-13</v>
      </c>
      <c r="AH398" s="10"/>
      <c r="AI398" s="13">
        <f t="shared" si="69"/>
        <v>1.0663147216926462E-18</v>
      </c>
      <c r="AJ398" s="10"/>
      <c r="AK398" s="10"/>
      <c r="AL398" s="10"/>
      <c r="AM398" s="10"/>
      <c r="AN398" s="10"/>
    </row>
    <row r="399" spans="19:40">
      <c r="S399" s="10"/>
      <c r="T399" s="12">
        <v>393</v>
      </c>
      <c r="U399" s="13">
        <f t="shared" si="70"/>
        <v>0.12379982805213102</v>
      </c>
      <c r="V399" s="13">
        <f t="shared" si="71"/>
        <v>4.8762377647391572E-17</v>
      </c>
      <c r="W399" s="13">
        <f t="shared" si="76"/>
        <v>4.8762377647391572E-17</v>
      </c>
      <c r="X399" s="13">
        <v>0</v>
      </c>
      <c r="Y399" s="13">
        <v>0</v>
      </c>
      <c r="Z399" s="13">
        <v>0</v>
      </c>
      <c r="AA399" s="13">
        <f t="shared" si="77"/>
        <v>2.6269148925691566E-8</v>
      </c>
      <c r="AB399" s="13">
        <f t="shared" si="78"/>
        <v>653.05003883906022</v>
      </c>
      <c r="AC399" s="13">
        <f t="shared" si="72"/>
        <v>653.05003886532938</v>
      </c>
      <c r="AD399" s="13">
        <f t="shared" si="73"/>
        <v>1.8974440198865942E-8</v>
      </c>
      <c r="AE399" s="13">
        <f t="shared" si="68"/>
        <v>1.0510291864367304E-12</v>
      </c>
      <c r="AF399" s="13">
        <f t="shared" si="74"/>
        <v>1.8625545082496239E-12</v>
      </c>
      <c r="AG399" s="13">
        <f t="shared" si="75"/>
        <v>5.8571609500463278E-13</v>
      </c>
      <c r="AH399" s="10"/>
      <c r="AI399" s="13">
        <f t="shared" si="69"/>
        <v>9.421750736158192E-19</v>
      </c>
      <c r="AJ399" s="10"/>
      <c r="AK399" s="10"/>
      <c r="AL399" s="10"/>
      <c r="AM399" s="10"/>
      <c r="AN399" s="10"/>
    </row>
    <row r="400" spans="19:40">
      <c r="S400" s="10"/>
      <c r="T400" s="12">
        <v>394</v>
      </c>
      <c r="U400" s="13">
        <f t="shared" si="70"/>
        <v>0.1238540152683018</v>
      </c>
      <c r="V400" s="13">
        <f t="shared" si="71"/>
        <v>4.2714410744913917E-17</v>
      </c>
      <c r="W400" s="13">
        <f t="shared" si="76"/>
        <v>4.2714410744913917E-17</v>
      </c>
      <c r="X400" s="13">
        <v>0</v>
      </c>
      <c r="Y400" s="13">
        <v>0</v>
      </c>
      <c r="Z400" s="13">
        <v>0</v>
      </c>
      <c r="AA400" s="13">
        <f t="shared" si="77"/>
        <v>2.4615300391033874E-8</v>
      </c>
      <c r="AB400" s="13">
        <f t="shared" si="78"/>
        <v>653.05003884071402</v>
      </c>
      <c r="AC400" s="13">
        <f t="shared" si="72"/>
        <v>653.05003886532927</v>
      </c>
      <c r="AD400" s="13">
        <f t="shared" si="73"/>
        <v>1.7727456185289096E-8</v>
      </c>
      <c r="AE400" s="13">
        <f t="shared" si="68"/>
        <v>9.8195644575111121E-13</v>
      </c>
      <c r="AF400" s="13">
        <f t="shared" si="74"/>
        <v>1.7452921233437473E-12</v>
      </c>
      <c r="AG400" s="13">
        <f t="shared" si="75"/>
        <v>5.4722333333626539E-13</v>
      </c>
      <c r="AH400" s="10"/>
      <c r="AI400" s="13">
        <f t="shared" si="69"/>
        <v>8.3244252401044358E-19</v>
      </c>
      <c r="AJ400" s="10"/>
      <c r="AK400" s="10"/>
      <c r="AL400" s="10"/>
      <c r="AM400" s="10"/>
      <c r="AN400" s="10"/>
    </row>
    <row r="401" spans="19:40">
      <c r="S401" s="10"/>
      <c r="T401" s="12">
        <v>395</v>
      </c>
      <c r="U401" s="13">
        <f t="shared" si="70"/>
        <v>0.12390808875527437</v>
      </c>
      <c r="V401" s="13">
        <f t="shared" si="71"/>
        <v>3.7414259640469232E-17</v>
      </c>
      <c r="W401" s="13">
        <f t="shared" si="76"/>
        <v>3.7414259640469232E-17</v>
      </c>
      <c r="X401" s="13">
        <v>0</v>
      </c>
      <c r="Y401" s="13">
        <v>0</v>
      </c>
      <c r="Z401" s="13">
        <v>0</v>
      </c>
      <c r="AA401" s="13">
        <f t="shared" si="77"/>
        <v>2.3065574566011664E-8</v>
      </c>
      <c r="AB401" s="13">
        <f t="shared" si="78"/>
        <v>653.0500388422638</v>
      </c>
      <c r="AC401" s="13">
        <f t="shared" si="72"/>
        <v>653.05003886532938</v>
      </c>
      <c r="AD401" s="13">
        <f t="shared" si="73"/>
        <v>1.656242289687425E-8</v>
      </c>
      <c r="AE401" s="13">
        <f t="shared" si="68"/>
        <v>9.1742310659646298E-13</v>
      </c>
      <c r="AF401" s="13">
        <f t="shared" si="74"/>
        <v>1.6354123233984331E-12</v>
      </c>
      <c r="AG401" s="13">
        <f t="shared" si="75"/>
        <v>5.1126028309672549E-13</v>
      </c>
      <c r="AH401" s="10"/>
      <c r="AI401" s="13">
        <f t="shared" si="69"/>
        <v>7.3545041259557646E-19</v>
      </c>
      <c r="AJ401" s="10"/>
      <c r="AK401" s="10"/>
      <c r="AL401" s="10"/>
      <c r="AM401" s="10"/>
      <c r="AN401" s="10"/>
    </row>
    <row r="402" spans="19:40">
      <c r="S402" s="10"/>
      <c r="T402" s="12">
        <v>396</v>
      </c>
      <c r="U402" s="13">
        <f t="shared" si="70"/>
        <v>0.12396204903876343</v>
      </c>
      <c r="V402" s="13">
        <f t="shared" si="71"/>
        <v>3.2769750643657629E-17</v>
      </c>
      <c r="W402" s="13">
        <f t="shared" si="76"/>
        <v>3.2769750643657629E-17</v>
      </c>
      <c r="X402" s="13">
        <v>0</v>
      </c>
      <c r="Y402" s="13">
        <v>0</v>
      </c>
      <c r="Z402" s="13">
        <v>0</v>
      </c>
      <c r="AA402" s="13">
        <f t="shared" si="77"/>
        <v>2.1613416111148454E-8</v>
      </c>
      <c r="AB402" s="13">
        <f t="shared" si="78"/>
        <v>653.05003884371592</v>
      </c>
      <c r="AC402" s="13">
        <f t="shared" si="72"/>
        <v>653.05003886532938</v>
      </c>
      <c r="AD402" s="13">
        <f t="shared" si="73"/>
        <v>1.5473954601878321E-8</v>
      </c>
      <c r="AE402" s="13">
        <f t="shared" si="68"/>
        <v>8.57130843381675E-13</v>
      </c>
      <c r="AF402" s="13">
        <f t="shared" si="74"/>
        <v>1.5324503169066496E-12</v>
      </c>
      <c r="AG402" s="13">
        <f t="shared" si="75"/>
        <v>4.7766069381124449E-13</v>
      </c>
      <c r="AH402" s="10"/>
      <c r="AI402" s="13">
        <f t="shared" si="69"/>
        <v>6.4972424828361721E-19</v>
      </c>
      <c r="AJ402" s="10"/>
      <c r="AK402" s="10"/>
      <c r="AL402" s="10"/>
      <c r="AM402" s="10"/>
      <c r="AN402" s="10"/>
    </row>
    <row r="403" spans="19:40">
      <c r="S403" s="10"/>
      <c r="T403" s="12">
        <v>397</v>
      </c>
      <c r="U403" s="13">
        <f t="shared" si="70"/>
        <v>0.12401589664073352</v>
      </c>
      <c r="V403" s="13">
        <f t="shared" si="71"/>
        <v>2.8700034355691523E-17</v>
      </c>
      <c r="W403" s="13">
        <f t="shared" si="76"/>
        <v>2.8700034355691523E-17</v>
      </c>
      <c r="X403" s="13">
        <v>0</v>
      </c>
      <c r="Y403" s="13">
        <v>0</v>
      </c>
      <c r="Z403" s="13">
        <v>0</v>
      </c>
      <c r="AA403" s="13">
        <f t="shared" si="77"/>
        <v>2.025268239688694E-8</v>
      </c>
      <c r="AB403" s="13">
        <f t="shared" si="78"/>
        <v>653.05003884507664</v>
      </c>
      <c r="AC403" s="13">
        <f t="shared" si="72"/>
        <v>653.05003886532927</v>
      </c>
      <c r="AD403" s="13">
        <f t="shared" si="73"/>
        <v>1.4457019514256697E-8</v>
      </c>
      <c r="AE403" s="13">
        <f t="shared" si="68"/>
        <v>8.0080093621853973E-13</v>
      </c>
      <c r="AF403" s="13">
        <f t="shared" si="74"/>
        <v>1.4359705746245663E-12</v>
      </c>
      <c r="AG403" s="13">
        <f t="shared" si="75"/>
        <v>4.4626924084424562E-13</v>
      </c>
      <c r="AH403" s="10"/>
      <c r="AI403" s="13">
        <f t="shared" si="69"/>
        <v>5.7395962679926939E-19</v>
      </c>
      <c r="AJ403" s="10"/>
      <c r="AK403" s="10"/>
      <c r="AL403" s="10"/>
      <c r="AM403" s="10"/>
      <c r="AN403" s="10"/>
    </row>
    <row r="404" spans="19:40">
      <c r="S404" s="10"/>
      <c r="T404" s="12">
        <v>398</v>
      </c>
      <c r="U404" s="13">
        <f t="shared" si="70"/>
        <v>0.12406963207943514</v>
      </c>
      <c r="V404" s="13">
        <f t="shared" si="71"/>
        <v>2.5134199010909563E-17</v>
      </c>
      <c r="W404" s="13">
        <f t="shared" si="76"/>
        <v>2.5134199010909563E-17</v>
      </c>
      <c r="X404" s="13">
        <v>0</v>
      </c>
      <c r="Y404" s="13">
        <v>0</v>
      </c>
      <c r="Z404" s="13">
        <v>0</v>
      </c>
      <c r="AA404" s="13">
        <f t="shared" si="77"/>
        <v>1.8977617520270559E-8</v>
      </c>
      <c r="AB404" s="13">
        <f t="shared" si="78"/>
        <v>653.05003884635175</v>
      </c>
      <c r="AC404" s="13">
        <f t="shared" si="72"/>
        <v>653.05003886532938</v>
      </c>
      <c r="AD404" s="13">
        <f t="shared" si="73"/>
        <v>1.3506916532653285E-8</v>
      </c>
      <c r="AE404" s="13">
        <f t="shared" si="68"/>
        <v>7.4817298245172767E-13</v>
      </c>
      <c r="AF404" s="13">
        <f t="shared" si="74"/>
        <v>1.3455649872830671E-12</v>
      </c>
      <c r="AG404" s="13">
        <f t="shared" si="75"/>
        <v>4.1694080736252879E-13</v>
      </c>
      <c r="AH404" s="10"/>
      <c r="AI404" s="13">
        <f t="shared" si="69"/>
        <v>5.0700267695820243E-19</v>
      </c>
      <c r="AJ404" s="10"/>
      <c r="AK404" s="10"/>
      <c r="AL404" s="10"/>
      <c r="AM404" s="10"/>
      <c r="AN404" s="10"/>
    </row>
    <row r="405" spans="19:40">
      <c r="S405" s="10"/>
      <c r="T405" s="12">
        <v>399</v>
      </c>
      <c r="U405" s="13">
        <f t="shared" si="70"/>
        <v>0.12412325586944041</v>
      </c>
      <c r="V405" s="13">
        <f t="shared" si="71"/>
        <v>2.201005303488264E-17</v>
      </c>
      <c r="W405" s="13">
        <f t="shared" si="76"/>
        <v>2.201005303488264E-17</v>
      </c>
      <c r="X405" s="13">
        <v>0</v>
      </c>
      <c r="Y405" s="13">
        <v>0</v>
      </c>
      <c r="Z405" s="13">
        <v>0</v>
      </c>
      <c r="AA405" s="13">
        <f t="shared" si="77"/>
        <v>1.7782827957478198E-8</v>
      </c>
      <c r="AB405" s="13">
        <f t="shared" si="78"/>
        <v>653.05003884754649</v>
      </c>
      <c r="AC405" s="13">
        <f t="shared" si="72"/>
        <v>653.05003886532927</v>
      </c>
      <c r="AD405" s="13">
        <f t="shared" si="73"/>
        <v>1.261925350808446E-8</v>
      </c>
      <c r="AE405" s="13">
        <f t="shared" si="68"/>
        <v>6.9900369286590959E-13</v>
      </c>
      <c r="AF405" s="13">
        <f t="shared" si="74"/>
        <v>1.2608511392857437E-12</v>
      </c>
      <c r="AG405" s="13">
        <f t="shared" si="75"/>
        <v>3.8953981348722221E-13</v>
      </c>
      <c r="AH405" s="10"/>
      <c r="AI405" s="13">
        <f t="shared" si="69"/>
        <v>4.4783274708811452E-19</v>
      </c>
      <c r="AJ405" s="10"/>
      <c r="AK405" s="10"/>
      <c r="AL405" s="10"/>
      <c r="AM405" s="10"/>
      <c r="AN405" s="10"/>
    </row>
    <row r="406" spans="19:40">
      <c r="S406" s="10"/>
      <c r="T406" s="12">
        <v>400</v>
      </c>
      <c r="U406" s="13">
        <f t="shared" si="70"/>
        <v>0.12417676852167833</v>
      </c>
      <c r="V406" s="13">
        <f t="shared" si="71"/>
        <v>1.9273056241754778E-17</v>
      </c>
      <c r="W406" s="13">
        <f t="shared" si="76"/>
        <v>1.9273056241754778E-17</v>
      </c>
      <c r="X406" s="13">
        <v>0</v>
      </c>
      <c r="Y406" s="13">
        <v>0</v>
      </c>
      <c r="Z406" s="13">
        <v>0</v>
      </c>
      <c r="AA406" s="13">
        <f t="shared" si="77"/>
        <v>1.6663259749222223E-8</v>
      </c>
      <c r="AB406" s="13">
        <f t="shared" si="78"/>
        <v>653.05003884866608</v>
      </c>
      <c r="AC406" s="13">
        <f t="shared" si="72"/>
        <v>653.05003886532938</v>
      </c>
      <c r="AD406" s="13">
        <f t="shared" si="73"/>
        <v>1.1789926939852255E-8</v>
      </c>
      <c r="AE406" s="13">
        <f t="shared" si="68"/>
        <v>6.5306576700511323E-13</v>
      </c>
      <c r="AF406" s="13">
        <f t="shared" si="74"/>
        <v>1.1814706910911081E-12</v>
      </c>
      <c r="AG406" s="13">
        <f t="shared" si="75"/>
        <v>3.6393958953329247E-13</v>
      </c>
      <c r="AH406" s="10"/>
      <c r="AI406" s="13">
        <f t="shared" si="69"/>
        <v>3.9554707587313183E-19</v>
      </c>
      <c r="AJ406" s="10"/>
      <c r="AK406" s="10"/>
      <c r="AL406" s="10"/>
      <c r="AM406" s="10"/>
      <c r="AN406" s="10"/>
    </row>
    <row r="407" spans="19:40">
      <c r="S407" s="10"/>
      <c r="T407" s="12">
        <v>401</v>
      </c>
      <c r="U407" s="13">
        <f t="shared" si="70"/>
        <v>0.12423017054346963</v>
      </c>
      <c r="V407" s="13">
        <f t="shared" si="71"/>
        <v>1.6875381586708208E-17</v>
      </c>
      <c r="W407" s="13">
        <f t="shared" si="76"/>
        <v>1.6875381586708208E-17</v>
      </c>
      <c r="X407" s="13">
        <v>0</v>
      </c>
      <c r="Y407" s="13">
        <v>0</v>
      </c>
      <c r="Z407" s="13">
        <v>0</v>
      </c>
      <c r="AA407" s="13">
        <f t="shared" si="77"/>
        <v>1.5614177122504178E-8</v>
      </c>
      <c r="AB407" s="13">
        <f t="shared" si="78"/>
        <v>653.05003884971518</v>
      </c>
      <c r="AC407" s="13">
        <f t="shared" si="72"/>
        <v>653.05003886532938</v>
      </c>
      <c r="AD407" s="13">
        <f t="shared" si="73"/>
        <v>1.1015103005824966E-8</v>
      </c>
      <c r="AE407" s="13">
        <f t="shared" si="68"/>
        <v>6.101468424051292E-13</v>
      </c>
      <c r="AF407" s="13">
        <f t="shared" si="74"/>
        <v>1.1070878634365012E-12</v>
      </c>
      <c r="AG407" s="13">
        <f t="shared" si="75"/>
        <v>3.4002179043921952E-13</v>
      </c>
      <c r="AH407" s="10"/>
      <c r="AI407" s="13">
        <f t="shared" si="69"/>
        <v>3.4934722098472465E-19</v>
      </c>
      <c r="AJ407" s="10"/>
      <c r="AK407" s="10"/>
      <c r="AL407" s="10"/>
      <c r="AM407" s="10"/>
      <c r="AN407" s="10"/>
    </row>
    <row r="408" spans="19:40">
      <c r="S408" s="10"/>
      <c r="T408" s="12">
        <v>402</v>
      </c>
      <c r="U408" s="13">
        <f t="shared" si="70"/>
        <v>0.1242834624385611</v>
      </c>
      <c r="V408" s="13">
        <f t="shared" si="71"/>
        <v>1.4775091581718719E-17</v>
      </c>
      <c r="W408" s="13">
        <f t="shared" si="76"/>
        <v>1.4775091581718719E-17</v>
      </c>
      <c r="X408" s="13">
        <v>0</v>
      </c>
      <c r="Y408" s="13">
        <v>0</v>
      </c>
      <c r="Z408" s="13">
        <v>0</v>
      </c>
      <c r="AA408" s="13">
        <f t="shared" si="77"/>
        <v>1.4631142458298179E-8</v>
      </c>
      <c r="AB408" s="13">
        <f t="shared" si="78"/>
        <v>653.05003885069823</v>
      </c>
      <c r="AC408" s="13">
        <f t="shared" si="72"/>
        <v>653.05003886532938</v>
      </c>
      <c r="AD408" s="13">
        <f t="shared" si="73"/>
        <v>1.0291199839391535E-8</v>
      </c>
      <c r="AE408" s="13">
        <f t="shared" si="68"/>
        <v>5.7004851288146459E-13</v>
      </c>
      <c r="AF408" s="13">
        <f t="shared" si="74"/>
        <v>1.0373880169919746E-12</v>
      </c>
      <c r="AG408" s="13">
        <f t="shared" si="75"/>
        <v>3.1767584867985149E-13</v>
      </c>
      <c r="AH408" s="10"/>
      <c r="AI408" s="13">
        <f t="shared" si="69"/>
        <v>3.0852704465234679E-19</v>
      </c>
      <c r="AJ408" s="10"/>
      <c r="AK408" s="10"/>
      <c r="AL408" s="10"/>
      <c r="AM408" s="10"/>
      <c r="AN408" s="10"/>
    </row>
    <row r="409" spans="19:40">
      <c r="S409" s="10"/>
      <c r="T409" s="12">
        <v>403</v>
      </c>
      <c r="U409" s="13">
        <f t="shared" si="70"/>
        <v>0.12433664470715969</v>
      </c>
      <c r="V409" s="13">
        <f t="shared" si="71"/>
        <v>1.2935415410266438E-17</v>
      </c>
      <c r="W409" s="13">
        <f t="shared" si="76"/>
        <v>1.2935415410266438E-17</v>
      </c>
      <c r="X409" s="13">
        <v>0</v>
      </c>
      <c r="Y409" s="13">
        <v>0</v>
      </c>
      <c r="Z409" s="13">
        <v>0</v>
      </c>
      <c r="AA409" s="13">
        <f t="shared" si="77"/>
        <v>1.370999752042531E-8</v>
      </c>
      <c r="AB409" s="13">
        <f t="shared" si="78"/>
        <v>653.05003885161932</v>
      </c>
      <c r="AC409" s="13">
        <f t="shared" si="72"/>
        <v>653.05003886532927</v>
      </c>
      <c r="AD409" s="13">
        <f t="shared" si="73"/>
        <v>9.6148709711594288E-9</v>
      </c>
      <c r="AE409" s="13">
        <f t="shared" si="68"/>
        <v>5.325854113345701E-13</v>
      </c>
      <c r="AF409" s="13">
        <f t="shared" si="74"/>
        <v>9.7207632143606783E-13</v>
      </c>
      <c r="AG409" s="13">
        <f t="shared" si="75"/>
        <v>2.9679846313335901E-13</v>
      </c>
      <c r="AH409" s="10"/>
      <c r="AI409" s="13">
        <f t="shared" si="69"/>
        <v>2.7246207819031955E-19</v>
      </c>
      <c r="AJ409" s="10"/>
      <c r="AK409" s="10"/>
      <c r="AL409" s="10"/>
      <c r="AM409" s="10"/>
      <c r="AN409" s="10"/>
    </row>
    <row r="410" spans="19:40">
      <c r="S410" s="10"/>
      <c r="T410" s="12">
        <v>404</v>
      </c>
      <c r="U410" s="13">
        <f t="shared" si="70"/>
        <v>0.12438971784596606</v>
      </c>
      <c r="V410" s="13">
        <f t="shared" si="71"/>
        <v>1.1324114471245508E-17</v>
      </c>
      <c r="W410" s="13">
        <f t="shared" si="76"/>
        <v>1.1324114471245508E-17</v>
      </c>
      <c r="X410" s="13">
        <v>0</v>
      </c>
      <c r="Y410" s="13">
        <v>0</v>
      </c>
      <c r="Z410" s="13">
        <v>0</v>
      </c>
      <c r="AA410" s="13">
        <f t="shared" si="77"/>
        <v>1.2846845866217255E-8</v>
      </c>
      <c r="AB410" s="13">
        <f t="shared" si="78"/>
        <v>653.05003885248243</v>
      </c>
      <c r="AC410" s="13">
        <f t="shared" si="72"/>
        <v>653.05003886532927</v>
      </c>
      <c r="AD410" s="13">
        <f t="shared" si="73"/>
        <v>8.9829898588500428E-9</v>
      </c>
      <c r="AE410" s="13">
        <f t="shared" si="68"/>
        <v>4.9758435283232455E-13</v>
      </c>
      <c r="AF410" s="13">
        <f t="shared" si="74"/>
        <v>9.1087650832368955E-13</v>
      </c>
      <c r="AG410" s="13">
        <f t="shared" si="75"/>
        <v>2.7729312153941706E-13</v>
      </c>
      <c r="AH410" s="10"/>
      <c r="AI410" s="13">
        <f t="shared" si="69"/>
        <v>2.4060010777059204E-19</v>
      </c>
      <c r="AJ410" s="10"/>
      <c r="AK410" s="10"/>
      <c r="AL410" s="10"/>
      <c r="AM410" s="10"/>
      <c r="AN410" s="10"/>
    </row>
    <row r="411" spans="19:40">
      <c r="S411" s="10"/>
      <c r="T411" s="12">
        <v>405</v>
      </c>
      <c r="U411" s="13">
        <f t="shared" si="70"/>
        <v>0.12444268234820771</v>
      </c>
      <c r="V411" s="13">
        <f t="shared" si="71"/>
        <v>9.9129255720131026E-18</v>
      </c>
      <c r="W411" s="13">
        <f t="shared" si="76"/>
        <v>9.9129255720131026E-18</v>
      </c>
      <c r="X411" s="13">
        <v>0</v>
      </c>
      <c r="Y411" s="13">
        <v>0</v>
      </c>
      <c r="Z411" s="13">
        <v>0</v>
      </c>
      <c r="AA411" s="13">
        <f t="shared" si="77"/>
        <v>1.2038036364566216E-8</v>
      </c>
      <c r="AB411" s="13">
        <f t="shared" si="78"/>
        <v>653.0500388532912</v>
      </c>
      <c r="AC411" s="13">
        <f t="shared" si="72"/>
        <v>653.05003886532927</v>
      </c>
      <c r="AD411" s="13">
        <f t="shared" si="73"/>
        <v>8.3926354338762331E-9</v>
      </c>
      <c r="AE411" s="13">
        <f t="shared" si="68"/>
        <v>4.6488353400840364E-13</v>
      </c>
      <c r="AF411" s="13">
        <f t="shared" si="74"/>
        <v>8.5352970247071925E-13</v>
      </c>
      <c r="AG411" s="13">
        <f t="shared" si="75"/>
        <v>2.5906965434102687E-13</v>
      </c>
      <c r="AH411" s="10"/>
      <c r="AI411" s="13">
        <f t="shared" si="69"/>
        <v>2.124528417022677E-19</v>
      </c>
      <c r="AJ411" s="10"/>
      <c r="AK411" s="10"/>
      <c r="AL411" s="10"/>
      <c r="AM411" s="10"/>
      <c r="AN411" s="10"/>
    </row>
    <row r="412" spans="19:40">
      <c r="S412" s="10"/>
      <c r="T412" s="12">
        <v>406</v>
      </c>
      <c r="U412" s="13">
        <f t="shared" si="70"/>
        <v>0.12449553870367189</v>
      </c>
      <c r="V412" s="13">
        <f t="shared" si="71"/>
        <v>8.6770723000107876E-18</v>
      </c>
      <c r="W412" s="13">
        <f t="shared" si="76"/>
        <v>8.6770723000107876E-18</v>
      </c>
      <c r="X412" s="13">
        <v>0</v>
      </c>
      <c r="Y412" s="13">
        <v>0</v>
      </c>
      <c r="Z412" s="13">
        <v>0</v>
      </c>
      <c r="AA412" s="13">
        <f t="shared" si="77"/>
        <v>1.1280147751642556E-8</v>
      </c>
      <c r="AB412" s="13">
        <f t="shared" si="78"/>
        <v>653.05003885404903</v>
      </c>
      <c r="AC412" s="13">
        <f t="shared" si="72"/>
        <v>653.05003886532916</v>
      </c>
      <c r="AD412" s="13">
        <f t="shared" si="73"/>
        <v>7.8410785977864688E-9</v>
      </c>
      <c r="AE412" s="13">
        <f t="shared" si="68"/>
        <v>4.3433178507550333E-13</v>
      </c>
      <c r="AF412" s="13">
        <f t="shared" si="74"/>
        <v>7.9979332691209884E-13</v>
      </c>
      <c r="AG412" s="13">
        <f t="shared" si="75"/>
        <v>2.4204381784747091E-13</v>
      </c>
      <c r="AH412" s="10"/>
      <c r="AI412" s="13">
        <f t="shared" si="69"/>
        <v>1.8758853540992411E-19</v>
      </c>
      <c r="AJ412" s="10"/>
      <c r="AK412" s="10"/>
      <c r="AL412" s="10"/>
      <c r="AM412" s="10"/>
      <c r="AN412" s="10"/>
    </row>
    <row r="413" spans="19:40">
      <c r="S413" s="10"/>
      <c r="T413" s="12">
        <v>407</v>
      </c>
      <c r="U413" s="13">
        <f t="shared" si="70"/>
        <v>0.12454828739873781</v>
      </c>
      <c r="V413" s="13">
        <f t="shared" si="71"/>
        <v>7.5948362533959879E-18</v>
      </c>
      <c r="W413" s="13">
        <f t="shared" si="76"/>
        <v>7.5948362533959879E-18</v>
      </c>
      <c r="X413" s="13">
        <v>0</v>
      </c>
      <c r="Y413" s="13">
        <v>0</v>
      </c>
      <c r="Z413" s="13">
        <v>0</v>
      </c>
      <c r="AA413" s="13">
        <f t="shared" si="77"/>
        <v>1.0569974158950831E-8</v>
      </c>
      <c r="AB413" s="13">
        <f t="shared" si="78"/>
        <v>653.05003885475924</v>
      </c>
      <c r="AC413" s="13">
        <f t="shared" si="72"/>
        <v>653.05003886532916</v>
      </c>
      <c r="AD413" s="13">
        <f t="shared" si="73"/>
        <v>7.3257696061511515E-9</v>
      </c>
      <c r="AE413" s="13">
        <f t="shared" si="68"/>
        <v>4.0578787099561524E-13</v>
      </c>
      <c r="AF413" s="13">
        <f t="shared" si="74"/>
        <v>7.4944007680137857E-13</v>
      </c>
      <c r="AG413" s="13">
        <f t="shared" si="75"/>
        <v>2.2613690479144303E-13</v>
      </c>
      <c r="AH413" s="10"/>
      <c r="AI413" s="13">
        <f t="shared" si="69"/>
        <v>1.6562546442542698E-19</v>
      </c>
      <c r="AJ413" s="10"/>
      <c r="AK413" s="10"/>
      <c r="AL413" s="10"/>
      <c r="AM413" s="10"/>
      <c r="AN413" s="10"/>
    </row>
    <row r="414" spans="19:40">
      <c r="S414" s="10"/>
      <c r="T414" s="12">
        <v>408</v>
      </c>
      <c r="U414" s="13">
        <f t="shared" si="70"/>
        <v>0.124600928916409</v>
      </c>
      <c r="V414" s="13">
        <f t="shared" si="71"/>
        <v>6.6471808227478075E-18</v>
      </c>
      <c r="W414" s="13">
        <f t="shared" si="76"/>
        <v>6.6471808227478075E-18</v>
      </c>
      <c r="X414" s="13">
        <v>0</v>
      </c>
      <c r="Y414" s="13">
        <v>0</v>
      </c>
      <c r="Z414" s="13">
        <v>0</v>
      </c>
      <c r="AA414" s="13">
        <f t="shared" si="77"/>
        <v>9.9045115525079147E-9</v>
      </c>
      <c r="AB414" s="13">
        <f t="shared" si="78"/>
        <v>653.05003885542465</v>
      </c>
      <c r="AC414" s="13">
        <f t="shared" si="72"/>
        <v>653.05003886532916</v>
      </c>
      <c r="AD414" s="13">
        <f t="shared" si="73"/>
        <v>6.8443262815692279E-9</v>
      </c>
      <c r="AE414" s="13">
        <f t="shared" si="68"/>
        <v>3.7911983857679181E-13</v>
      </c>
      <c r="AF414" s="13">
        <f t="shared" si="74"/>
        <v>7.022569579113194E-13</v>
      </c>
      <c r="AG414" s="13">
        <f t="shared" si="75"/>
        <v>2.1127538048003139E-13</v>
      </c>
      <c r="AH414" s="10"/>
      <c r="AI414" s="13">
        <f t="shared" si="69"/>
        <v>1.4622614822411399E-19</v>
      </c>
      <c r="AJ414" s="10"/>
      <c r="AK414" s="10"/>
      <c r="AL414" s="10"/>
      <c r="AM414" s="10"/>
      <c r="AN414" s="10"/>
    </row>
    <row r="415" spans="19:40">
      <c r="S415" s="10"/>
      <c r="T415" s="12">
        <v>409</v>
      </c>
      <c r="U415" s="13">
        <f t="shared" si="70"/>
        <v>0.12465346373634449</v>
      </c>
      <c r="V415" s="13">
        <f t="shared" si="71"/>
        <v>5.817421104974119E-18</v>
      </c>
      <c r="W415" s="13">
        <f t="shared" si="76"/>
        <v>5.817421104974119E-18</v>
      </c>
      <c r="X415" s="13">
        <v>0</v>
      </c>
      <c r="Y415" s="13">
        <v>0</v>
      </c>
      <c r="Z415" s="13">
        <v>0</v>
      </c>
      <c r="AA415" s="13">
        <f t="shared" si="77"/>
        <v>9.280945025780966E-9</v>
      </c>
      <c r="AB415" s="13">
        <f t="shared" si="78"/>
        <v>653.05003885604822</v>
      </c>
      <c r="AC415" s="13">
        <f t="shared" si="72"/>
        <v>653.05003886532916</v>
      </c>
      <c r="AD415" s="13">
        <f t="shared" si="73"/>
        <v>6.3945230013059359E-9</v>
      </c>
      <c r="AE415" s="13">
        <f t="shared" si="68"/>
        <v>3.542044064781552E-13</v>
      </c>
      <c r="AF415" s="13">
        <f t="shared" si="74"/>
        <v>6.5804438566840634E-13</v>
      </c>
      <c r="AG415" s="13">
        <f t="shared" si="75"/>
        <v>1.9739054285754691E-13</v>
      </c>
      <c r="AH415" s="10"/>
      <c r="AI415" s="13">
        <f t="shared" si="69"/>
        <v>1.2909223883102723E-19</v>
      </c>
      <c r="AJ415" s="10"/>
      <c r="AK415" s="10"/>
      <c r="AL415" s="10"/>
      <c r="AM415" s="10"/>
      <c r="AN415" s="10"/>
    </row>
    <row r="416" spans="19:40">
      <c r="S416" s="10"/>
      <c r="T416" s="12">
        <v>410</v>
      </c>
      <c r="U416" s="13">
        <f t="shared" si="70"/>
        <v>0.12470589233489045</v>
      </c>
      <c r="V416" s="13">
        <f t="shared" si="71"/>
        <v>5.0909343118394344E-18</v>
      </c>
      <c r="W416" s="13">
        <f t="shared" si="76"/>
        <v>5.0909343118394344E-18</v>
      </c>
      <c r="X416" s="13">
        <v>0</v>
      </c>
      <c r="Y416" s="13">
        <v>0</v>
      </c>
      <c r="Z416" s="13">
        <v>0</v>
      </c>
      <c r="AA416" s="13">
        <f t="shared" si="77"/>
        <v>8.6966368926343786E-9</v>
      </c>
      <c r="AB416" s="13">
        <f t="shared" si="78"/>
        <v>653.05003885663257</v>
      </c>
      <c r="AC416" s="13">
        <f t="shared" si="72"/>
        <v>653.05003886532916</v>
      </c>
      <c r="AD416" s="13">
        <f t="shared" si="73"/>
        <v>5.9742804086536446E-9</v>
      </c>
      <c r="AE416" s="13">
        <f t="shared" si="68"/>
        <v>3.3092639530325553E-13</v>
      </c>
      <c r="AF416" s="13">
        <f t="shared" si="74"/>
        <v>6.1661534091019252E-13</v>
      </c>
      <c r="AG416" s="13">
        <f t="shared" si="75"/>
        <v>1.8441820490873324E-13</v>
      </c>
      <c r="AH416" s="10"/>
      <c r="AI416" s="13">
        <f t="shared" si="69"/>
        <v>1.1395999795444805E-19</v>
      </c>
      <c r="AJ416" s="10"/>
      <c r="AK416" s="10"/>
      <c r="AL416" s="10"/>
      <c r="AM416" s="10"/>
      <c r="AN416" s="10"/>
    </row>
    <row r="417" spans="19:40">
      <c r="S417" s="10"/>
      <c r="T417" s="12">
        <v>411</v>
      </c>
      <c r="U417" s="13">
        <f t="shared" si="70"/>
        <v>0.12475821518511092</v>
      </c>
      <c r="V417" s="13">
        <f t="shared" si="71"/>
        <v>4.4549057220706778E-18</v>
      </c>
      <c r="W417" s="13">
        <f t="shared" si="76"/>
        <v>4.4549057220706778E-18</v>
      </c>
      <c r="X417" s="13">
        <v>0</v>
      </c>
      <c r="Y417" s="13">
        <v>0</v>
      </c>
      <c r="Z417" s="13">
        <v>0</v>
      </c>
      <c r="AA417" s="13">
        <f t="shared" si="77"/>
        <v>8.1491155299188608E-9</v>
      </c>
      <c r="AB417" s="13">
        <f t="shared" si="78"/>
        <v>653.05003885718008</v>
      </c>
      <c r="AC417" s="13">
        <f t="shared" si="72"/>
        <v>653.05003886532916</v>
      </c>
      <c r="AD417" s="13">
        <f t="shared" si="73"/>
        <v>5.5816558004532745E-9</v>
      </c>
      <c r="AE417" s="13">
        <f t="shared" si="68"/>
        <v>3.0917819514720375E-13</v>
      </c>
      <c r="AF417" s="13">
        <f t="shared" si="74"/>
        <v>5.7779457879432252E-13</v>
      </c>
      <c r="AG417" s="13">
        <f t="shared" si="75"/>
        <v>1.7229839793416551E-13</v>
      </c>
      <c r="AH417" s="10"/>
      <c r="AI417" s="13">
        <f t="shared" si="69"/>
        <v>1.0059629511726451E-19</v>
      </c>
      <c r="AJ417" s="10"/>
      <c r="AK417" s="10"/>
      <c r="AL417" s="10"/>
      <c r="AM417" s="10"/>
      <c r="AN417" s="10"/>
    </row>
    <row r="418" spans="19:40">
      <c r="S418" s="10"/>
      <c r="T418" s="12">
        <v>412</v>
      </c>
      <c r="U418" s="13">
        <f t="shared" si="70"/>
        <v>0.12481043275681848</v>
      </c>
      <c r="V418" s="13">
        <f t="shared" si="71"/>
        <v>3.8981058292297611E-18</v>
      </c>
      <c r="W418" s="13">
        <f t="shared" si="76"/>
        <v>3.8981058292297611E-18</v>
      </c>
      <c r="X418" s="13">
        <v>0</v>
      </c>
      <c r="Y418" s="13">
        <v>0</v>
      </c>
      <c r="Z418" s="13">
        <v>0</v>
      </c>
      <c r="AA418" s="13">
        <f t="shared" si="77"/>
        <v>7.636064922506862E-9</v>
      </c>
      <c r="AB418" s="13">
        <f t="shared" si="78"/>
        <v>653.05003885769315</v>
      </c>
      <c r="AC418" s="13">
        <f t="shared" si="72"/>
        <v>653.05003886532927</v>
      </c>
      <c r="AD418" s="13">
        <f t="shared" si="73"/>
        <v>5.2148341463396356E-9</v>
      </c>
      <c r="AE418" s="13">
        <f t="shared" si="68"/>
        <v>2.8885926813615517E-13</v>
      </c>
      <c r="AF418" s="13">
        <f t="shared" si="74"/>
        <v>5.4141788751292654E-13</v>
      </c>
      <c r="AG418" s="13">
        <f t="shared" si="75"/>
        <v>1.6097509432613655E-13</v>
      </c>
      <c r="AH418" s="10"/>
      <c r="AI418" s="13">
        <f t="shared" si="69"/>
        <v>8.8795066977741261E-20</v>
      </c>
      <c r="AJ418" s="10"/>
      <c r="AK418" s="10"/>
      <c r="AL418" s="10"/>
      <c r="AM418" s="10"/>
      <c r="AN418" s="10"/>
    </row>
    <row r="419" spans="19:40">
      <c r="S419" s="10"/>
      <c r="T419" s="12">
        <v>413</v>
      </c>
      <c r="U419" s="13">
        <f t="shared" si="70"/>
        <v>0.12486254551660418</v>
      </c>
      <c r="V419" s="13">
        <f t="shared" si="71"/>
        <v>3.4106948675390913E-18</v>
      </c>
      <c r="W419" s="13">
        <f t="shared" si="76"/>
        <v>3.4106948675390913E-18</v>
      </c>
      <c r="X419" s="13">
        <v>0</v>
      </c>
      <c r="Y419" s="13">
        <v>0</v>
      </c>
      <c r="Z419" s="13">
        <v>0</v>
      </c>
      <c r="AA419" s="13">
        <f t="shared" si="77"/>
        <v>7.1553148665498067E-9</v>
      </c>
      <c r="AB419" s="13">
        <f t="shared" si="78"/>
        <v>653.05003885817393</v>
      </c>
      <c r="AC419" s="13">
        <f t="shared" si="72"/>
        <v>653.05003886532927</v>
      </c>
      <c r="AD419" s="13">
        <f t="shared" si="73"/>
        <v>4.8721196981943067E-9</v>
      </c>
      <c r="AE419" s="13">
        <f t="shared" si="68"/>
        <v>2.6987568365947109E-13</v>
      </c>
      <c r="AF419" s="13">
        <f t="shared" si="74"/>
        <v>5.0733139367674596E-13</v>
      </c>
      <c r="AG419" s="13">
        <f t="shared" si="75"/>
        <v>1.5039594856347566E-13</v>
      </c>
      <c r="AH419" s="10"/>
      <c r="AI419" s="13">
        <f t="shared" si="69"/>
        <v>7.8374184872715356E-20</v>
      </c>
      <c r="AJ419" s="10"/>
      <c r="AK419" s="10"/>
      <c r="AL419" s="10"/>
      <c r="AM419" s="10"/>
      <c r="AN419" s="10"/>
    </row>
    <row r="420" spans="19:40">
      <c r="S420" s="10"/>
      <c r="T420" s="12">
        <v>414</v>
      </c>
      <c r="U420" s="13">
        <f t="shared" si="70"/>
        <v>0.12491455392786756</v>
      </c>
      <c r="V420" s="13">
        <f t="shared" si="71"/>
        <v>2.9840513634668954E-18</v>
      </c>
      <c r="W420" s="13">
        <f t="shared" si="76"/>
        <v>2.9840513634668954E-18</v>
      </c>
      <c r="X420" s="13">
        <v>0</v>
      </c>
      <c r="Y420" s="13">
        <v>0</v>
      </c>
      <c r="Z420" s="13">
        <v>0</v>
      </c>
      <c r="AA420" s="13">
        <f t="shared" si="77"/>
        <v>6.7048317895169503E-9</v>
      </c>
      <c r="AB420" s="13">
        <f t="shared" si="78"/>
        <v>653.05003885862436</v>
      </c>
      <c r="AC420" s="13">
        <f t="shared" si="72"/>
        <v>653.05003886532916</v>
      </c>
      <c r="AD420" s="13">
        <f t="shared" si="73"/>
        <v>4.5519281510181181E-9</v>
      </c>
      <c r="AE420" s="13">
        <f t="shared" si="68"/>
        <v>2.5213968414602404E-13</v>
      </c>
      <c r="AF420" s="13">
        <f t="shared" si="74"/>
        <v>4.753909114307611E-13</v>
      </c>
      <c r="AG420" s="13">
        <f t="shared" si="75"/>
        <v>1.4051205522796577E-13</v>
      </c>
      <c r="AH420" s="10"/>
      <c r="AI420" s="13">
        <f t="shared" si="69"/>
        <v>6.9172683677881087E-20</v>
      </c>
      <c r="AJ420" s="10"/>
      <c r="AK420" s="10"/>
      <c r="AL420" s="10"/>
      <c r="AM420" s="10"/>
      <c r="AN420" s="10"/>
    </row>
    <row r="421" spans="19:40">
      <c r="S421" s="10"/>
      <c r="T421" s="12">
        <v>415</v>
      </c>
      <c r="U421" s="13">
        <f t="shared" si="70"/>
        <v>0.12496645845084622</v>
      </c>
      <c r="V421" s="13">
        <f t="shared" si="71"/>
        <v>2.6106217699145E-18</v>
      </c>
      <c r="W421" s="13">
        <f t="shared" si="76"/>
        <v>2.6106217699145E-18</v>
      </c>
      <c r="X421" s="13">
        <v>0</v>
      </c>
      <c r="Y421" s="13">
        <v>0</v>
      </c>
      <c r="Z421" s="13">
        <v>0</v>
      </c>
      <c r="AA421" s="13">
        <f t="shared" si="77"/>
        <v>6.2827101481846233E-9</v>
      </c>
      <c r="AB421" s="13">
        <f t="shared" si="78"/>
        <v>653.05003885904648</v>
      </c>
      <c r="AC421" s="13">
        <f t="shared" si="72"/>
        <v>653.05003886532916</v>
      </c>
      <c r="AD421" s="13">
        <f t="shared" si="73"/>
        <v>4.252779318984418E-9</v>
      </c>
      <c r="AE421" s="13">
        <f t="shared" si="68"/>
        <v>2.3556927937731617E-13</v>
      </c>
      <c r="AF421" s="13">
        <f t="shared" si="74"/>
        <v>4.4546133254808904E-13</v>
      </c>
      <c r="AG421" s="13">
        <f t="shared" si="75"/>
        <v>1.3127772292371524E-13</v>
      </c>
      <c r="AH421" s="10"/>
      <c r="AI421" s="13">
        <f t="shared" si="69"/>
        <v>6.1048310450456635E-20</v>
      </c>
      <c r="AJ421" s="10"/>
      <c r="AK421" s="10"/>
      <c r="AL421" s="10"/>
      <c r="AM421" s="10"/>
      <c r="AN421" s="10"/>
    </row>
    <row r="422" spans="19:40">
      <c r="S422" s="10"/>
      <c r="T422" s="12">
        <v>416</v>
      </c>
      <c r="U422" s="13">
        <f t="shared" si="70"/>
        <v>0.1250182595426447</v>
      </c>
      <c r="V422" s="13">
        <f t="shared" si="71"/>
        <v>2.2837885991489389E-18</v>
      </c>
      <c r="W422" s="13">
        <f t="shared" si="76"/>
        <v>2.2837885991489389E-18</v>
      </c>
      <c r="X422" s="13">
        <v>0</v>
      </c>
      <c r="Y422" s="13">
        <v>0</v>
      </c>
      <c r="Z422" s="13">
        <v>0</v>
      </c>
      <c r="AA422" s="13">
        <f t="shared" si="77"/>
        <v>5.8871643681893587E-9</v>
      </c>
      <c r="AB422" s="13">
        <f t="shared" si="78"/>
        <v>653.050038859442</v>
      </c>
      <c r="AC422" s="13">
        <f t="shared" si="72"/>
        <v>653.05003886532916</v>
      </c>
      <c r="AD422" s="13">
        <f t="shared" si="73"/>
        <v>3.9732902928158703E-9</v>
      </c>
      <c r="AE422" s="13">
        <f t="shared" si="68"/>
        <v>2.2008786746199028E-13</v>
      </c>
      <c r="AF422" s="13">
        <f t="shared" si="74"/>
        <v>4.1741605492223981E-13</v>
      </c>
      <c r="AG422" s="13">
        <f t="shared" si="75"/>
        <v>1.2265026305435552E-13</v>
      </c>
      <c r="AH422" s="10"/>
      <c r="AI422" s="13">
        <f t="shared" si="69"/>
        <v>5.3875356077406945E-20</v>
      </c>
      <c r="AJ422" s="10"/>
      <c r="AK422" s="10"/>
      <c r="AL422" s="10"/>
      <c r="AM422" s="10"/>
      <c r="AN422" s="10"/>
    </row>
    <row r="423" spans="19:40">
      <c r="S423" s="10"/>
      <c r="T423" s="12">
        <v>417</v>
      </c>
      <c r="U423" s="13">
        <f t="shared" si="70"/>
        <v>0.12506995765726345</v>
      </c>
      <c r="V423" s="13">
        <f t="shared" si="71"/>
        <v>1.9977547862165368E-18</v>
      </c>
      <c r="W423" s="13">
        <f t="shared" si="76"/>
        <v>1.9977547862165368E-18</v>
      </c>
      <c r="X423" s="13">
        <v>0</v>
      </c>
      <c r="Y423" s="13">
        <v>0</v>
      </c>
      <c r="Z423" s="13">
        <v>0</v>
      </c>
      <c r="AA423" s="13">
        <f t="shared" si="77"/>
        <v>5.5165212910492294E-9</v>
      </c>
      <c r="AB423" s="13">
        <f t="shared" si="78"/>
        <v>653.05003885981262</v>
      </c>
      <c r="AC423" s="13">
        <f t="shared" si="72"/>
        <v>653.05003886532916</v>
      </c>
      <c r="AD423" s="13">
        <f t="shared" si="73"/>
        <v>3.7121690468526246E-9</v>
      </c>
      <c r="AE423" s="13">
        <f t="shared" si="68"/>
        <v>2.0562388071957296E-13</v>
      </c>
      <c r="AF423" s="13">
        <f t="shared" si="74"/>
        <v>3.9113644704026165E-13</v>
      </c>
      <c r="AG423" s="13">
        <f t="shared" si="75"/>
        <v>1.1458979248162079E-13</v>
      </c>
      <c r="AH423" s="10"/>
      <c r="AI423" s="13">
        <f t="shared" si="69"/>
        <v>4.7542737367015397E-20</v>
      </c>
      <c r="AJ423" s="10"/>
      <c r="AK423" s="10"/>
      <c r="AL423" s="10"/>
      <c r="AM423" s="10"/>
      <c r="AN423" s="10"/>
    </row>
    <row r="424" spans="19:40">
      <c r="S424" s="10"/>
      <c r="T424" s="12">
        <v>418</v>
      </c>
      <c r="U424" s="13">
        <f t="shared" si="70"/>
        <v>0.12512155324562718</v>
      </c>
      <c r="V424" s="13">
        <f t="shared" si="71"/>
        <v>1.7474422917543806E-18</v>
      </c>
      <c r="W424" s="13">
        <f t="shared" si="76"/>
        <v>1.7474422917543806E-18</v>
      </c>
      <c r="X424" s="13">
        <v>0</v>
      </c>
      <c r="Y424" s="13">
        <v>0</v>
      </c>
      <c r="Z424" s="13">
        <v>0</v>
      </c>
      <c r="AA424" s="13">
        <f t="shared" si="77"/>
        <v>5.169213096704299E-9</v>
      </c>
      <c r="AB424" s="13">
        <f t="shared" si="78"/>
        <v>653.05003886015993</v>
      </c>
      <c r="AC424" s="13">
        <f t="shared" si="72"/>
        <v>653.05003886532916</v>
      </c>
      <c r="AD424" s="13">
        <f t="shared" si="73"/>
        <v>3.4682084662585115E-9</v>
      </c>
      <c r="AE424" s="13">
        <f t="shared" si="68"/>
        <v>1.9211045483643571E-13</v>
      </c>
      <c r="AF424" s="13">
        <f t="shared" si="74"/>
        <v>3.6651134617149086E-13</v>
      </c>
      <c r="AG424" s="13">
        <f t="shared" si="75"/>
        <v>1.0705904915303739E-13</v>
      </c>
      <c r="AH424" s="10"/>
      <c r="AI424" s="13">
        <f t="shared" si="69"/>
        <v>4.1952300755262487E-20</v>
      </c>
      <c r="AJ424" s="10"/>
      <c r="AK424" s="10"/>
      <c r="AL424" s="10"/>
      <c r="AM424" s="10"/>
      <c r="AN424" s="10"/>
    </row>
    <row r="425" spans="19:40">
      <c r="S425" s="10"/>
      <c r="T425" s="12">
        <v>419</v>
      </c>
      <c r="U425" s="13">
        <f t="shared" si="70"/>
        <v>0.12517304675561322</v>
      </c>
      <c r="V425" s="13">
        <f t="shared" si="71"/>
        <v>1.5284031965449291E-18</v>
      </c>
      <c r="W425" s="13">
        <f t="shared" si="76"/>
        <v>1.5284031965449291E-18</v>
      </c>
      <c r="X425" s="13">
        <v>0</v>
      </c>
      <c r="Y425" s="13">
        <v>0</v>
      </c>
      <c r="Z425" s="13">
        <v>0</v>
      </c>
      <c r="AA425" s="13">
        <f t="shared" si="77"/>
        <v>4.8437706716385319E-9</v>
      </c>
      <c r="AB425" s="13">
        <f t="shared" si="78"/>
        <v>653.05003886048542</v>
      </c>
      <c r="AC425" s="13">
        <f t="shared" si="72"/>
        <v>653.05003886532916</v>
      </c>
      <c r="AD425" s="13">
        <f t="shared" si="73"/>
        <v>3.2402807667541505E-9</v>
      </c>
      <c r="AE425" s="13">
        <f t="shared" si="68"/>
        <v>1.7948511976454289E-13</v>
      </c>
      <c r="AF425" s="13">
        <f t="shared" si="74"/>
        <v>3.4343658814924838E-13</v>
      </c>
      <c r="AG425" s="13">
        <f t="shared" si="75"/>
        <v>1.0002321984640381E-13</v>
      </c>
      <c r="AH425" s="10"/>
      <c r="AI425" s="13">
        <f t="shared" si="69"/>
        <v>3.7017322105394258E-20</v>
      </c>
      <c r="AJ425" s="10"/>
      <c r="AK425" s="10"/>
      <c r="AL425" s="10"/>
      <c r="AM425" s="10"/>
      <c r="AN425" s="10"/>
    </row>
    <row r="426" spans="19:40">
      <c r="S426" s="10"/>
      <c r="T426" s="12">
        <v>420</v>
      </c>
      <c r="U426" s="13">
        <f t="shared" si="70"/>
        <v>0.12522443863207905</v>
      </c>
      <c r="V426" s="13">
        <f t="shared" si="71"/>
        <v>1.3367417539298229E-18</v>
      </c>
      <c r="W426" s="13">
        <f t="shared" si="76"/>
        <v>1.3367417539298229E-18</v>
      </c>
      <c r="X426" s="13">
        <v>0</v>
      </c>
      <c r="Y426" s="13">
        <v>0</v>
      </c>
      <c r="Z426" s="13">
        <v>0</v>
      </c>
      <c r="AA426" s="13">
        <f t="shared" si="77"/>
        <v>4.5388173945303276E-9</v>
      </c>
      <c r="AB426" s="13">
        <f t="shared" si="78"/>
        <v>653.05003886079032</v>
      </c>
      <c r="AC426" s="13">
        <f t="shared" si="72"/>
        <v>653.05003886532916</v>
      </c>
      <c r="AD426" s="13">
        <f t="shared" si="73"/>
        <v>3.027332281080448E-9</v>
      </c>
      <c r="AE426" s="13">
        <f t="shared" si="68"/>
        <v>1.6768951093407032E-13</v>
      </c>
      <c r="AF426" s="13">
        <f t="shared" si="74"/>
        <v>3.2181456675645886E-13</v>
      </c>
      <c r="AG426" s="13">
        <f t="shared" si="75"/>
        <v>9.3449779234756187E-14</v>
      </c>
      <c r="AH426" s="10"/>
      <c r="AI426" s="13">
        <f t="shared" si="69"/>
        <v>3.2661180007933271E-20</v>
      </c>
      <c r="AJ426" s="10"/>
      <c r="AK426" s="10"/>
      <c r="AL426" s="10"/>
      <c r="AM426" s="10"/>
      <c r="AN426" s="10"/>
    </row>
    <row r="427" spans="19:40">
      <c r="S427" s="10"/>
      <c r="T427" s="12">
        <v>421</v>
      </c>
      <c r="U427" s="13">
        <f t="shared" si="70"/>
        <v>0.12527572931688996</v>
      </c>
      <c r="V427" s="13">
        <f t="shared" si="71"/>
        <v>1.1690460539124968E-18</v>
      </c>
      <c r="W427" s="13">
        <f t="shared" si="76"/>
        <v>1.1690460539124968E-18</v>
      </c>
      <c r="X427" s="13">
        <v>0</v>
      </c>
      <c r="Y427" s="13">
        <v>0</v>
      </c>
      <c r="Z427" s="13">
        <v>0</v>
      </c>
      <c r="AA427" s="13">
        <f t="shared" si="77"/>
        <v>4.2530633131449914E-9</v>
      </c>
      <c r="AB427" s="13">
        <f t="shared" si="78"/>
        <v>653.05003886107613</v>
      </c>
      <c r="AC427" s="13">
        <f t="shared" si="72"/>
        <v>653.05003886532916</v>
      </c>
      <c r="AD427" s="13">
        <f t="shared" si="73"/>
        <v>2.8283785880912615E-9</v>
      </c>
      <c r="AE427" s="13">
        <f t="shared" si="68"/>
        <v>1.5666909944488397E-13</v>
      </c>
      <c r="AF427" s="13">
        <f t="shared" si="74"/>
        <v>3.0155382085139347E-13</v>
      </c>
      <c r="AG427" s="13">
        <f t="shared" si="75"/>
        <v>8.730833952784729E-14</v>
      </c>
      <c r="AH427" s="10"/>
      <c r="AI427" s="13">
        <f t="shared" si="69"/>
        <v>2.8816182582574217E-20</v>
      </c>
      <c r="AJ427" s="10"/>
      <c r="AK427" s="10"/>
      <c r="AL427" s="10"/>
      <c r="AM427" s="10"/>
      <c r="AN427" s="10"/>
    </row>
    <row r="428" spans="19:40">
      <c r="S428" s="10"/>
      <c r="T428" s="12">
        <v>422</v>
      </c>
      <c r="U428" s="13">
        <f t="shared" si="70"/>
        <v>0.12532691924894626</v>
      </c>
      <c r="V428" s="13">
        <f t="shared" si="71"/>
        <v>1.0223281176003378E-18</v>
      </c>
      <c r="W428" s="13">
        <f t="shared" si="76"/>
        <v>1.0223281176003378E-18</v>
      </c>
      <c r="X428" s="13">
        <v>0</v>
      </c>
      <c r="Y428" s="13">
        <v>0</v>
      </c>
      <c r="Z428" s="13">
        <v>0</v>
      </c>
      <c r="AA428" s="13">
        <f t="shared" si="77"/>
        <v>3.9852996878373888E-9</v>
      </c>
      <c r="AB428" s="13">
        <f t="shared" si="78"/>
        <v>653.05003886134386</v>
      </c>
      <c r="AC428" s="13">
        <f t="shared" si="72"/>
        <v>653.05003886532916</v>
      </c>
      <c r="AD428" s="13">
        <f t="shared" si="73"/>
        <v>2.6424999619579458E-9</v>
      </c>
      <c r="AE428" s="13">
        <f t="shared" si="68"/>
        <v>1.4637293998960353E-13</v>
      </c>
      <c r="AF428" s="13">
        <f t="shared" si="74"/>
        <v>2.8256864748707872E-13</v>
      </c>
      <c r="AG428" s="13">
        <f t="shared" si="75"/>
        <v>8.157050999505866E-14</v>
      </c>
      <c r="AH428" s="10"/>
      <c r="AI428" s="13">
        <f t="shared" si="69"/>
        <v>2.5422530080484858E-20</v>
      </c>
      <c r="AJ428" s="10"/>
      <c r="AK428" s="10"/>
      <c r="AL428" s="10"/>
      <c r="AM428" s="10"/>
      <c r="AN428" s="10"/>
    </row>
    <row r="429" spans="19:40">
      <c r="S429" s="10"/>
      <c r="T429" s="12">
        <v>423</v>
      </c>
      <c r="U429" s="13">
        <f t="shared" si="70"/>
        <v>0.12537800886421002</v>
      </c>
      <c r="V429" s="13">
        <f t="shared" si="71"/>
        <v>8.9397138534773071E-19</v>
      </c>
      <c r="W429" s="13">
        <f t="shared" si="76"/>
        <v>8.9397138534773071E-19</v>
      </c>
      <c r="X429" s="13">
        <v>0</v>
      </c>
      <c r="Y429" s="13">
        <v>0</v>
      </c>
      <c r="Z429" s="13">
        <v>0</v>
      </c>
      <c r="AA429" s="13">
        <f t="shared" si="77"/>
        <v>3.7343938785838112E-9</v>
      </c>
      <c r="AB429" s="13">
        <f t="shared" si="78"/>
        <v>653.05003886159477</v>
      </c>
      <c r="AC429" s="13">
        <f t="shared" si="72"/>
        <v>653.05003886532916</v>
      </c>
      <c r="AD429" s="13">
        <f t="shared" si="73"/>
        <v>2.46883712044829E-9</v>
      </c>
      <c r="AE429" s="13">
        <f t="shared" si="68"/>
        <v>1.3675343534294744E-13</v>
      </c>
      <c r="AF429" s="13">
        <f t="shared" si="74"/>
        <v>2.6477873938786667E-13</v>
      </c>
      <c r="AG429" s="13">
        <f t="shared" si="75"/>
        <v>7.6209765720347107E-14</v>
      </c>
      <c r="AH429" s="10"/>
      <c r="AI429" s="13">
        <f t="shared" si="69"/>
        <v>2.2427397619949483E-20</v>
      </c>
      <c r="AJ429" s="10"/>
      <c r="AK429" s="10"/>
      <c r="AL429" s="10"/>
      <c r="AM429" s="10"/>
      <c r="AN429" s="10"/>
    </row>
    <row r="430" spans="19:40">
      <c r="S430" s="10"/>
      <c r="T430" s="12">
        <v>424</v>
      </c>
      <c r="U430" s="13">
        <f t="shared" si="70"/>
        <v>0.12542899859573167</v>
      </c>
      <c r="V430" s="13">
        <f t="shared" si="71"/>
        <v>7.8168468900645095E-19</v>
      </c>
      <c r="W430" s="13">
        <f t="shared" si="76"/>
        <v>7.8168468900645095E-19</v>
      </c>
      <c r="X430" s="13">
        <v>0</v>
      </c>
      <c r="Y430" s="13">
        <v>0</v>
      </c>
      <c r="Z430" s="13">
        <v>0</v>
      </c>
      <c r="AA430" s="13">
        <f t="shared" si="77"/>
        <v>3.4992845539152011E-9</v>
      </c>
      <c r="AB430" s="13">
        <f t="shared" si="78"/>
        <v>653.05003886182988</v>
      </c>
      <c r="AC430" s="13">
        <f t="shared" si="72"/>
        <v>653.05003886532916</v>
      </c>
      <c r="AD430" s="13">
        <f t="shared" si="73"/>
        <v>2.3065872526249414E-9</v>
      </c>
      <c r="AE430" s="13">
        <f t="shared" si="68"/>
        <v>1.2776611632863664E-13</v>
      </c>
      <c r="AF430" s="13">
        <f t="shared" si="74"/>
        <v>2.4810884524969241E-13</v>
      </c>
      <c r="AG430" s="13">
        <f t="shared" si="75"/>
        <v>7.120132498250411E-14</v>
      </c>
      <c r="AH430" s="10"/>
      <c r="AI430" s="13">
        <f t="shared" si="69"/>
        <v>1.9784124189551294E-20</v>
      </c>
      <c r="AJ430" s="10"/>
      <c r="AK430" s="10"/>
      <c r="AL430" s="10"/>
      <c r="AM430" s="10"/>
      <c r="AN430" s="10"/>
    </row>
    <row r="431" spans="19:40">
      <c r="S431" s="10"/>
      <c r="T431" s="12">
        <v>425</v>
      </c>
      <c r="U431" s="13">
        <f t="shared" si="70"/>
        <v>0.12547988887367639</v>
      </c>
      <c r="V431" s="13">
        <f t="shared" si="71"/>
        <v>6.8346191021838262E-19</v>
      </c>
      <c r="W431" s="13">
        <f t="shared" si="76"/>
        <v>6.8346191021838262E-19</v>
      </c>
      <c r="X431" s="13">
        <v>0</v>
      </c>
      <c r="Y431" s="13">
        <v>0</v>
      </c>
      <c r="Z431" s="13">
        <v>0</v>
      </c>
      <c r="AA431" s="13">
        <f t="shared" si="77"/>
        <v>3.2789772014855259E-9</v>
      </c>
      <c r="AB431" s="13">
        <f t="shared" si="78"/>
        <v>653.0500388620502</v>
      </c>
      <c r="AC431" s="13">
        <f t="shared" si="72"/>
        <v>653.05003886532916</v>
      </c>
      <c r="AD431" s="13">
        <f t="shared" si="73"/>
        <v>2.1550003076000943E-9</v>
      </c>
      <c r="AE431" s="13">
        <f t="shared" si="68"/>
        <v>1.1936943624668557E-13</v>
      </c>
      <c r="AF431" s="13">
        <f t="shared" si="74"/>
        <v>2.3248845142708923E-13</v>
      </c>
      <c r="AG431" s="13">
        <f t="shared" si="75"/>
        <v>6.652203469387972E-14</v>
      </c>
      <c r="AH431" s="10"/>
      <c r="AI431" s="13">
        <f t="shared" si="69"/>
        <v>1.7451495648074249E-20</v>
      </c>
      <c r="AJ431" s="10"/>
      <c r="AK431" s="10"/>
      <c r="AL431" s="10"/>
      <c r="AM431" s="10"/>
      <c r="AN431" s="10"/>
    </row>
    <row r="432" spans="19:40">
      <c r="S432" s="10"/>
      <c r="T432" s="12">
        <v>426</v>
      </c>
      <c r="U432" s="13">
        <f t="shared" si="70"/>
        <v>0.12553068012534985</v>
      </c>
      <c r="V432" s="13">
        <f t="shared" si="71"/>
        <v>5.9754662458587408E-19</v>
      </c>
      <c r="W432" s="13">
        <f t="shared" si="76"/>
        <v>5.9754662458587408E-19</v>
      </c>
      <c r="X432" s="13">
        <v>0</v>
      </c>
      <c r="Y432" s="13">
        <v>0</v>
      </c>
      <c r="Z432" s="13">
        <v>0</v>
      </c>
      <c r="AA432" s="13">
        <f t="shared" si="77"/>
        <v>3.0725399212850072E-9</v>
      </c>
      <c r="AB432" s="13">
        <f t="shared" si="78"/>
        <v>653.05003886225666</v>
      </c>
      <c r="AC432" s="13">
        <f t="shared" si="72"/>
        <v>653.05003886532916</v>
      </c>
      <c r="AD432" s="13">
        <f t="shared" si="73"/>
        <v>2.0133755271900634E-9</v>
      </c>
      <c r="AE432" s="13">
        <f t="shared" si="68"/>
        <v>1.1152457881075608E-13</v>
      </c>
      <c r="AF432" s="13">
        <f t="shared" si="74"/>
        <v>2.1785148366049758E-13</v>
      </c>
      <c r="AG432" s="13">
        <f t="shared" si="75"/>
        <v>6.2150263367975809E-14</v>
      </c>
      <c r="AH432" s="10"/>
      <c r="AI432" s="13">
        <f t="shared" si="69"/>
        <v>1.5393110862400378E-20</v>
      </c>
      <c r="AJ432" s="10"/>
      <c r="AK432" s="10"/>
      <c r="AL432" s="10"/>
      <c r="AM432" s="10"/>
      <c r="AN432" s="10"/>
    </row>
    <row r="433" spans="19:40">
      <c r="S433" s="10"/>
      <c r="T433" s="12">
        <v>427</v>
      </c>
      <c r="U433" s="13">
        <f t="shared" si="70"/>
        <v>0.12558137277522408</v>
      </c>
      <c r="V433" s="13">
        <f t="shared" si="71"/>
        <v>5.2240111748664649E-19</v>
      </c>
      <c r="W433" s="13">
        <f t="shared" si="76"/>
        <v>5.2240111748664649E-19</v>
      </c>
      <c r="X433" s="13">
        <v>0</v>
      </c>
      <c r="Y433" s="13">
        <v>0</v>
      </c>
      <c r="Z433" s="13">
        <v>0</v>
      </c>
      <c r="AA433" s="13">
        <f t="shared" si="77"/>
        <v>2.8790994837034996E-9</v>
      </c>
      <c r="AB433" s="13">
        <f t="shared" si="78"/>
        <v>653.05003886245015</v>
      </c>
      <c r="AC433" s="13">
        <f t="shared" si="72"/>
        <v>653.05003886532927</v>
      </c>
      <c r="AD433" s="13">
        <f t="shared" si="73"/>
        <v>1.8810582064408335E-9</v>
      </c>
      <c r="AE433" s="13">
        <f t="shared" si="68"/>
        <v>1.04195278707704E-13</v>
      </c>
      <c r="AF433" s="13">
        <f t="shared" si="74"/>
        <v>2.0413602758217447E-13</v>
      </c>
      <c r="AG433" s="13">
        <f t="shared" si="75"/>
        <v>5.8065801121117618E-14</v>
      </c>
      <c r="AH433" s="10"/>
      <c r="AI433" s="13">
        <f t="shared" si="69"/>
        <v>1.3576821374902371E-20</v>
      </c>
      <c r="AJ433" s="10"/>
      <c r="AK433" s="10"/>
      <c r="AL433" s="10"/>
      <c r="AM433" s="10"/>
      <c r="AN433" s="10"/>
    </row>
    <row r="434" spans="19:40">
      <c r="S434" s="10"/>
      <c r="T434" s="12">
        <v>428</v>
      </c>
      <c r="U434" s="13">
        <f t="shared" si="70"/>
        <v>0.12563196724496276</v>
      </c>
      <c r="V434" s="13">
        <f t="shared" si="71"/>
        <v>4.5667923272113592E-19</v>
      </c>
      <c r="W434" s="13">
        <f t="shared" si="76"/>
        <v>4.5667923272113592E-19</v>
      </c>
      <c r="X434" s="13">
        <v>0</v>
      </c>
      <c r="Y434" s="13">
        <v>0</v>
      </c>
      <c r="Z434" s="13">
        <v>0</v>
      </c>
      <c r="AA434" s="13">
        <f t="shared" si="77"/>
        <v>2.6978376357696334E-9</v>
      </c>
      <c r="AB434" s="13">
        <f t="shared" si="78"/>
        <v>653.05003886263137</v>
      </c>
      <c r="AC434" s="13">
        <f t="shared" si="72"/>
        <v>653.05003886532916</v>
      </c>
      <c r="AD434" s="13">
        <f t="shared" si="73"/>
        <v>1.7574366670491096E-9</v>
      </c>
      <c r="AE434" s="13">
        <f t="shared" si="68"/>
        <v>9.7347653949799608E-14</v>
      </c>
      <c r="AF434" s="13">
        <f t="shared" si="74"/>
        <v>1.912840668184435E-13</v>
      </c>
      <c r="AG434" s="13">
        <f t="shared" si="75"/>
        <v>5.4249766245930057E-14</v>
      </c>
      <c r="AH434" s="10"/>
      <c r="AI434" s="13">
        <f t="shared" si="69"/>
        <v>1.1974236098547043E-20</v>
      </c>
      <c r="AJ434" s="10"/>
      <c r="AK434" s="10"/>
      <c r="AL434" s="10"/>
      <c r="AM434" s="10"/>
      <c r="AN434" s="10"/>
    </row>
    <row r="435" spans="19:40">
      <c r="S435" s="10"/>
      <c r="T435" s="12">
        <v>429</v>
      </c>
      <c r="U435" s="13">
        <f t="shared" si="70"/>
        <v>0.12568246395344629</v>
      </c>
      <c r="V435" s="13">
        <f t="shared" si="71"/>
        <v>3.992025813715958E-19</v>
      </c>
      <c r="W435" s="13">
        <f t="shared" si="76"/>
        <v>3.992025813715958E-19</v>
      </c>
      <c r="X435" s="13">
        <v>0</v>
      </c>
      <c r="Y435" s="13">
        <v>0</v>
      </c>
      <c r="Z435" s="13">
        <v>0</v>
      </c>
      <c r="AA435" s="13">
        <f t="shared" si="77"/>
        <v>2.5279876399411092E-9</v>
      </c>
      <c r="AB435" s="13">
        <f t="shared" si="78"/>
        <v>653.05003886280122</v>
      </c>
      <c r="AC435" s="13">
        <f t="shared" si="72"/>
        <v>653.05003886532916</v>
      </c>
      <c r="AD435" s="13">
        <f t="shared" si="73"/>
        <v>1.6419394296875534E-9</v>
      </c>
      <c r="AE435" s="13">
        <f t="shared" si="68"/>
        <v>9.0950049244616367E-14</v>
      </c>
      <c r="AF435" s="13">
        <f t="shared" si="74"/>
        <v>1.7924123758045824E-13</v>
      </c>
      <c r="AG435" s="13">
        <f t="shared" si="75"/>
        <v>5.0684517924725389E-14</v>
      </c>
      <c r="AH435" s="10"/>
      <c r="AI435" s="13">
        <f t="shared" si="69"/>
        <v>1.0560283517655314E-20</v>
      </c>
      <c r="AJ435" s="10"/>
      <c r="AK435" s="10"/>
      <c r="AL435" s="10"/>
      <c r="AM435" s="10"/>
      <c r="AN435" s="10"/>
    </row>
    <row r="436" spans="19:40">
      <c r="S436" s="10"/>
      <c r="T436" s="12">
        <v>430</v>
      </c>
      <c r="U436" s="13">
        <f t="shared" si="70"/>
        <v>0.12573286331679659</v>
      </c>
      <c r="V436" s="13">
        <f t="shared" si="71"/>
        <v>3.4893969633972576E-19</v>
      </c>
      <c r="W436" s="13">
        <f t="shared" si="76"/>
        <v>3.4893969633972576E-19</v>
      </c>
      <c r="X436" s="13">
        <v>0</v>
      </c>
      <c r="Y436" s="13">
        <v>0</v>
      </c>
      <c r="Z436" s="13">
        <v>0</v>
      </c>
      <c r="AA436" s="13">
        <f t="shared" si="77"/>
        <v>2.3688310308052333E-9</v>
      </c>
      <c r="AB436" s="13">
        <f t="shared" si="78"/>
        <v>653.05003886296038</v>
      </c>
      <c r="AC436" s="13">
        <f t="shared" si="72"/>
        <v>653.05003886532916</v>
      </c>
      <c r="AD436" s="13">
        <f t="shared" si="73"/>
        <v>1.5340325721623928E-9</v>
      </c>
      <c r="AE436" s="13">
        <f t="shared" si="68"/>
        <v>8.4972889658517273E-14</v>
      </c>
      <c r="AF436" s="13">
        <f t="shared" si="74"/>
        <v>1.6795659870539762E-13</v>
      </c>
      <c r="AG436" s="13">
        <f t="shared" si="75"/>
        <v>4.7353574679292488E-14</v>
      </c>
      <c r="AH436" s="10"/>
      <c r="AI436" s="13">
        <f t="shared" si="69"/>
        <v>9.3128247394740178E-21</v>
      </c>
      <c r="AJ436" s="10"/>
      <c r="AK436" s="10"/>
      <c r="AL436" s="10"/>
      <c r="AM436" s="10"/>
      <c r="AN436" s="10"/>
    </row>
    <row r="437" spans="19:40">
      <c r="S437" s="10"/>
      <c r="T437" s="12">
        <v>431</v>
      </c>
      <c r="U437" s="13">
        <f t="shared" si="70"/>
        <v>0.12578316574840179</v>
      </c>
      <c r="V437" s="13">
        <f t="shared" si="71"/>
        <v>3.0498776900179079E-19</v>
      </c>
      <c r="W437" s="13">
        <f t="shared" si="76"/>
        <v>3.0498776900179079E-19</v>
      </c>
      <c r="X437" s="13">
        <v>0</v>
      </c>
      <c r="Y437" s="13">
        <v>0</v>
      </c>
      <c r="Z437" s="13">
        <v>0</v>
      </c>
      <c r="AA437" s="13">
        <f t="shared" si="77"/>
        <v>2.2196945759705377E-9</v>
      </c>
      <c r="AB437" s="13">
        <f t="shared" si="78"/>
        <v>653.05003886310953</v>
      </c>
      <c r="AC437" s="13">
        <f t="shared" si="72"/>
        <v>653.05003886532927</v>
      </c>
      <c r="AD437" s="13">
        <f t="shared" si="73"/>
        <v>1.4332172611906576E-9</v>
      </c>
      <c r="AE437" s="13">
        <f t="shared" si="68"/>
        <v>7.9388543897251561E-14</v>
      </c>
      <c r="AF437" s="13">
        <f t="shared" si="74"/>
        <v>1.5738241617536827E-13</v>
      </c>
      <c r="AG437" s="13">
        <f t="shared" si="75"/>
        <v>4.4241538180096374E-14</v>
      </c>
      <c r="AH437" s="10"/>
      <c r="AI437" s="13">
        <f t="shared" si="69"/>
        <v>8.2123115092474443E-21</v>
      </c>
      <c r="AJ437" s="10"/>
      <c r="AK437" s="10"/>
      <c r="AL437" s="10"/>
      <c r="AM437" s="10"/>
      <c r="AN437" s="10"/>
    </row>
    <row r="438" spans="19:40">
      <c r="S438" s="10"/>
      <c r="T438" s="12">
        <v>432</v>
      </c>
      <c r="U438" s="13">
        <f t="shared" si="70"/>
        <v>0.12583337165894026</v>
      </c>
      <c r="V438" s="13">
        <f t="shared" si="71"/>
        <v>2.6655664914569411E-19</v>
      </c>
      <c r="W438" s="13">
        <f t="shared" si="76"/>
        <v>2.6655664914569411E-19</v>
      </c>
      <c r="X438" s="13">
        <v>0</v>
      </c>
      <c r="Y438" s="13">
        <v>0</v>
      </c>
      <c r="Z438" s="13">
        <v>0</v>
      </c>
      <c r="AA438" s="13">
        <f t="shared" si="77"/>
        <v>2.0799474282940595E-9</v>
      </c>
      <c r="AB438" s="13">
        <f t="shared" si="78"/>
        <v>653.05003886324926</v>
      </c>
      <c r="AC438" s="13">
        <f t="shared" si="72"/>
        <v>653.05003886532916</v>
      </c>
      <c r="AD438" s="13">
        <f t="shared" si="73"/>
        <v>1.3390274463869116E-9</v>
      </c>
      <c r="AE438" s="13">
        <f t="shared" si="68"/>
        <v>7.4171196571634108E-14</v>
      </c>
      <c r="AF438" s="13">
        <f t="shared" si="74"/>
        <v>1.4747396120252845E-13</v>
      </c>
      <c r="AG438" s="13">
        <f t="shared" si="75"/>
        <v>4.1334022062672021E-14</v>
      </c>
      <c r="AH438" s="10"/>
      <c r="AI438" s="13">
        <f t="shared" si="69"/>
        <v>7.2414839808684742E-21</v>
      </c>
      <c r="AJ438" s="10"/>
      <c r="AK438" s="10"/>
      <c r="AL438" s="10"/>
      <c r="AM438" s="10"/>
      <c r="AN438" s="10"/>
    </row>
    <row r="439" spans="19:40">
      <c r="S439" s="10"/>
      <c r="T439" s="12">
        <v>433</v>
      </c>
      <c r="U439" s="13">
        <f t="shared" si="70"/>
        <v>0.12588348145640471</v>
      </c>
      <c r="V439" s="13">
        <f t="shared" si="71"/>
        <v>2.3295482859617626E-19</v>
      </c>
      <c r="W439" s="13">
        <f t="shared" si="76"/>
        <v>2.3295482859617626E-19</v>
      </c>
      <c r="X439" s="13">
        <v>0</v>
      </c>
      <c r="Y439" s="13">
        <v>0</v>
      </c>
      <c r="Z439" s="13">
        <v>0</v>
      </c>
      <c r="AA439" s="13">
        <f t="shared" si="77"/>
        <v>1.9489984573982005E-9</v>
      </c>
      <c r="AB439" s="13">
        <f t="shared" si="78"/>
        <v>653.05003886338022</v>
      </c>
      <c r="AC439" s="13">
        <f t="shared" si="72"/>
        <v>653.05003886532927</v>
      </c>
      <c r="AD439" s="13">
        <f t="shared" si="73"/>
        <v>1.2510277057992066E-9</v>
      </c>
      <c r="AE439" s="13">
        <f t="shared" si="68"/>
        <v>6.9296728857814897E-14</v>
      </c>
      <c r="AF439" s="13">
        <f t="shared" si="74"/>
        <v>1.3818932102633352E-13</v>
      </c>
      <c r="AG439" s="13">
        <f t="shared" si="75"/>
        <v>3.8617585422144029E-14</v>
      </c>
      <c r="AH439" s="10"/>
      <c r="AI439" s="13">
        <f t="shared" si="69"/>
        <v>6.3851036363684153E-21</v>
      </c>
      <c r="AJ439" s="10"/>
      <c r="AK439" s="10"/>
      <c r="AL439" s="10"/>
      <c r="AM439" s="10"/>
      <c r="AN439" s="10"/>
    </row>
    <row r="440" spans="19:40">
      <c r="S440" s="10"/>
      <c r="T440" s="12">
        <v>434</v>
      </c>
      <c r="U440" s="13">
        <f t="shared" si="70"/>
        <v>0.12593349554612596</v>
      </c>
      <c r="V440" s="13">
        <f t="shared" si="71"/>
        <v>2.035771633622904E-19</v>
      </c>
      <c r="W440" s="13">
        <f t="shared" si="76"/>
        <v>2.035771633622904E-19</v>
      </c>
      <c r="X440" s="13">
        <v>0</v>
      </c>
      <c r="Y440" s="13">
        <v>0</v>
      </c>
      <c r="Z440" s="13">
        <v>0</v>
      </c>
      <c r="AA440" s="13">
        <f t="shared" si="77"/>
        <v>1.8262937491894849E-9</v>
      </c>
      <c r="AB440" s="13">
        <f t="shared" si="78"/>
        <v>653.05003886350289</v>
      </c>
      <c r="AC440" s="13">
        <f t="shared" si="72"/>
        <v>653.05003886532916</v>
      </c>
      <c r="AD440" s="13">
        <f t="shared" si="73"/>
        <v>1.1688112330345767E-9</v>
      </c>
      <c r="AE440" s="13">
        <f t="shared" si="68"/>
        <v>6.4742607000454171E-14</v>
      </c>
      <c r="AF440" s="13">
        <f t="shared" si="74"/>
        <v>1.2948922162257644E-13</v>
      </c>
      <c r="AG440" s="13">
        <f t="shared" si="75"/>
        <v>3.6079670678429661E-14</v>
      </c>
      <c r="AH440" s="10"/>
      <c r="AI440" s="13">
        <f t="shared" si="69"/>
        <v>5.6297172795650919E-21</v>
      </c>
      <c r="AJ440" s="10"/>
      <c r="AK440" s="10"/>
      <c r="AL440" s="10"/>
      <c r="AM440" s="10"/>
      <c r="AN440" s="10"/>
    </row>
    <row r="441" spans="19:40">
      <c r="S441" s="10"/>
      <c r="T441" s="12">
        <v>435</v>
      </c>
      <c r="U441" s="13">
        <f t="shared" si="70"/>
        <v>0.1259834143307963</v>
      </c>
      <c r="V441" s="13">
        <f t="shared" si="71"/>
        <v>1.7789411934402732E-19</v>
      </c>
      <c r="W441" s="13">
        <f t="shared" si="76"/>
        <v>1.7789411934402732E-19</v>
      </c>
      <c r="X441" s="13">
        <v>0</v>
      </c>
      <c r="Y441" s="13">
        <v>0</v>
      </c>
      <c r="Z441" s="13">
        <v>0</v>
      </c>
      <c r="AA441" s="13">
        <f t="shared" si="77"/>
        <v>1.7113142628021834E-9</v>
      </c>
      <c r="AB441" s="13">
        <f t="shared" si="78"/>
        <v>653.05003886361783</v>
      </c>
      <c r="AC441" s="13">
        <f t="shared" si="72"/>
        <v>653.05003886532916</v>
      </c>
      <c r="AD441" s="13">
        <f t="shared" si="73"/>
        <v>1.0919979566689281E-9</v>
      </c>
      <c r="AE441" s="13">
        <f t="shared" si="68"/>
        <v>6.0487778143373209E-14</v>
      </c>
      <c r="AF441" s="13">
        <f t="shared" si="74"/>
        <v>1.2133686157428104E-13</v>
      </c>
      <c r="AG441" s="13">
        <f t="shared" si="75"/>
        <v>3.3708545524887623E-14</v>
      </c>
      <c r="AH441" s="10"/>
      <c r="AI441" s="13">
        <f t="shared" si="69"/>
        <v>4.9634485000121424E-21</v>
      </c>
      <c r="AJ441" s="10"/>
      <c r="AK441" s="10"/>
      <c r="AL441" s="10"/>
      <c r="AM441" s="10"/>
      <c r="AN441" s="10"/>
    </row>
    <row r="442" spans="19:40">
      <c r="S442" s="10"/>
      <c r="T442" s="12">
        <v>436</v>
      </c>
      <c r="U442" s="13">
        <f t="shared" si="70"/>
        <v>0.12603323821049267</v>
      </c>
      <c r="V442" s="13">
        <f t="shared" si="71"/>
        <v>1.5544235312921888E-19</v>
      </c>
      <c r="W442" s="13">
        <f t="shared" si="76"/>
        <v>1.5544235312921888E-19</v>
      </c>
      <c r="X442" s="13">
        <v>0</v>
      </c>
      <c r="Y442" s="13">
        <v>0</v>
      </c>
      <c r="Z442" s="13">
        <v>0</v>
      </c>
      <c r="AA442" s="13">
        <f t="shared" si="77"/>
        <v>1.6035736350556732E-9</v>
      </c>
      <c r="AB442" s="13">
        <f t="shared" si="78"/>
        <v>653.0500388637256</v>
      </c>
      <c r="AC442" s="13">
        <f t="shared" si="72"/>
        <v>653.05003886532916</v>
      </c>
      <c r="AD442" s="13">
        <f t="shared" si="73"/>
        <v>1.0202327832477043E-9</v>
      </c>
      <c r="AE442" s="13">
        <f t="shared" si="68"/>
        <v>5.651257300612603E-14</v>
      </c>
      <c r="AF442" s="13">
        <f t="shared" si="74"/>
        <v>1.1369775640172337E-13</v>
      </c>
      <c r="AG442" s="13">
        <f t="shared" si="75"/>
        <v>3.1493248692052263E-14</v>
      </c>
      <c r="AH442" s="10"/>
      <c r="AI442" s="13">
        <f t="shared" si="69"/>
        <v>4.3758134199622297E-21</v>
      </c>
      <c r="AJ442" s="10"/>
      <c r="AK442" s="10"/>
      <c r="AL442" s="10"/>
      <c r="AM442" s="10"/>
      <c r="AN442" s="10"/>
    </row>
    <row r="443" spans="19:40">
      <c r="S443" s="10"/>
      <c r="T443" s="12">
        <v>437</v>
      </c>
      <c r="U443" s="13">
        <f t="shared" si="70"/>
        <v>0.1260829675826998</v>
      </c>
      <c r="V443" s="13">
        <f t="shared" si="71"/>
        <v>1.3581646265143773E-19</v>
      </c>
      <c r="W443" s="13">
        <f t="shared" si="76"/>
        <v>1.3581646265143773E-19</v>
      </c>
      <c r="X443" s="13">
        <v>0</v>
      </c>
      <c r="Y443" s="13">
        <v>0</v>
      </c>
      <c r="Z443" s="13">
        <v>0</v>
      </c>
      <c r="AA443" s="13">
        <f t="shared" si="77"/>
        <v>1.5026161231383919E-9</v>
      </c>
      <c r="AB443" s="13">
        <f t="shared" si="78"/>
        <v>653.05003886382656</v>
      </c>
      <c r="AC443" s="13">
        <f t="shared" si="72"/>
        <v>653.05003886532916</v>
      </c>
      <c r="AD443" s="13">
        <f t="shared" si="73"/>
        <v>9.5318395575504669E-10</v>
      </c>
      <c r="AE443" s="13">
        <f t="shared" si="68"/>
        <v>5.2798614956583762E-14</v>
      </c>
      <c r="AF443" s="13">
        <f t="shared" si="74"/>
        <v>1.0653959269309657E-13</v>
      </c>
      <c r="AG443" s="13">
        <f t="shared" si="75"/>
        <v>2.9423539275728535E-14</v>
      </c>
      <c r="AH443" s="10"/>
      <c r="AI443" s="13">
        <f t="shared" si="69"/>
        <v>3.8575579056743915E-21</v>
      </c>
      <c r="AJ443" s="10"/>
      <c r="AK443" s="10"/>
      <c r="AL443" s="10"/>
      <c r="AM443" s="10"/>
      <c r="AN443" s="10"/>
    </row>
    <row r="444" spans="19:40">
      <c r="S444" s="10"/>
      <c r="T444" s="12">
        <v>438</v>
      </c>
      <c r="U444" s="13">
        <f t="shared" si="70"/>
        <v>0.12613260284233263</v>
      </c>
      <c r="V444" s="13">
        <f t="shared" si="71"/>
        <v>1.1866176286299852E-19</v>
      </c>
      <c r="W444" s="13">
        <f t="shared" si="76"/>
        <v>1.1866176286299852E-19</v>
      </c>
      <c r="X444" s="13">
        <v>0</v>
      </c>
      <c r="Y444" s="13">
        <v>0</v>
      </c>
      <c r="Z444" s="13">
        <v>0</v>
      </c>
      <c r="AA444" s="13">
        <f t="shared" si="77"/>
        <v>1.4080146768159377E-9</v>
      </c>
      <c r="AB444" s="13">
        <f t="shared" si="78"/>
        <v>653.05003886392115</v>
      </c>
      <c r="AC444" s="13">
        <f t="shared" si="72"/>
        <v>653.05003886532916</v>
      </c>
      <c r="AD444" s="13">
        <f t="shared" si="73"/>
        <v>8.9054151996296832E-10</v>
      </c>
      <c r="AE444" s="13">
        <f t="shared" si="68"/>
        <v>4.9328735059190749E-14</v>
      </c>
      <c r="AF444" s="13">
        <f t="shared" si="74"/>
        <v>9.9832091418791965E-14</v>
      </c>
      <c r="AG444" s="13">
        <f t="shared" si="75"/>
        <v>2.7489849395201618E-14</v>
      </c>
      <c r="AH444" s="10"/>
      <c r="AI444" s="13">
        <f t="shared" si="69"/>
        <v>3.4005137505017804E-21</v>
      </c>
      <c r="AJ444" s="10"/>
      <c r="AK444" s="10"/>
      <c r="AL444" s="10"/>
      <c r="AM444" s="10"/>
      <c r="AN444" s="10"/>
    </row>
    <row r="445" spans="19:40">
      <c r="S445" s="10"/>
      <c r="T445" s="12">
        <v>439</v>
      </c>
      <c r="U445" s="13">
        <f t="shared" si="70"/>
        <v>0.12618214438175884</v>
      </c>
      <c r="V445" s="13">
        <f t="shared" si="71"/>
        <v>1.0366795945420036E-19</v>
      </c>
      <c r="W445" s="13">
        <f t="shared" si="76"/>
        <v>1.0366795945420036E-19</v>
      </c>
      <c r="X445" s="13">
        <v>0</v>
      </c>
      <c r="Y445" s="13">
        <v>0</v>
      </c>
      <c r="Z445" s="13">
        <v>0</v>
      </c>
      <c r="AA445" s="13">
        <f t="shared" si="77"/>
        <v>1.3193691320087597E-9</v>
      </c>
      <c r="AB445" s="13">
        <f t="shared" si="78"/>
        <v>653.05003886400982</v>
      </c>
      <c r="AC445" s="13">
        <f t="shared" si="72"/>
        <v>653.05003886532916</v>
      </c>
      <c r="AD445" s="13">
        <f t="shared" si="73"/>
        <v>8.3201589157073945E-10</v>
      </c>
      <c r="AE445" s="13">
        <f t="shared" si="68"/>
        <v>4.608689270617722E-14</v>
      </c>
      <c r="AF445" s="13">
        <f t="shared" si="74"/>
        <v>9.3546879851116258E-14</v>
      </c>
      <c r="AG445" s="13">
        <f t="shared" si="75"/>
        <v>2.5683239962708344E-14</v>
      </c>
      <c r="AH445" s="10"/>
      <c r="AI445" s="13">
        <f t="shared" si="69"/>
        <v>2.9974716257113047E-21</v>
      </c>
      <c r="AJ445" s="10"/>
      <c r="AK445" s="10"/>
      <c r="AL445" s="10"/>
      <c r="AM445" s="10"/>
      <c r="AN445" s="10"/>
    </row>
    <row r="446" spans="19:40">
      <c r="S446" s="10"/>
      <c r="T446" s="12">
        <v>440</v>
      </c>
      <c r="U446" s="13">
        <f t="shared" si="70"/>
        <v>0.12623159259082117</v>
      </c>
      <c r="V446" s="13">
        <f t="shared" si="71"/>
        <v>9.0563609327780264E-20</v>
      </c>
      <c r="W446" s="13">
        <f t="shared" si="76"/>
        <v>9.0563609327780264E-20</v>
      </c>
      <c r="X446" s="13">
        <v>0</v>
      </c>
      <c r="Y446" s="13">
        <v>0</v>
      </c>
      <c r="Z446" s="13">
        <v>0</v>
      </c>
      <c r="AA446" s="13">
        <f t="shared" si="77"/>
        <v>1.2363045180982696E-9</v>
      </c>
      <c r="AB446" s="13">
        <f t="shared" si="78"/>
        <v>653.05003886409293</v>
      </c>
      <c r="AC446" s="13">
        <f t="shared" si="72"/>
        <v>653.05003886532927</v>
      </c>
      <c r="AD446" s="13">
        <f t="shared" si="73"/>
        <v>7.7733651751066171E-10</v>
      </c>
      <c r="AE446" s="13">
        <f t="shared" si="68"/>
        <v>4.3058101464820407E-14</v>
      </c>
      <c r="AF446" s="13">
        <f t="shared" si="74"/>
        <v>8.765737154766478E-14</v>
      </c>
      <c r="AG446" s="13">
        <f t="shared" si="75"/>
        <v>2.3995359359701342E-14</v>
      </c>
      <c r="AH446" s="10"/>
      <c r="AI446" s="13">
        <f t="shared" si="69"/>
        <v>2.6420688502082148E-21</v>
      </c>
      <c r="AJ446" s="10"/>
      <c r="AK446" s="10"/>
      <c r="AL446" s="10"/>
      <c r="AM446" s="10"/>
      <c r="AN446" s="10"/>
    </row>
    <row r="447" spans="19:40">
      <c r="S447" s="10"/>
      <c r="T447" s="12">
        <v>441</v>
      </c>
      <c r="U447" s="13">
        <f t="shared" si="70"/>
        <v>0.12628094785685917</v>
      </c>
      <c r="V447" s="13">
        <f t="shared" si="71"/>
        <v>7.9111270285807344E-20</v>
      </c>
      <c r="W447" s="13">
        <f t="shared" si="76"/>
        <v>7.9111270285807344E-20</v>
      </c>
      <c r="X447" s="13">
        <v>0</v>
      </c>
      <c r="Y447" s="13">
        <v>0</v>
      </c>
      <c r="Z447" s="13">
        <v>0</v>
      </c>
      <c r="AA447" s="13">
        <f t="shared" si="77"/>
        <v>1.1584694718012829E-9</v>
      </c>
      <c r="AB447" s="13">
        <f t="shared" si="78"/>
        <v>653.0500388641708</v>
      </c>
      <c r="AC447" s="13">
        <f t="shared" si="72"/>
        <v>653.05003886532927</v>
      </c>
      <c r="AD447" s="13">
        <f t="shared" si="73"/>
        <v>7.2625062523167617E-10</v>
      </c>
      <c r="AE447" s="13">
        <f t="shared" si="68"/>
        <v>4.0228359797960707E-14</v>
      </c>
      <c r="AF447" s="13">
        <f t="shared" si="74"/>
        <v>8.2138653890681076E-14</v>
      </c>
      <c r="AG447" s="13">
        <f t="shared" si="75"/>
        <v>2.2418404828873698E-14</v>
      </c>
      <c r="AH447" s="10"/>
      <c r="AI447" s="13">
        <f t="shared" si="69"/>
        <v>2.328690256116621E-21</v>
      </c>
      <c r="AJ447" s="10"/>
      <c r="AK447" s="10"/>
      <c r="AL447" s="10"/>
      <c r="AM447" s="10"/>
      <c r="AN447" s="10"/>
    </row>
    <row r="448" spans="19:40">
      <c r="S448" s="10"/>
      <c r="T448" s="12">
        <v>442</v>
      </c>
      <c r="U448" s="13">
        <f t="shared" si="70"/>
        <v>0.12633021056473101</v>
      </c>
      <c r="V448" s="13">
        <f t="shared" si="71"/>
        <v>6.9103254441631045E-20</v>
      </c>
      <c r="W448" s="13">
        <f t="shared" si="76"/>
        <v>6.9103254441631045E-20</v>
      </c>
      <c r="X448" s="13">
        <v>0</v>
      </c>
      <c r="Y448" s="13">
        <v>0</v>
      </c>
      <c r="Z448" s="13">
        <v>0</v>
      </c>
      <c r="AA448" s="13">
        <f t="shared" si="77"/>
        <v>1.0855347509034789E-9</v>
      </c>
      <c r="AB448" s="13">
        <f t="shared" si="78"/>
        <v>653.05003886424379</v>
      </c>
      <c r="AC448" s="13">
        <f t="shared" si="72"/>
        <v>653.05003886532927</v>
      </c>
      <c r="AD448" s="13">
        <f t="shared" si="73"/>
        <v>6.7852205417898799E-10</v>
      </c>
      <c r="AE448" s="13">
        <f t="shared" si="68"/>
        <v>3.7584586337506159E-14</v>
      </c>
      <c r="AF448" s="13">
        <f t="shared" si="74"/>
        <v>7.696738270669375E-14</v>
      </c>
      <c r="AG448" s="13">
        <f t="shared" si="75"/>
        <v>2.0945086403466914E-14</v>
      </c>
      <c r="AH448" s="10"/>
      <c r="AI448" s="13">
        <f t="shared" si="69"/>
        <v>2.0523806268636483E-21</v>
      </c>
      <c r="AJ448" s="10"/>
      <c r="AK448" s="10"/>
      <c r="AL448" s="10"/>
      <c r="AM448" s="10"/>
      <c r="AN448" s="10"/>
    </row>
    <row r="449" spans="19:40">
      <c r="S449" s="10"/>
      <c r="T449" s="12">
        <v>443</v>
      </c>
      <c r="U449" s="13">
        <f t="shared" si="70"/>
        <v>0.12637938109683503</v>
      </c>
      <c r="V449" s="13">
        <f t="shared" si="71"/>
        <v>6.0357910439758168E-20</v>
      </c>
      <c r="W449" s="13">
        <f t="shared" si="76"/>
        <v>6.0357910439758168E-20</v>
      </c>
      <c r="X449" s="13">
        <v>0</v>
      </c>
      <c r="Y449" s="13">
        <v>0</v>
      </c>
      <c r="Z449" s="13">
        <v>0</v>
      </c>
      <c r="AA449" s="13">
        <f t="shared" si="77"/>
        <v>1.0171918415649707E-9</v>
      </c>
      <c r="AB449" s="13">
        <f t="shared" si="78"/>
        <v>653.05003886431211</v>
      </c>
      <c r="AC449" s="13">
        <f t="shared" si="72"/>
        <v>653.05003886532927</v>
      </c>
      <c r="AD449" s="13">
        <f t="shared" si="73"/>
        <v>6.3393016406785308E-10</v>
      </c>
      <c r="AE449" s="13">
        <f t="shared" si="68"/>
        <v>3.5114559411707006E-14</v>
      </c>
      <c r="AF449" s="13">
        <f t="shared" si="74"/>
        <v>7.2121683520672185E-14</v>
      </c>
      <c r="AG449" s="13">
        <f t="shared" si="75"/>
        <v>1.9568593207113824E-14</v>
      </c>
      <c r="AH449" s="10"/>
      <c r="AI449" s="13">
        <f t="shared" si="69"/>
        <v>1.8087673610477451E-21</v>
      </c>
      <c r="AJ449" s="10"/>
      <c r="AK449" s="10"/>
      <c r="AL449" s="10"/>
      <c r="AM449" s="10"/>
      <c r="AN449" s="10"/>
    </row>
    <row r="450" spans="19:40">
      <c r="S450" s="10"/>
      <c r="T450" s="12">
        <v>444</v>
      </c>
      <c r="U450" s="13">
        <f t="shared" si="70"/>
        <v>0.12642845983313072</v>
      </c>
      <c r="V450" s="13">
        <f t="shared" si="71"/>
        <v>5.2716368834022884E-20</v>
      </c>
      <c r="W450" s="13">
        <f t="shared" si="76"/>
        <v>5.2716368834022884E-20</v>
      </c>
      <c r="X450" s="13">
        <v>0</v>
      </c>
      <c r="Y450" s="13">
        <v>0</v>
      </c>
      <c r="Z450" s="13">
        <v>0</v>
      </c>
      <c r="AA450" s="13">
        <f t="shared" si="77"/>
        <v>9.531516533068928E-10</v>
      </c>
      <c r="AB450" s="13">
        <f t="shared" si="78"/>
        <v>653.05003886437612</v>
      </c>
      <c r="AC450" s="13">
        <f t="shared" si="72"/>
        <v>653.05003886532927</v>
      </c>
      <c r="AD450" s="13">
        <f t="shared" si="73"/>
        <v>5.9226881490467938E-10</v>
      </c>
      <c r="AE450" s="13">
        <f t="shared" si="68"/>
        <v>3.2806860546646066E-14</v>
      </c>
      <c r="AF450" s="13">
        <f t="shared" si="74"/>
        <v>6.7581059027006085E-14</v>
      </c>
      <c r="AG450" s="13">
        <f t="shared" si="75"/>
        <v>1.8282561968427188E-14</v>
      </c>
      <c r="AH450" s="10"/>
      <c r="AI450" s="13">
        <f t="shared" si="69"/>
        <v>1.593992171595779E-21</v>
      </c>
      <c r="AJ450" s="10"/>
      <c r="AK450" s="10"/>
      <c r="AL450" s="10"/>
      <c r="AM450" s="10"/>
      <c r="AN450" s="10"/>
    </row>
    <row r="451" spans="19:40">
      <c r="S451" s="10"/>
      <c r="T451" s="12">
        <v>445</v>
      </c>
      <c r="U451" s="13">
        <f t="shared" si="70"/>
        <v>0.12647744715116005</v>
      </c>
      <c r="V451" s="13">
        <f t="shared" si="71"/>
        <v>4.6039693099164041E-20</v>
      </c>
      <c r="W451" s="13">
        <f t="shared" si="76"/>
        <v>4.6039693099164041E-20</v>
      </c>
      <c r="X451" s="13">
        <v>0</v>
      </c>
      <c r="Y451" s="13">
        <v>0</v>
      </c>
      <c r="Z451" s="13">
        <v>0</v>
      </c>
      <c r="AA451" s="13">
        <f t="shared" si="77"/>
        <v>8.9314329615879399E-10</v>
      </c>
      <c r="AB451" s="13">
        <f t="shared" si="78"/>
        <v>653.05003886443615</v>
      </c>
      <c r="AC451" s="13">
        <f t="shared" si="72"/>
        <v>653.05003886532927</v>
      </c>
      <c r="AD451" s="13">
        <f t="shared" si="73"/>
        <v>5.5334541404026928E-10</v>
      </c>
      <c r="AE451" s="13">
        <f t="shared" si="68"/>
        <v>3.065082168076306E-14</v>
      </c>
      <c r="AF451" s="13">
        <f t="shared" si="74"/>
        <v>6.332630238591096E-14</v>
      </c>
      <c r="AG451" s="13">
        <f t="shared" si="75"/>
        <v>1.7081047604782484E-14</v>
      </c>
      <c r="AH451" s="10"/>
      <c r="AI451" s="13">
        <f t="shared" si="69"/>
        <v>1.40465076786545E-21</v>
      </c>
      <c r="AJ451" s="10"/>
      <c r="AK451" s="10"/>
      <c r="AL451" s="10"/>
      <c r="AM451" s="10"/>
      <c r="AN451" s="10"/>
    </row>
    <row r="452" spans="19:40">
      <c r="S452" s="10"/>
      <c r="T452" s="12">
        <v>446</v>
      </c>
      <c r="U452" s="13">
        <f t="shared" si="70"/>
        <v>0.12652634342606794</v>
      </c>
      <c r="V452" s="13">
        <f t="shared" si="71"/>
        <v>4.0206385873378083E-20</v>
      </c>
      <c r="W452" s="13">
        <f t="shared" si="76"/>
        <v>4.0206385873378083E-20</v>
      </c>
      <c r="X452" s="13">
        <v>0</v>
      </c>
      <c r="Y452" s="13">
        <v>0</v>
      </c>
      <c r="Z452" s="13">
        <v>0</v>
      </c>
      <c r="AA452" s="13">
        <f t="shared" si="77"/>
        <v>8.3691293479417596E-10</v>
      </c>
      <c r="AB452" s="13">
        <f t="shared" si="78"/>
        <v>653.05003886449242</v>
      </c>
      <c r="AC452" s="13">
        <f t="shared" si="72"/>
        <v>653.05003886532938</v>
      </c>
      <c r="AD452" s="13">
        <f t="shared" si="73"/>
        <v>5.1698002584991279E-10</v>
      </c>
      <c r="AE452" s="13">
        <f t="shared" si="68"/>
        <v>2.8636475848395154E-14</v>
      </c>
      <c r="AF452" s="13">
        <f t="shared" si="74"/>
        <v>5.9339415978503648E-14</v>
      </c>
      <c r="AG452" s="13">
        <f t="shared" si="75"/>
        <v>1.5958495739309572E-14</v>
      </c>
      <c r="AH452" s="10"/>
      <c r="AI452" s="13">
        <f t="shared" si="69"/>
        <v>1.2377395905320778E-21</v>
      </c>
      <c r="AJ452" s="10"/>
      <c r="AK452" s="10"/>
      <c r="AL452" s="10"/>
      <c r="AM452" s="10"/>
      <c r="AN452" s="10"/>
    </row>
    <row r="453" spans="19:40">
      <c r="S453" s="10"/>
      <c r="T453" s="12">
        <v>447</v>
      </c>
      <c r="U453" s="13">
        <f t="shared" si="70"/>
        <v>0.12657514903062303</v>
      </c>
      <c r="V453" s="13">
        <f t="shared" si="71"/>
        <v>3.5110206272814645E-20</v>
      </c>
      <c r="W453" s="13">
        <f t="shared" si="76"/>
        <v>3.5110206272814645E-20</v>
      </c>
      <c r="X453" s="13">
        <v>0</v>
      </c>
      <c r="Y453" s="13">
        <v>0</v>
      </c>
      <c r="Z453" s="13">
        <v>0</v>
      </c>
      <c r="AA453" s="13">
        <f t="shared" si="77"/>
        <v>7.8422271480716673E-10</v>
      </c>
      <c r="AB453" s="13">
        <f t="shared" si="78"/>
        <v>653.05003886454506</v>
      </c>
      <c r="AC453" s="13">
        <f t="shared" si="72"/>
        <v>653.05003886532927</v>
      </c>
      <c r="AD453" s="13">
        <f t="shared" si="73"/>
        <v>4.8300453992454205E-10</v>
      </c>
      <c r="AE453" s="13">
        <f t="shared" si="68"/>
        <v>2.6754511104353258E-14</v>
      </c>
      <c r="AF453" s="13">
        <f t="shared" si="74"/>
        <v>5.5603535276881701E-14</v>
      </c>
      <c r="AG453" s="13">
        <f t="shared" si="75"/>
        <v>1.4909717024044014E-14</v>
      </c>
      <c r="AH453" s="10"/>
      <c r="AI453" s="13">
        <f t="shared" si="69"/>
        <v>1.0906087771330923E-21</v>
      </c>
      <c r="AJ453" s="10"/>
      <c r="AK453" s="10"/>
      <c r="AL453" s="10"/>
      <c r="AM453" s="10"/>
      <c r="AN453" s="10"/>
    </row>
    <row r="454" spans="19:40">
      <c r="S454" s="10"/>
      <c r="T454" s="12">
        <v>448</v>
      </c>
      <c r="U454" s="13">
        <f t="shared" si="70"/>
        <v>0.1266238643352379</v>
      </c>
      <c r="V454" s="13">
        <f t="shared" si="71"/>
        <v>3.0658259591462635E-20</v>
      </c>
      <c r="W454" s="13">
        <f t="shared" si="76"/>
        <v>3.0658259591462635E-20</v>
      </c>
      <c r="X454" s="13">
        <v>0</v>
      </c>
      <c r="Y454" s="13">
        <v>0</v>
      </c>
      <c r="Z454" s="13">
        <v>0</v>
      </c>
      <c r="AA454" s="13">
        <f t="shared" si="77"/>
        <v>7.3484975658848223E-10</v>
      </c>
      <c r="AB454" s="13">
        <f t="shared" si="78"/>
        <v>653.0500388645944</v>
      </c>
      <c r="AC454" s="13">
        <f t="shared" si="72"/>
        <v>653.05003886532927</v>
      </c>
      <c r="AD454" s="13">
        <f t="shared" si="73"/>
        <v>4.5126189392765408E-10</v>
      </c>
      <c r="AE454" s="13">
        <f t="shared" ref="AE454:AE486" si="79">(V454+AA454)/AC454/12/(1+rdis_Month)^T454</f>
        <v>2.4996227476535653E-14</v>
      </c>
      <c r="AF454" s="13">
        <f t="shared" si="74"/>
        <v>5.2102857507177139E-14</v>
      </c>
      <c r="AG454" s="13">
        <f t="shared" si="75"/>
        <v>1.3929863150539084E-14</v>
      </c>
      <c r="AH454" s="10"/>
      <c r="AI454" s="13">
        <f t="shared" ref="AI454:AI486" si="80">EXP(-lambda_capi*(T454^gamma_capi))</f>
        <v>9.6092063167601668E-22</v>
      </c>
      <c r="AJ454" s="10"/>
      <c r="AK454" s="10"/>
      <c r="AL454" s="10"/>
      <c r="AM454" s="10"/>
      <c r="AN454" s="10"/>
    </row>
    <row r="455" spans="19:40">
      <c r="S455" s="10"/>
      <c r="T455" s="12">
        <v>449</v>
      </c>
      <c r="U455" s="13">
        <f t="shared" ref="U455:U486" si="81">gamma_capi*lambda_capi*T455^(gamma_capi-1)</f>
        <v>0.12667248970798931</v>
      </c>
      <c r="V455" s="13">
        <f t="shared" ref="V455:V486" si="82">SUM(W455:Z455)</f>
        <v>2.6769325496318629E-20</v>
      </c>
      <c r="W455" s="13">
        <f t="shared" si="76"/>
        <v>2.6769325496318629E-20</v>
      </c>
      <c r="X455" s="13">
        <v>0</v>
      </c>
      <c r="Y455" s="13">
        <v>0</v>
      </c>
      <c r="Z455" s="13">
        <v>0</v>
      </c>
      <c r="AA455" s="13">
        <f t="shared" si="77"/>
        <v>6.8858521254477086E-10</v>
      </c>
      <c r="AB455" s="13">
        <f t="shared" si="78"/>
        <v>653.05003886464067</v>
      </c>
      <c r="AC455" s="13">
        <f t="shared" ref="AC455:AC486" si="83">V455+AA455+AB455</f>
        <v>653.05003886532927</v>
      </c>
      <c r="AD455" s="13">
        <f t="shared" ref="AD455:AD486" si="84">(V455*cPFS_CAPI_after+AA455*cP)/AC455/(1+rdis_Month)^T454</f>
        <v>4.2160534752541348E-10</v>
      </c>
      <c r="AE455" s="13">
        <f t="shared" si="79"/>
        <v>2.3353496747579314E-14</v>
      </c>
      <c r="AF455" s="13">
        <f t="shared" ref="AF455:AF486" si="85">(SUM(W455:Z455)*uS+AA455*uP)/AC455/12</f>
        <v>4.8822574803829438E-14</v>
      </c>
      <c r="AG455" s="13">
        <f t="shared" ref="AG455:AG486" si="86">(W455*uS/12+X455*(uS+duAE1_CAPI)/12+Y455*(uS+duAE2_CAPI)/12+Z455*(uS+duAE3_CAPI)/12+AA455*uP/12)/AC455/(1+rdis_Month)^T454</f>
        <v>1.3014404437039826E-14</v>
      </c>
      <c r="AH455" s="10"/>
      <c r="AI455" s="13">
        <f t="shared" si="80"/>
        <v>8.4661295618205357E-22</v>
      </c>
      <c r="AJ455" s="10"/>
      <c r="AK455" s="10"/>
      <c r="AL455" s="10"/>
      <c r="AM455" s="10"/>
      <c r="AN455" s="10"/>
    </row>
    <row r="456" spans="19:40">
      <c r="S456" s="10"/>
      <c r="T456" s="12">
        <v>450</v>
      </c>
      <c r="U456" s="13">
        <f t="shared" si="81"/>
        <v>0.12672102551463785</v>
      </c>
      <c r="V456" s="13">
        <f t="shared" si="82"/>
        <v>2.337239503137781E-20</v>
      </c>
      <c r="W456" s="13">
        <f t="shared" ref="W456:W486" si="87">(1-($Q$13+U456))*V455</f>
        <v>2.337239503137781E-20</v>
      </c>
      <c r="X456" s="13">
        <v>0</v>
      </c>
      <c r="Y456" s="13">
        <v>0</v>
      </c>
      <c r="Z456" s="13">
        <v>0</v>
      </c>
      <c r="AA456" s="13">
        <f t="shared" si="77"/>
        <v>6.4523338367337987E-10</v>
      </c>
      <c r="AB456" s="13">
        <f t="shared" si="78"/>
        <v>653.05003886468398</v>
      </c>
      <c r="AC456" s="13">
        <f t="shared" si="83"/>
        <v>653.05003886532927</v>
      </c>
      <c r="AD456" s="13">
        <f t="shared" si="84"/>
        <v>3.9389780403344933E-10</v>
      </c>
      <c r="AE456" s="13">
        <f t="shared" si="79"/>
        <v>2.1818724879626567E-14</v>
      </c>
      <c r="AF456" s="13">
        <f t="shared" si="85"/>
        <v>4.5748811572320146E-14</v>
      </c>
      <c r="AG456" s="13">
        <f t="shared" si="86"/>
        <v>1.2159108888608924E-14</v>
      </c>
      <c r="AH456" s="10"/>
      <c r="AI456" s="13">
        <f t="shared" si="80"/>
        <v>7.4586667671525402E-22</v>
      </c>
      <c r="AJ456" s="10"/>
      <c r="AK456" s="10"/>
      <c r="AL456" s="10"/>
      <c r="AM456" s="10"/>
      <c r="AN456" s="10"/>
    </row>
    <row r="457" spans="19:40">
      <c r="S457" s="10"/>
      <c r="T457" s="12">
        <v>451</v>
      </c>
      <c r="U457" s="13">
        <f t="shared" si="81"/>
        <v>0.12676947211864792</v>
      </c>
      <c r="V457" s="13">
        <f t="shared" si="82"/>
        <v>2.0405390427867398E-20</v>
      </c>
      <c r="W457" s="13">
        <f t="shared" si="87"/>
        <v>2.0405390427867398E-20</v>
      </c>
      <c r="X457" s="13">
        <v>0</v>
      </c>
      <c r="Y457" s="13">
        <v>0</v>
      </c>
      <c r="Z457" s="13">
        <v>0</v>
      </c>
      <c r="AA457" s="13">
        <f t="shared" si="77"/>
        <v>6.0461089175565391E-10</v>
      </c>
      <c r="AB457" s="13">
        <f t="shared" si="78"/>
        <v>653.05003886472457</v>
      </c>
      <c r="AC457" s="13">
        <f t="shared" si="83"/>
        <v>653.05003886532916</v>
      </c>
      <c r="AD457" s="13">
        <f t="shared" si="84"/>
        <v>3.6801117664444448E-10</v>
      </c>
      <c r="AE457" s="13">
        <f t="shared" si="79"/>
        <v>2.0384816908504114E-14</v>
      </c>
      <c r="AF457" s="13">
        <f t="shared" si="85"/>
        <v>4.2868565795413655E-14</v>
      </c>
      <c r="AG457" s="13">
        <f t="shared" si="86"/>
        <v>1.1360022633403197E-14</v>
      </c>
      <c r="AH457" s="10"/>
      <c r="AI457" s="13">
        <f t="shared" si="80"/>
        <v>6.5707726246840511E-22</v>
      </c>
      <c r="AJ457" s="10"/>
      <c r="AK457" s="10"/>
      <c r="AL457" s="10"/>
      <c r="AM457" s="10"/>
      <c r="AN457" s="10"/>
    </row>
    <row r="458" spans="19:40">
      <c r="S458" s="10"/>
      <c r="T458" s="12">
        <v>452</v>
      </c>
      <c r="U458" s="13">
        <f t="shared" si="81"/>
        <v>0.12681782988120693</v>
      </c>
      <c r="V458" s="13">
        <f t="shared" si="82"/>
        <v>1.7814044946313724E-20</v>
      </c>
      <c r="W458" s="13">
        <f t="shared" si="87"/>
        <v>1.7814044946313724E-20</v>
      </c>
      <c r="X458" s="13">
        <v>0</v>
      </c>
      <c r="Y458" s="13">
        <v>0</v>
      </c>
      <c r="Z458" s="13">
        <v>0</v>
      </c>
      <c r="AA458" s="13">
        <f t="shared" si="77"/>
        <v>5.6654590366714602E-10</v>
      </c>
      <c r="AB458" s="13">
        <f t="shared" si="78"/>
        <v>653.05003886476266</v>
      </c>
      <c r="AC458" s="13">
        <f t="shared" si="83"/>
        <v>653.05003886532916</v>
      </c>
      <c r="AD458" s="13">
        <f t="shared" si="84"/>
        <v>3.4382579630670727E-10</v>
      </c>
      <c r="AE458" s="13">
        <f t="shared" si="79"/>
        <v>1.9045144145026614E-14</v>
      </c>
      <c r="AF458" s="13">
        <f t="shared" si="85"/>
        <v>4.0169654034629523E-14</v>
      </c>
      <c r="AG458" s="13">
        <f t="shared" si="86"/>
        <v>1.0613451644661289E-14</v>
      </c>
      <c r="AH458" s="10"/>
      <c r="AI458" s="13">
        <f t="shared" si="80"/>
        <v>5.7882949484317994E-22</v>
      </c>
      <c r="AJ458" s="10"/>
      <c r="AK458" s="10"/>
      <c r="AL458" s="10"/>
      <c r="AM458" s="10"/>
      <c r="AN458" s="10"/>
    </row>
    <row r="459" spans="19:40">
      <c r="S459" s="10"/>
      <c r="T459" s="12">
        <v>453</v>
      </c>
      <c r="U459" s="13">
        <f t="shared" si="81"/>
        <v>0.12686609916124483</v>
      </c>
      <c r="V459" s="13">
        <f t="shared" si="82"/>
        <v>1.5550922804687749E-20</v>
      </c>
      <c r="W459" s="13">
        <f t="shared" si="87"/>
        <v>1.5550922804687749E-20</v>
      </c>
      <c r="X459" s="13">
        <v>0</v>
      </c>
      <c r="Y459" s="13">
        <v>0</v>
      </c>
      <c r="Z459" s="13">
        <v>0</v>
      </c>
      <c r="AA459" s="13">
        <f t="shared" si="77"/>
        <v>5.3087740452357132E-10</v>
      </c>
      <c r="AB459" s="13">
        <f t="shared" si="78"/>
        <v>653.05003886479835</v>
      </c>
      <c r="AC459" s="13">
        <f t="shared" si="83"/>
        <v>653.05003886532927</v>
      </c>
      <c r="AD459" s="13">
        <f t="shared" si="84"/>
        <v>3.2122985851645864E-10</v>
      </c>
      <c r="AE459" s="13">
        <f t="shared" si="79"/>
        <v>1.7793513531802553E-14</v>
      </c>
      <c r="AF459" s="13">
        <f t="shared" si="85"/>
        <v>3.7640659894302697E-14</v>
      </c>
      <c r="AG459" s="13">
        <f t="shared" si="86"/>
        <v>9.9159446639067815E-15</v>
      </c>
      <c r="AH459" s="10"/>
      <c r="AI459" s="13">
        <f t="shared" si="80"/>
        <v>5.0987519505317031E-22</v>
      </c>
      <c r="AJ459" s="10"/>
      <c r="AK459" s="10"/>
      <c r="AL459" s="10"/>
      <c r="AM459" s="10"/>
      <c r="AN459" s="10"/>
    </row>
    <row r="460" spans="19:40">
      <c r="S460" s="10"/>
      <c r="T460" s="12">
        <v>454</v>
      </c>
      <c r="U460" s="13">
        <f t="shared" si="81"/>
        <v>0.12691428031545288</v>
      </c>
      <c r="V460" s="13">
        <f t="shared" si="82"/>
        <v>1.3574561725295723E-20</v>
      </c>
      <c r="W460" s="13">
        <f t="shared" si="87"/>
        <v>1.3574561725295723E-20</v>
      </c>
      <c r="X460" s="13">
        <v>0</v>
      </c>
      <c r="Y460" s="13">
        <v>0</v>
      </c>
      <c r="Z460" s="13">
        <v>0</v>
      </c>
      <c r="AA460" s="13">
        <f t="shared" si="77"/>
        <v>4.9745451658791208E-10</v>
      </c>
      <c r="AB460" s="13">
        <f t="shared" si="78"/>
        <v>653.05003886483178</v>
      </c>
      <c r="AC460" s="13">
        <f t="shared" si="83"/>
        <v>653.05003886532927</v>
      </c>
      <c r="AD460" s="13">
        <f t="shared" si="84"/>
        <v>3.0011890646645678E-10</v>
      </c>
      <c r="AE460" s="13">
        <f t="shared" si="79"/>
        <v>1.6624139013884711E-14</v>
      </c>
      <c r="AF460" s="13">
        <f t="shared" si="85"/>
        <v>3.5270885730234355E-14</v>
      </c>
      <c r="AG460" s="13">
        <f t="shared" si="86"/>
        <v>9.2642772464237539E-15</v>
      </c>
      <c r="AH460" s="10"/>
      <c r="AI460" s="13">
        <f t="shared" si="80"/>
        <v>4.4911356438451037E-22</v>
      </c>
      <c r="AJ460" s="10"/>
      <c r="AK460" s="10"/>
      <c r="AL460" s="10"/>
      <c r="AM460" s="10"/>
      <c r="AN460" s="10"/>
    </row>
    <row r="461" spans="19:40">
      <c r="S461" s="10"/>
      <c r="T461" s="12">
        <v>455</v>
      </c>
      <c r="U461" s="13">
        <f t="shared" si="81"/>
        <v>0.12696237369830282</v>
      </c>
      <c r="V461" s="13">
        <f t="shared" si="82"/>
        <v>1.1848722804496978E-20</v>
      </c>
      <c r="W461" s="13">
        <f t="shared" si="87"/>
        <v>1.1848722804496978E-20</v>
      </c>
      <c r="X461" s="13">
        <v>0</v>
      </c>
      <c r="Y461" s="13">
        <v>0</v>
      </c>
      <c r="Z461" s="13">
        <v>0</v>
      </c>
      <c r="AA461" s="13">
        <f t="shared" ref="AA461:AA486" si="88">(1-$Q$17)*AA460+(U461*W460)</f>
        <v>4.6613586105765212E-10</v>
      </c>
      <c r="AB461" s="13">
        <f t="shared" ref="AB461:AB486" si="89">(AB460*1)+(AA460*$Q$17)+(W460*$Q$13)</f>
        <v>653.05003886486304</v>
      </c>
      <c r="AC461" s="13">
        <f t="shared" si="83"/>
        <v>653.05003886532916</v>
      </c>
      <c r="AD461" s="13">
        <f t="shared" si="84"/>
        <v>2.8039534816165339E-10</v>
      </c>
      <c r="AE461" s="13">
        <f t="shared" si="79"/>
        <v>1.5531614790917015E-14</v>
      </c>
      <c r="AF461" s="13">
        <f t="shared" si="85"/>
        <v>3.30503073986613E-14</v>
      </c>
      <c r="AG461" s="13">
        <f t="shared" si="86"/>
        <v>8.6554368552500719E-15</v>
      </c>
      <c r="AH461" s="10"/>
      <c r="AI461" s="13">
        <f t="shared" si="80"/>
        <v>3.9557383155615829E-22</v>
      </c>
      <c r="AJ461" s="10"/>
      <c r="AK461" s="10"/>
      <c r="AL461" s="10"/>
      <c r="AM461" s="10"/>
      <c r="AN461" s="10"/>
    </row>
    <row r="462" spans="19:40">
      <c r="S462" s="10"/>
      <c r="T462" s="12">
        <v>456</v>
      </c>
      <c r="U462" s="13">
        <f t="shared" si="81"/>
        <v>0.12701037966206521</v>
      </c>
      <c r="V462" s="13">
        <f t="shared" si="82"/>
        <v>1.0341734311647842E-20</v>
      </c>
      <c r="W462" s="13">
        <f t="shared" si="87"/>
        <v>1.0341734311647842E-20</v>
      </c>
      <c r="X462" s="13">
        <v>0</v>
      </c>
      <c r="Y462" s="13">
        <v>0</v>
      </c>
      <c r="Z462" s="13">
        <v>0</v>
      </c>
      <c r="AA462" s="13">
        <f t="shared" si="88"/>
        <v>4.3678896003249984E-10</v>
      </c>
      <c r="AB462" s="13">
        <f t="shared" si="89"/>
        <v>653.05003886489237</v>
      </c>
      <c r="AC462" s="13">
        <f t="shared" si="83"/>
        <v>653.05003886532916</v>
      </c>
      <c r="AD462" s="13">
        <f t="shared" si="84"/>
        <v>2.6196800526959717E-10</v>
      </c>
      <c r="AE462" s="13">
        <f t="shared" si="79"/>
        <v>1.4510890327127469E-14</v>
      </c>
      <c r="AF462" s="13">
        <f t="shared" si="85"/>
        <v>3.0969531854131839E-14</v>
      </c>
      <c r="AG462" s="13">
        <f t="shared" si="86"/>
        <v>8.0866089347807764E-15</v>
      </c>
      <c r="AH462" s="10"/>
      <c r="AI462" s="13">
        <f t="shared" si="80"/>
        <v>3.4839993724826919E-22</v>
      </c>
      <c r="AJ462" s="10"/>
      <c r="AK462" s="10"/>
      <c r="AL462" s="10"/>
      <c r="AM462" s="10"/>
      <c r="AN462" s="10"/>
    </row>
    <row r="463" spans="19:40">
      <c r="S463" s="10"/>
      <c r="T463" s="12">
        <v>457</v>
      </c>
      <c r="U463" s="13">
        <f t="shared" si="81"/>
        <v>0.12705829855682821</v>
      </c>
      <c r="V463" s="13">
        <f t="shared" si="82"/>
        <v>9.025917690132104E-21</v>
      </c>
      <c r="W463" s="13">
        <f t="shared" si="87"/>
        <v>9.025917690132104E-21</v>
      </c>
      <c r="X463" s="13">
        <v>0</v>
      </c>
      <c r="Y463" s="13">
        <v>0</v>
      </c>
      <c r="Z463" s="13">
        <v>0</v>
      </c>
      <c r="AA463" s="13">
        <f t="shared" si="88"/>
        <v>4.0928967613292362E-10</v>
      </c>
      <c r="AB463" s="13">
        <f t="shared" si="89"/>
        <v>653.05003886491988</v>
      </c>
      <c r="AC463" s="13">
        <f t="shared" si="83"/>
        <v>653.05003886532916</v>
      </c>
      <c r="AD463" s="13">
        <f t="shared" si="84"/>
        <v>2.4475169162000344E-10</v>
      </c>
      <c r="AE463" s="13">
        <f t="shared" si="79"/>
        <v>1.3557247003642999E-14</v>
      </c>
      <c r="AF463" s="13">
        <f t="shared" si="85"/>
        <v>2.901975741692737E-14</v>
      </c>
      <c r="AG463" s="13">
        <f t="shared" si="86"/>
        <v>7.5551638996022875E-15</v>
      </c>
      <c r="AH463" s="10"/>
      <c r="AI463" s="13">
        <f t="shared" si="80"/>
        <v>3.068370173525162E-22</v>
      </c>
      <c r="AJ463" s="10"/>
      <c r="AK463" s="10"/>
      <c r="AL463" s="10"/>
      <c r="AM463" s="10"/>
      <c r="AN463" s="10"/>
    </row>
    <row r="464" spans="19:40">
      <c r="S464" s="10"/>
      <c r="T464" s="12">
        <v>458</v>
      </c>
      <c r="U464" s="13">
        <f t="shared" si="81"/>
        <v>0.12710613073051544</v>
      </c>
      <c r="V464" s="13">
        <f t="shared" si="82"/>
        <v>7.8770854930937266E-21</v>
      </c>
      <c r="W464" s="13">
        <f t="shared" si="87"/>
        <v>7.8770854930937266E-21</v>
      </c>
      <c r="X464" s="13">
        <v>0</v>
      </c>
      <c r="Y464" s="13">
        <v>0</v>
      </c>
      <c r="Z464" s="13">
        <v>0</v>
      </c>
      <c r="AA464" s="13">
        <f t="shared" si="88"/>
        <v>3.8352168739908723E-10</v>
      </c>
      <c r="AB464" s="13">
        <f t="shared" si="89"/>
        <v>653.05003886494569</v>
      </c>
      <c r="AC464" s="13">
        <f t="shared" si="83"/>
        <v>653.05003886532916</v>
      </c>
      <c r="AD464" s="13">
        <f t="shared" si="84"/>
        <v>2.2866681940497181E-10</v>
      </c>
      <c r="AE464" s="13">
        <f t="shared" si="79"/>
        <v>1.2666276305194246E-14</v>
      </c>
      <c r="AF464" s="13">
        <f t="shared" si="85"/>
        <v>2.7192736541960662E-14</v>
      </c>
      <c r="AG464" s="13">
        <f t="shared" si="86"/>
        <v>7.0586449784093493E-15</v>
      </c>
      <c r="AH464" s="10"/>
      <c r="AI464" s="13">
        <f t="shared" si="80"/>
        <v>2.7021947432150387E-22</v>
      </c>
      <c r="AJ464" s="10"/>
      <c r="AK464" s="10"/>
      <c r="AL464" s="10"/>
      <c r="AM464" s="10"/>
      <c r="AN464" s="10"/>
    </row>
    <row r="465" spans="19:40">
      <c r="S465" s="10"/>
      <c r="T465" s="12">
        <v>459</v>
      </c>
      <c r="U465" s="13">
        <f t="shared" si="81"/>
        <v>0.1271538765289045</v>
      </c>
      <c r="V465" s="13">
        <f t="shared" si="82"/>
        <v>6.8741022650952563E-21</v>
      </c>
      <c r="W465" s="13">
        <f t="shared" si="87"/>
        <v>6.8741022650952563E-21</v>
      </c>
      <c r="X465" s="13">
        <v>0</v>
      </c>
      <c r="Y465" s="13">
        <v>0</v>
      </c>
      <c r="Z465" s="13">
        <v>0</v>
      </c>
      <c r="AA465" s="13">
        <f t="shared" si="88"/>
        <v>3.593759952490069E-10</v>
      </c>
      <c r="AB465" s="13">
        <f t="shared" si="89"/>
        <v>653.05003886496979</v>
      </c>
      <c r="AC465" s="13">
        <f t="shared" si="83"/>
        <v>653.05003886532916</v>
      </c>
      <c r="AD465" s="13">
        <f t="shared" si="84"/>
        <v>2.1363903125938997E-10</v>
      </c>
      <c r="AE465" s="13">
        <f t="shared" si="79"/>
        <v>1.1833859440371499E-14</v>
      </c>
      <c r="AF465" s="13">
        <f t="shared" si="85"/>
        <v>2.5480740931663439E-14</v>
      </c>
      <c r="AG465" s="13">
        <f t="shared" si="86"/>
        <v>6.5947568568093989E-15</v>
      </c>
      <c r="AH465" s="10"/>
      <c r="AI465" s="13">
        <f t="shared" si="80"/>
        <v>2.379604505835595E-22</v>
      </c>
      <c r="AJ465" s="10"/>
      <c r="AK465" s="10"/>
      <c r="AL465" s="10"/>
      <c r="AM465" s="10"/>
      <c r="AN465" s="10"/>
    </row>
    <row r="466" spans="19:40">
      <c r="S466" s="10"/>
      <c r="T466" s="12">
        <v>460</v>
      </c>
      <c r="U466" s="13">
        <f t="shared" si="81"/>
        <v>0.12720153629564457</v>
      </c>
      <c r="V466" s="13">
        <f t="shared" si="82"/>
        <v>5.9985005007942988E-21</v>
      </c>
      <c r="W466" s="13">
        <f t="shared" si="87"/>
        <v>5.9985005007942988E-21</v>
      </c>
      <c r="X466" s="13">
        <v>0</v>
      </c>
      <c r="Y466" s="13">
        <v>0</v>
      </c>
      <c r="Z466" s="13">
        <v>0</v>
      </c>
      <c r="AA466" s="13">
        <f t="shared" si="88"/>
        <v>3.3675046341459385E-10</v>
      </c>
      <c r="AB466" s="13">
        <f t="shared" si="89"/>
        <v>653.05003886499242</v>
      </c>
      <c r="AC466" s="13">
        <f t="shared" si="83"/>
        <v>653.05003886532916</v>
      </c>
      <c r="AD466" s="13">
        <f t="shared" si="84"/>
        <v>1.995988565206988E-10</v>
      </c>
      <c r="AE466" s="13">
        <f t="shared" si="79"/>
        <v>1.1056148301219995E-14</v>
      </c>
      <c r="AF466" s="13">
        <f t="shared" si="85"/>
        <v>2.3876528845290841E-14</v>
      </c>
      <c r="AG466" s="13">
        <f t="shared" si="86"/>
        <v>6.1613550665120851E-15</v>
      </c>
      <c r="AH466" s="10"/>
      <c r="AI466" s="13">
        <f t="shared" si="80"/>
        <v>2.0954253971399174E-22</v>
      </c>
      <c r="AJ466" s="10"/>
      <c r="AK466" s="10"/>
      <c r="AL466" s="10"/>
      <c r="AM466" s="10"/>
      <c r="AN466" s="10"/>
    </row>
    <row r="467" spans="19:40">
      <c r="S467" s="10"/>
      <c r="T467" s="12">
        <v>461</v>
      </c>
      <c r="U467" s="13">
        <f t="shared" si="81"/>
        <v>0.12724911037227424</v>
      </c>
      <c r="V467" s="13">
        <f t="shared" si="82"/>
        <v>5.2341447925059603E-21</v>
      </c>
      <c r="W467" s="13">
        <f t="shared" si="87"/>
        <v>5.2341447925059603E-21</v>
      </c>
      <c r="X467" s="13">
        <v>0</v>
      </c>
      <c r="Y467" s="13">
        <v>0</v>
      </c>
      <c r="Z467" s="13">
        <v>0</v>
      </c>
      <c r="AA467" s="13">
        <f t="shared" si="88"/>
        <v>3.1554938590528173E-10</v>
      </c>
      <c r="AB467" s="13">
        <f t="shared" si="89"/>
        <v>653.05003886501356</v>
      </c>
      <c r="AC467" s="13">
        <f t="shared" si="83"/>
        <v>653.05003886532916</v>
      </c>
      <c r="AD467" s="13">
        <f t="shared" si="84"/>
        <v>1.8648139007897264E-10</v>
      </c>
      <c r="AE467" s="13">
        <f t="shared" si="79"/>
        <v>1.0329547674154359E-14</v>
      </c>
      <c r="AF467" s="13">
        <f t="shared" si="85"/>
        <v>2.2373314466360929E-14</v>
      </c>
      <c r="AG467" s="13">
        <f t="shared" si="86"/>
        <v>5.756436071852232E-15</v>
      </c>
      <c r="AH467" s="10"/>
      <c r="AI467" s="13">
        <f t="shared" si="80"/>
        <v>1.8450959025220232E-22</v>
      </c>
      <c r="AJ467" s="10"/>
      <c r="AK467" s="10"/>
      <c r="AL467" s="10"/>
      <c r="AM467" s="10"/>
      <c r="AN467" s="10"/>
    </row>
    <row r="468" spans="19:40">
      <c r="S468" s="10"/>
      <c r="T468" s="12">
        <v>462</v>
      </c>
      <c r="U468" s="13">
        <f t="shared" si="81"/>
        <v>0.12729659909823879</v>
      </c>
      <c r="V468" s="13">
        <f t="shared" si="82"/>
        <v>4.5669381374233965E-21</v>
      </c>
      <c r="W468" s="13">
        <f t="shared" si="87"/>
        <v>4.5669381374233965E-21</v>
      </c>
      <c r="X468" s="13">
        <v>0</v>
      </c>
      <c r="Y468" s="13">
        <v>0</v>
      </c>
      <c r="Z468" s="13">
        <v>0</v>
      </c>
      <c r="AA468" s="13">
        <f t="shared" si="88"/>
        <v>2.956830821717253E-10</v>
      </c>
      <c r="AB468" s="13">
        <f t="shared" si="89"/>
        <v>653.05003886503346</v>
      </c>
      <c r="AC468" s="13">
        <f t="shared" si="83"/>
        <v>653.05003886532916</v>
      </c>
      <c r="AD468" s="13">
        <f t="shared" si="84"/>
        <v>1.7422599233269793E-10</v>
      </c>
      <c r="AE468" s="13">
        <f t="shared" si="79"/>
        <v>9.6506986199565644E-15</v>
      </c>
      <c r="AF468" s="13">
        <f t="shared" si="85"/>
        <v>2.0964739198653697E-14</v>
      </c>
      <c r="AG468" s="13">
        <f t="shared" si="86"/>
        <v>5.3781280078180368E-15</v>
      </c>
      <c r="AH468" s="10"/>
      <c r="AI468" s="13">
        <f t="shared" si="80"/>
        <v>1.6245947401384439E-22</v>
      </c>
      <c r="AJ468" s="10"/>
      <c r="AK468" s="10"/>
      <c r="AL468" s="10"/>
      <c r="AM468" s="10"/>
      <c r="AN468" s="10"/>
    </row>
    <row r="469" spans="19:40">
      <c r="S469" s="10"/>
      <c r="T469" s="12">
        <v>463</v>
      </c>
      <c r="U469" s="13">
        <f t="shared" si="81"/>
        <v>0.12734400281090791</v>
      </c>
      <c r="V469" s="13">
        <f t="shared" si="82"/>
        <v>3.9845651273980432E-21</v>
      </c>
      <c r="W469" s="13">
        <f t="shared" si="87"/>
        <v>3.9845651273980432E-21</v>
      </c>
      <c r="X469" s="13">
        <v>0</v>
      </c>
      <c r="Y469" s="13">
        <v>0</v>
      </c>
      <c r="Z469" s="13">
        <v>0</v>
      </c>
      <c r="AA469" s="13">
        <f t="shared" si="88"/>
        <v>2.7706751775711303E-10</v>
      </c>
      <c r="AB469" s="13">
        <f t="shared" si="89"/>
        <v>653.0500388650521</v>
      </c>
      <c r="AC469" s="13">
        <f t="shared" si="83"/>
        <v>653.05003886532916</v>
      </c>
      <c r="AD469" s="13">
        <f t="shared" si="84"/>
        <v>1.6277600886320185E-10</v>
      </c>
      <c r="AE469" s="13">
        <f t="shared" si="79"/>
        <v>9.0164629460262537E-15</v>
      </c>
      <c r="AF469" s="13">
        <f t="shared" si="85"/>
        <v>1.9644844769351656E-14</v>
      </c>
      <c r="AG469" s="13">
        <f t="shared" si="86"/>
        <v>5.0246820267681393E-15</v>
      </c>
      <c r="AH469" s="10"/>
      <c r="AI469" s="13">
        <f t="shared" si="80"/>
        <v>1.4303770573296605E-22</v>
      </c>
      <c r="AJ469" s="10"/>
      <c r="AK469" s="10"/>
      <c r="AL469" s="10"/>
      <c r="AM469" s="10"/>
      <c r="AN469" s="10"/>
    </row>
    <row r="470" spans="19:40">
      <c r="S470" s="10"/>
      <c r="T470" s="12">
        <v>464</v>
      </c>
      <c r="U470" s="13">
        <f t="shared" si="81"/>
        <v>0.1273913218455924</v>
      </c>
      <c r="V470" s="13">
        <f t="shared" si="82"/>
        <v>3.4762674027682193E-21</v>
      </c>
      <c r="W470" s="13">
        <f t="shared" si="87"/>
        <v>3.4762674027682193E-21</v>
      </c>
      <c r="X470" s="13">
        <v>0</v>
      </c>
      <c r="Y470" s="13">
        <v>0</v>
      </c>
      <c r="Z470" s="13">
        <v>0</v>
      </c>
      <c r="AA470" s="13">
        <f t="shared" si="88"/>
        <v>2.5962394883144882E-10</v>
      </c>
      <c r="AB470" s="13">
        <f t="shared" si="89"/>
        <v>653.0500388650695</v>
      </c>
      <c r="AC470" s="13">
        <f t="shared" si="83"/>
        <v>653.05003886532916</v>
      </c>
      <c r="AD470" s="13">
        <f t="shared" si="84"/>
        <v>1.5207850853183833E-10</v>
      </c>
      <c r="AE470" s="13">
        <f t="shared" si="79"/>
        <v>8.423908699101464E-15</v>
      </c>
      <c r="AF470" s="13">
        <f t="shared" si="85"/>
        <v>1.8408048025548165E-14</v>
      </c>
      <c r="AG470" s="13">
        <f t="shared" si="86"/>
        <v>4.6944642138350704E-15</v>
      </c>
      <c r="AH470" s="10"/>
      <c r="AI470" s="13">
        <f t="shared" si="80"/>
        <v>1.2593181410638419E-22</v>
      </c>
      <c r="AJ470" s="10"/>
      <c r="AK470" s="10"/>
      <c r="AL470" s="10"/>
      <c r="AM470" s="10"/>
      <c r="AN470" s="10"/>
    </row>
    <row r="471" spans="19:40">
      <c r="S471" s="10"/>
      <c r="T471" s="12">
        <v>465</v>
      </c>
      <c r="U471" s="13">
        <f t="shared" si="81"/>
        <v>0.12743855653556149</v>
      </c>
      <c r="V471" s="13">
        <f t="shared" si="82"/>
        <v>3.0326473283673238E-21</v>
      </c>
      <c r="W471" s="13">
        <f t="shared" si="87"/>
        <v>3.0326473283673238E-21</v>
      </c>
      <c r="X471" s="13">
        <v>0</v>
      </c>
      <c r="Y471" s="13">
        <v>0</v>
      </c>
      <c r="Z471" s="13">
        <v>0</v>
      </c>
      <c r="AA471" s="13">
        <f t="shared" si="88"/>
        <v>2.4327858910518309E-10</v>
      </c>
      <c r="AB471" s="13">
        <f t="shared" si="89"/>
        <v>653.05003886508587</v>
      </c>
      <c r="AC471" s="13">
        <f t="shared" si="83"/>
        <v>653.05003886532916</v>
      </c>
      <c r="AD471" s="13">
        <f t="shared" si="84"/>
        <v>1.4208403878920346E-10</v>
      </c>
      <c r="AE471" s="13">
        <f t="shared" si="79"/>
        <v>7.8702966113854203E-15</v>
      </c>
      <c r="AF471" s="13">
        <f t="shared" si="85"/>
        <v>1.7249117317512902E-14</v>
      </c>
      <c r="AG471" s="13">
        <f t="shared" si="86"/>
        <v>4.3859480336414779E-15</v>
      </c>
      <c r="AH471" s="10"/>
      <c r="AI471" s="13">
        <f t="shared" si="80"/>
        <v>1.1086637600687775E-22</v>
      </c>
      <c r="AJ471" s="10"/>
      <c r="AK471" s="10"/>
      <c r="AL471" s="10"/>
      <c r="AM471" s="10"/>
      <c r="AN471" s="10"/>
    </row>
    <row r="472" spans="19:40">
      <c r="S472" s="10"/>
      <c r="T472" s="12">
        <v>466</v>
      </c>
      <c r="U472" s="13">
        <f t="shared" si="81"/>
        <v>0.12748570721205954</v>
      </c>
      <c r="V472" s="13">
        <f t="shared" si="82"/>
        <v>2.6454963547053152E-21</v>
      </c>
      <c r="W472" s="13">
        <f t="shared" si="87"/>
        <v>2.6454963547053152E-21</v>
      </c>
      <c r="X472" s="13">
        <v>0</v>
      </c>
      <c r="Y472" s="13">
        <v>0</v>
      </c>
      <c r="Z472" s="13">
        <v>0</v>
      </c>
      <c r="AA472" s="13">
        <f t="shared" si="88"/>
        <v>2.2796229771323765E-10</v>
      </c>
      <c r="AB472" s="13">
        <f t="shared" si="89"/>
        <v>653.05003886510121</v>
      </c>
      <c r="AC472" s="13">
        <f t="shared" si="83"/>
        <v>653.05003886532916</v>
      </c>
      <c r="AD472" s="13">
        <f t="shared" si="84"/>
        <v>1.3274639706522026E-10</v>
      </c>
      <c r="AE472" s="13">
        <f t="shared" si="79"/>
        <v>7.3530674374222485E-15</v>
      </c>
      <c r="AF472" s="13">
        <f t="shared" si="85"/>
        <v>1.6163150368815617E-14</v>
      </c>
      <c r="AG472" s="13">
        <f t="shared" si="86"/>
        <v>4.097707273411712E-15</v>
      </c>
      <c r="AH472" s="10"/>
      <c r="AI472" s="13">
        <f t="shared" si="80"/>
        <v>9.7598635961808054E-23</v>
      </c>
      <c r="AJ472" s="10"/>
      <c r="AK472" s="10"/>
      <c r="AL472" s="10"/>
      <c r="AM472" s="10"/>
      <c r="AN472" s="10"/>
    </row>
    <row r="473" spans="19:40">
      <c r="S473" s="10"/>
      <c r="T473" s="12">
        <v>467</v>
      </c>
      <c r="U473" s="13">
        <f t="shared" si="81"/>
        <v>0.12753277420432244</v>
      </c>
      <c r="V473" s="13">
        <f t="shared" si="82"/>
        <v>2.3076449693071017E-21</v>
      </c>
      <c r="W473" s="13">
        <f t="shared" si="87"/>
        <v>2.3076449693071017E-21</v>
      </c>
      <c r="X473" s="13">
        <v>0</v>
      </c>
      <c r="Y473" s="13">
        <v>0</v>
      </c>
      <c r="Z473" s="13">
        <v>0</v>
      </c>
      <c r="AA473" s="13">
        <f t="shared" si="88"/>
        <v>2.1361028674917443E-10</v>
      </c>
      <c r="AB473" s="13">
        <f t="shared" si="89"/>
        <v>653.05003886511554</v>
      </c>
      <c r="AC473" s="13">
        <f t="shared" si="83"/>
        <v>653.05003886532916</v>
      </c>
      <c r="AD473" s="13">
        <f t="shared" si="84"/>
        <v>1.2402241718327179E-10</v>
      </c>
      <c r="AE473" s="13">
        <f t="shared" si="79"/>
        <v>6.8698301231824446E-15</v>
      </c>
      <c r="AF473" s="13">
        <f t="shared" si="85"/>
        <v>1.5145553539698778E-14</v>
      </c>
      <c r="AG473" s="13">
        <f t="shared" si="86"/>
        <v>3.82840944985609E-15</v>
      </c>
      <c r="AH473" s="10"/>
      <c r="AI473" s="13">
        <f t="shared" si="80"/>
        <v>8.5914642117797598E-23</v>
      </c>
      <c r="AJ473" s="10"/>
      <c r="AK473" s="10"/>
      <c r="AL473" s="10"/>
      <c r="AM473" s="10"/>
      <c r="AN473" s="10"/>
    </row>
    <row r="474" spans="19:40">
      <c r="S474" s="10"/>
      <c r="T474" s="12">
        <v>468</v>
      </c>
      <c r="U474" s="13">
        <f t="shared" si="81"/>
        <v>0.12757975783959447</v>
      </c>
      <c r="V474" s="13">
        <f t="shared" si="82"/>
        <v>2.01283153011464E-21</v>
      </c>
      <c r="W474" s="13">
        <f t="shared" si="87"/>
        <v>2.01283153011464E-21</v>
      </c>
      <c r="X474" s="13">
        <v>0</v>
      </c>
      <c r="Y474" s="13">
        <v>0</v>
      </c>
      <c r="Z474" s="13">
        <v>0</v>
      </c>
      <c r="AA474" s="13">
        <f t="shared" si="88"/>
        <v>2.001618472123774E-10</v>
      </c>
      <c r="AB474" s="13">
        <f t="shared" si="89"/>
        <v>653.05003886512895</v>
      </c>
      <c r="AC474" s="13">
        <f t="shared" si="83"/>
        <v>653.05003886532916</v>
      </c>
      <c r="AD474" s="13">
        <f t="shared" si="84"/>
        <v>1.1587176981101535E-10</v>
      </c>
      <c r="AE474" s="13">
        <f t="shared" si="79"/>
        <v>6.4183507526659244E-15</v>
      </c>
      <c r="AF474" s="13">
        <f t="shared" si="85"/>
        <v>1.4192022395983241E-14</v>
      </c>
      <c r="AG474" s="13">
        <f t="shared" si="86"/>
        <v>3.5768096493491029E-15</v>
      </c>
      <c r="AH474" s="10"/>
      <c r="AI474" s="13">
        <f t="shared" si="80"/>
        <v>7.5625837970946602E-23</v>
      </c>
      <c r="AJ474" s="10"/>
      <c r="AK474" s="10"/>
      <c r="AL474" s="10"/>
      <c r="AM474" s="10"/>
      <c r="AN474" s="10"/>
    </row>
    <row r="475" spans="19:40">
      <c r="S475" s="10"/>
      <c r="T475" s="12">
        <v>469</v>
      </c>
      <c r="U475" s="13">
        <f t="shared" si="81"/>
        <v>0.12762665844314405</v>
      </c>
      <c r="V475" s="13">
        <f t="shared" si="82"/>
        <v>1.7555876115556248E-21</v>
      </c>
      <c r="W475" s="13">
        <f t="shared" si="87"/>
        <v>1.7555876115556248E-21</v>
      </c>
      <c r="X475" s="13">
        <v>0</v>
      </c>
      <c r="Y475" s="13">
        <v>0</v>
      </c>
      <c r="Z475" s="13">
        <v>0</v>
      </c>
      <c r="AA475" s="13">
        <f t="shared" si="88"/>
        <v>1.8756009220900458E-10</v>
      </c>
      <c r="AB475" s="13">
        <f t="shared" si="89"/>
        <v>653.05003886514157</v>
      </c>
      <c r="AC475" s="13">
        <f t="shared" si="83"/>
        <v>653.05003886532916</v>
      </c>
      <c r="AD475" s="13">
        <f t="shared" si="84"/>
        <v>1.0825677602539872E-10</v>
      </c>
      <c r="AE475" s="13">
        <f t="shared" si="79"/>
        <v>5.9965422209248911E-15</v>
      </c>
      <c r="AF475" s="13">
        <f t="shared" si="85"/>
        <v>1.3298523501313425E-14</v>
      </c>
      <c r="AG475" s="13">
        <f t="shared" si="86"/>
        <v>3.3417447729258552E-15</v>
      </c>
      <c r="AH475" s="10"/>
      <c r="AI475" s="13">
        <f t="shared" si="80"/>
        <v>6.6566056259548914E-23</v>
      </c>
      <c r="AJ475" s="10"/>
      <c r="AK475" s="10"/>
      <c r="AL475" s="10"/>
      <c r="AM475" s="10"/>
      <c r="AN475" s="10"/>
    </row>
    <row r="476" spans="19:40">
      <c r="S476" s="10"/>
      <c r="T476" s="12">
        <v>470</v>
      </c>
      <c r="U476" s="13">
        <f t="shared" si="81"/>
        <v>0.12767347633828044</v>
      </c>
      <c r="V476" s="13">
        <f t="shared" si="82"/>
        <v>1.5311377903434205E-21</v>
      </c>
      <c r="W476" s="13">
        <f t="shared" si="87"/>
        <v>1.5311377903434205E-21</v>
      </c>
      <c r="X476" s="13">
        <v>0</v>
      </c>
      <c r="Y476" s="13">
        <v>0</v>
      </c>
      <c r="Z476" s="13">
        <v>0</v>
      </c>
      <c r="AA476" s="13">
        <f t="shared" si="88"/>
        <v>1.7575171632044984E-10</v>
      </c>
      <c r="AB476" s="13">
        <f t="shared" si="89"/>
        <v>653.0500388651534</v>
      </c>
      <c r="AC476" s="13">
        <f t="shared" si="83"/>
        <v>653.05003886532916</v>
      </c>
      <c r="AD476" s="13">
        <f t="shared" si="84"/>
        <v>1.0114223313002432E-10</v>
      </c>
      <c r="AE476" s="13">
        <f t="shared" si="79"/>
        <v>5.602454585766821E-15</v>
      </c>
      <c r="AF476" s="13">
        <f t="shared" si="85"/>
        <v>1.2461277355723121E-14</v>
      </c>
      <c r="AG476" s="13">
        <f t="shared" si="86"/>
        <v>3.1221281594924134E-15</v>
      </c>
      <c r="AH476" s="10"/>
      <c r="AI476" s="13">
        <f t="shared" si="80"/>
        <v>5.8588867701988372E-23</v>
      </c>
      <c r="AJ476" s="10"/>
      <c r="AK476" s="10"/>
      <c r="AL476" s="10"/>
      <c r="AM476" s="10"/>
      <c r="AN476" s="10"/>
    </row>
    <row r="477" spans="19:40">
      <c r="S477" s="10"/>
      <c r="T477" s="12">
        <v>471</v>
      </c>
      <c r="U477" s="13">
        <f t="shared" si="81"/>
        <v>0.12772021184636922</v>
      </c>
      <c r="V477" s="13">
        <f t="shared" si="82"/>
        <v>1.3353120575508315E-21</v>
      </c>
      <c r="W477" s="13">
        <f t="shared" si="87"/>
        <v>1.3353120575508315E-21</v>
      </c>
      <c r="X477" s="13">
        <v>0</v>
      </c>
      <c r="Y477" s="13">
        <v>0</v>
      </c>
      <c r="Z477" s="13">
        <v>0</v>
      </c>
      <c r="AA477" s="13">
        <f t="shared" si="88"/>
        <v>1.6468677012144393E-10</v>
      </c>
      <c r="AB477" s="13">
        <f t="shared" si="89"/>
        <v>653.05003886516442</v>
      </c>
      <c r="AC477" s="13">
        <f t="shared" si="83"/>
        <v>653.05003886532916</v>
      </c>
      <c r="AD477" s="13">
        <f t="shared" si="84"/>
        <v>9.4495251919647516E-11</v>
      </c>
      <c r="AE477" s="13">
        <f t="shared" si="79"/>
        <v>5.2342660535353011E-15</v>
      </c>
      <c r="AF477" s="13">
        <f t="shared" si="85"/>
        <v>1.1676742408352171E-14</v>
      </c>
      <c r="AG477" s="13">
        <f t="shared" si="86"/>
        <v>2.9169445623941873E-15</v>
      </c>
      <c r="AH477" s="10"/>
      <c r="AI477" s="13">
        <f t="shared" si="80"/>
        <v>5.156524281333901E-23</v>
      </c>
      <c r="AJ477" s="10"/>
      <c r="AK477" s="10"/>
      <c r="AL477" s="10"/>
      <c r="AM477" s="10"/>
      <c r="AN477" s="10"/>
    </row>
    <row r="478" spans="19:40">
      <c r="S478" s="10"/>
      <c r="T478" s="12">
        <v>472</v>
      </c>
      <c r="U478" s="13">
        <f t="shared" si="81"/>
        <v>0.12776686528684825</v>
      </c>
      <c r="V478" s="13">
        <f t="shared" si="82"/>
        <v>1.1644692705941736E-21</v>
      </c>
      <c r="W478" s="13">
        <f t="shared" si="87"/>
        <v>1.1644692705941736E-21</v>
      </c>
      <c r="X478" s="13">
        <v>0</v>
      </c>
      <c r="Y478" s="13">
        <v>0</v>
      </c>
      <c r="Z478" s="13">
        <v>0</v>
      </c>
      <c r="AA478" s="13">
        <f t="shared" si="88"/>
        <v>1.5431844889400553E-10</v>
      </c>
      <c r="AB478" s="13">
        <f t="shared" si="89"/>
        <v>653.05003886517477</v>
      </c>
      <c r="AC478" s="13">
        <f t="shared" si="83"/>
        <v>653.05003886532904</v>
      </c>
      <c r="AD478" s="13">
        <f t="shared" si="84"/>
        <v>8.8285104639513252E-11</v>
      </c>
      <c r="AE478" s="13">
        <f t="shared" si="79"/>
        <v>4.890274557297628E-15</v>
      </c>
      <c r="AF478" s="13">
        <f t="shared" si="85"/>
        <v>1.0941600076687749E-14</v>
      </c>
      <c r="AG478" s="13">
        <f t="shared" si="86"/>
        <v>2.7252454561199536E-15</v>
      </c>
      <c r="AH478" s="10"/>
      <c r="AI478" s="13">
        <f t="shared" si="80"/>
        <v>4.5381489935707854E-23</v>
      </c>
      <c r="AJ478" s="10"/>
      <c r="AK478" s="10"/>
      <c r="AL478" s="10"/>
      <c r="AM478" s="10"/>
      <c r="AN478" s="10"/>
    </row>
    <row r="479" spans="19:40">
      <c r="S479" s="10"/>
      <c r="T479" s="12">
        <v>473</v>
      </c>
      <c r="U479" s="13">
        <f t="shared" si="81"/>
        <v>0.12781343697724334</v>
      </c>
      <c r="V479" s="13">
        <f t="shared" si="82"/>
        <v>1.0154302575033801E-21</v>
      </c>
      <c r="W479" s="13">
        <f t="shared" si="87"/>
        <v>1.0154302575033801E-21</v>
      </c>
      <c r="X479" s="13">
        <v>0</v>
      </c>
      <c r="Y479" s="13">
        <v>0</v>
      </c>
      <c r="Z479" s="13">
        <v>0</v>
      </c>
      <c r="AA479" s="13">
        <f t="shared" si="88"/>
        <v>1.4460289464350317E-10</v>
      </c>
      <c r="AB479" s="13">
        <f t="shared" si="89"/>
        <v>653.05003886518443</v>
      </c>
      <c r="AC479" s="13">
        <f t="shared" si="83"/>
        <v>653.05003886532904</v>
      </c>
      <c r="AD479" s="13">
        <f t="shared" si="84"/>
        <v>8.2483082936674941E-11</v>
      </c>
      <c r="AE479" s="13">
        <f t="shared" si="79"/>
        <v>4.5688898885067573E-15</v>
      </c>
      <c r="AF479" s="13">
        <f t="shared" si="85"/>
        <v>1.0252740708961641E-14</v>
      </c>
      <c r="AG479" s="13">
        <f t="shared" si="86"/>
        <v>2.5461446514452653E-15</v>
      </c>
      <c r="AH479" s="10"/>
      <c r="AI479" s="13">
        <f t="shared" si="80"/>
        <v>3.9937436945701789E-23</v>
      </c>
      <c r="AJ479" s="10"/>
      <c r="AK479" s="10"/>
      <c r="AL479" s="10"/>
      <c r="AM479" s="10"/>
      <c r="AN479" s="10"/>
    </row>
    <row r="480" spans="19:40">
      <c r="S480" s="10"/>
      <c r="T480" s="12">
        <v>474</v>
      </c>
      <c r="U480" s="13">
        <f t="shared" si="81"/>
        <v>0.1278599272331836</v>
      </c>
      <c r="V480" s="13">
        <f t="shared" si="82"/>
        <v>8.8541935976818243E-22</v>
      </c>
      <c r="W480" s="13">
        <f t="shared" si="87"/>
        <v>8.8541935976818243E-22</v>
      </c>
      <c r="X480" s="13">
        <v>0</v>
      </c>
      <c r="Y480" s="13">
        <v>0</v>
      </c>
      <c r="Z480" s="13">
        <v>0</v>
      </c>
      <c r="AA480" s="13">
        <f t="shared" si="88"/>
        <v>1.3549901057935552E-10</v>
      </c>
      <c r="AB480" s="13">
        <f t="shared" si="89"/>
        <v>653.05003886519353</v>
      </c>
      <c r="AC480" s="13">
        <f t="shared" si="83"/>
        <v>653.05003886532904</v>
      </c>
      <c r="AD480" s="13">
        <f t="shared" si="84"/>
        <v>7.7062365146631999E-11</v>
      </c>
      <c r="AE480" s="13">
        <f t="shared" si="79"/>
        <v>4.268626345763697E-15</v>
      </c>
      <c r="AF480" s="13">
        <f t="shared" si="85"/>
        <v>9.6072504303245445E-15</v>
      </c>
      <c r="AG480" s="13">
        <f t="shared" si="86"/>
        <v>2.3788141987449197E-15</v>
      </c>
      <c r="AH480" s="10"/>
      <c r="AI480" s="13">
        <f t="shared" si="80"/>
        <v>3.5144827923679443E-23</v>
      </c>
      <c r="AJ480" s="10"/>
      <c r="AK480" s="10"/>
      <c r="AL480" s="10"/>
      <c r="AM480" s="10"/>
      <c r="AN480" s="10"/>
    </row>
    <row r="481" spans="19:40">
      <c r="S481" s="10"/>
      <c r="T481" s="12">
        <v>475</v>
      </c>
      <c r="U481" s="13">
        <f t="shared" si="81"/>
        <v>0.12790633636841675</v>
      </c>
      <c r="V481" s="13">
        <f t="shared" si="82"/>
        <v>7.7201335223136652E-22</v>
      </c>
      <c r="W481" s="13">
        <f t="shared" si="87"/>
        <v>7.7201335223136652E-22</v>
      </c>
      <c r="X481" s="13">
        <v>0</v>
      </c>
      <c r="Y481" s="13">
        <v>0</v>
      </c>
      <c r="Z481" s="13">
        <v>0</v>
      </c>
      <c r="AA481" s="13">
        <f t="shared" si="88"/>
        <v>1.2696828727562387E-10</v>
      </c>
      <c r="AB481" s="13">
        <f t="shared" si="89"/>
        <v>653.05003886520205</v>
      </c>
      <c r="AC481" s="13">
        <f t="shared" si="83"/>
        <v>653.05003886532904</v>
      </c>
      <c r="AD481" s="13">
        <f t="shared" si="84"/>
        <v>7.1997892301775761E-11</v>
      </c>
      <c r="AE481" s="13">
        <f t="shared" si="79"/>
        <v>3.9880958666969607E-15</v>
      </c>
      <c r="AF481" s="13">
        <f t="shared" si="85"/>
        <v>9.0023988171566029E-15</v>
      </c>
      <c r="AG481" s="13">
        <f t="shared" si="86"/>
        <v>2.2224805605362086E-15</v>
      </c>
      <c r="AH481" s="10"/>
      <c r="AI481" s="13">
        <f t="shared" si="80"/>
        <v>3.0925909443630736E-23</v>
      </c>
      <c r="AJ481" s="10"/>
      <c r="AK481" s="10"/>
      <c r="AL481" s="10"/>
      <c r="AM481" s="10"/>
      <c r="AN481" s="10"/>
    </row>
    <row r="482" spans="19:40">
      <c r="S482" s="10"/>
      <c r="T482" s="12">
        <v>476</v>
      </c>
      <c r="U482" s="13">
        <f t="shared" si="81"/>
        <v>0.12795266469482436</v>
      </c>
      <c r="V482" s="13">
        <f t="shared" si="82"/>
        <v>6.7309681165552171E-22</v>
      </c>
      <c r="W482" s="13">
        <f t="shared" si="87"/>
        <v>6.7309681165552171E-22</v>
      </c>
      <c r="X482" s="13">
        <v>0</v>
      </c>
      <c r="Y482" s="13">
        <v>0</v>
      </c>
      <c r="Z482" s="13">
        <v>0</v>
      </c>
      <c r="AA482" s="13">
        <f t="shared" si="88"/>
        <v>1.1897463977615585E-10</v>
      </c>
      <c r="AB482" s="13">
        <f t="shared" si="89"/>
        <v>653.05003886521001</v>
      </c>
      <c r="AC482" s="13">
        <f t="shared" si="83"/>
        <v>653.05003886532904</v>
      </c>
      <c r="AD482" s="13">
        <f t="shared" si="84"/>
        <v>6.7266252288454577E-11</v>
      </c>
      <c r="AE482" s="13">
        <f t="shared" si="79"/>
        <v>3.7260016112090405E-15</v>
      </c>
      <c r="AF482" s="13">
        <f t="shared" si="85"/>
        <v>8.4356273473766051E-15</v>
      </c>
      <c r="AG482" s="13">
        <f t="shared" si="86"/>
        <v>2.0764210355593727E-15</v>
      </c>
      <c r="AH482" s="10"/>
      <c r="AI482" s="13">
        <f t="shared" si="80"/>
        <v>2.721218412110632E-23</v>
      </c>
      <c r="AJ482" s="10"/>
      <c r="AK482" s="10"/>
      <c r="AL482" s="10"/>
      <c r="AM482" s="10"/>
      <c r="AN482" s="10"/>
    </row>
    <row r="483" spans="19:40">
      <c r="S483" s="10"/>
      <c r="T483" s="12">
        <v>477</v>
      </c>
      <c r="U483" s="13">
        <f t="shared" si="81"/>
        <v>0.12799891252243678</v>
      </c>
      <c r="V483" s="13">
        <f t="shared" si="82"/>
        <v>5.8682312209101755E-22</v>
      </c>
      <c r="W483" s="13">
        <f t="shared" si="87"/>
        <v>5.8682312209101755E-22</v>
      </c>
      <c r="X483" s="13">
        <v>0</v>
      </c>
      <c r="Y483" s="13">
        <v>0</v>
      </c>
      <c r="Z483" s="13">
        <v>0</v>
      </c>
      <c r="AA483" s="13">
        <f t="shared" si="88"/>
        <v>1.1148425495523549E-10</v>
      </c>
      <c r="AB483" s="13">
        <f t="shared" si="89"/>
        <v>653.05003886521752</v>
      </c>
      <c r="AC483" s="13">
        <f t="shared" si="83"/>
        <v>653.05003886532904</v>
      </c>
      <c r="AD483" s="13">
        <f t="shared" si="84"/>
        <v>6.2845571617137913E-11</v>
      </c>
      <c r="AE483" s="13">
        <f t="shared" si="79"/>
        <v>3.4811319664264489E-15</v>
      </c>
      <c r="AF483" s="13">
        <f t="shared" si="85"/>
        <v>7.9045385778945996E-15</v>
      </c>
      <c r="AG483" s="13">
        <f t="shared" si="86"/>
        <v>1.9399604178644309E-15</v>
      </c>
      <c r="AH483" s="10"/>
      <c r="AI483" s="13">
        <f t="shared" si="80"/>
        <v>2.3943311686429244E-23</v>
      </c>
      <c r="AJ483" s="10"/>
      <c r="AK483" s="10"/>
      <c r="AL483" s="10"/>
      <c r="AM483" s="10"/>
      <c r="AN483" s="10"/>
    </row>
    <row r="484" spans="19:40">
      <c r="S484" s="10"/>
      <c r="T484" s="12">
        <v>478</v>
      </c>
      <c r="U484" s="13">
        <f t="shared" si="81"/>
        <v>0.1280450801594481</v>
      </c>
      <c r="V484" s="13">
        <f t="shared" si="82"/>
        <v>5.1158040709693038E-22</v>
      </c>
      <c r="W484" s="13">
        <f t="shared" si="87"/>
        <v>5.1158040709693038E-22</v>
      </c>
      <c r="X484" s="13">
        <v>0</v>
      </c>
      <c r="Y484" s="13">
        <v>0</v>
      </c>
      <c r="Z484" s="13">
        <v>0</v>
      </c>
      <c r="AA484" s="13">
        <f t="shared" si="88"/>
        <v>1.0446544848807497E-10</v>
      </c>
      <c r="AB484" s="13">
        <f t="shared" si="89"/>
        <v>653.05003886522456</v>
      </c>
      <c r="AC484" s="13">
        <f t="shared" si="83"/>
        <v>653.05003886532904</v>
      </c>
      <c r="AD484" s="13">
        <f t="shared" si="84"/>
        <v>5.8715414305352593E-11</v>
      </c>
      <c r="AE484" s="13">
        <f t="shared" si="79"/>
        <v>3.2523549456393063E-15</v>
      </c>
      <c r="AF484" s="13">
        <f t="shared" si="85"/>
        <v>7.4068860034285826E-15</v>
      </c>
      <c r="AG484" s="13">
        <f t="shared" si="86"/>
        <v>1.8124678754599722E-15</v>
      </c>
      <c r="AH484" s="10"/>
      <c r="AI484" s="13">
        <f t="shared" si="80"/>
        <v>2.1066140171611191E-23</v>
      </c>
      <c r="AJ484" s="10"/>
      <c r="AK484" s="10"/>
      <c r="AL484" s="10"/>
      <c r="AM484" s="10"/>
      <c r="AN484" s="10"/>
    </row>
    <row r="485" spans="19:40">
      <c r="S485" s="10"/>
      <c r="T485" s="12">
        <v>479</v>
      </c>
      <c r="U485" s="13">
        <f t="shared" si="81"/>
        <v>0.12809116791223049</v>
      </c>
      <c r="V485" s="13">
        <f t="shared" si="82"/>
        <v>4.4596176803189191E-22</v>
      </c>
      <c r="W485" s="13">
        <f t="shared" si="87"/>
        <v>4.4596176803189191E-22</v>
      </c>
      <c r="X485" s="13">
        <v>0</v>
      </c>
      <c r="Y485" s="13">
        <v>0</v>
      </c>
      <c r="Z485" s="13">
        <v>0</v>
      </c>
      <c r="AA485" s="13">
        <f t="shared" si="88"/>
        <v>9.7888530826133546E-11</v>
      </c>
      <c r="AB485" s="13">
        <f t="shared" si="89"/>
        <v>653.05003886523116</v>
      </c>
      <c r="AC485" s="13">
        <f t="shared" si="83"/>
        <v>653.05003886532904</v>
      </c>
      <c r="AD485" s="13">
        <f t="shared" si="84"/>
        <v>5.4856687405946245E-11</v>
      </c>
      <c r="AE485" s="13">
        <f t="shared" si="79"/>
        <v>3.0386129553378681E-15</v>
      </c>
      <c r="AF485" s="13">
        <f t="shared" si="85"/>
        <v>6.9405645537880668E-15</v>
      </c>
      <c r="AG485" s="13">
        <f t="shared" si="86"/>
        <v>1.6933540340944771E-15</v>
      </c>
      <c r="AH485" s="10"/>
      <c r="AI485" s="13">
        <f t="shared" si="80"/>
        <v>1.8533851848579579E-23</v>
      </c>
      <c r="AJ485" s="10"/>
      <c r="AK485" s="10"/>
      <c r="AL485" s="10"/>
      <c r="AM485" s="10"/>
      <c r="AN485" s="10"/>
    </row>
    <row r="486" spans="19:40">
      <c r="S486" s="10"/>
      <c r="T486" s="12">
        <v>480</v>
      </c>
      <c r="U486" s="13">
        <f t="shared" si="81"/>
        <v>0.12813717608534925</v>
      </c>
      <c r="V486" s="13">
        <f t="shared" si="82"/>
        <v>3.8873928563073579E-22</v>
      </c>
      <c r="W486" s="13">
        <f t="shared" si="87"/>
        <v>3.8873928563073579E-22</v>
      </c>
      <c r="X486" s="13">
        <v>0</v>
      </c>
      <c r="Y486" s="13">
        <v>0</v>
      </c>
      <c r="Z486" s="13">
        <v>0</v>
      </c>
      <c r="AA486" s="13">
        <f t="shared" si="88"/>
        <v>9.1725681610339167E-11</v>
      </c>
      <c r="AB486" s="13">
        <f t="shared" si="89"/>
        <v>653.0500388652373</v>
      </c>
      <c r="AC486" s="13">
        <f t="shared" si="83"/>
        <v>653.05003886532904</v>
      </c>
      <c r="AD486" s="13">
        <f t="shared" si="84"/>
        <v>5.1251552743952706E-11</v>
      </c>
      <c r="AE486" s="13">
        <f t="shared" si="79"/>
        <v>2.838917906154916E-15</v>
      </c>
      <c r="AF486" s="13">
        <f t="shared" si="85"/>
        <v>6.5036016894280071E-15</v>
      </c>
      <c r="AG486" s="13">
        <f t="shared" si="86"/>
        <v>1.5820682526890586E-15</v>
      </c>
      <c r="AH486" s="10"/>
      <c r="AI486" s="13">
        <f t="shared" si="80"/>
        <v>1.6305210364868744E-23</v>
      </c>
      <c r="AJ486" s="10"/>
      <c r="AK486" s="10"/>
      <c r="AL486" s="10"/>
      <c r="AM486" s="10"/>
      <c r="AN486" s="10"/>
    </row>
    <row r="487" spans="19:4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row>
  </sheetData>
  <mergeCells count="1">
    <mergeCell ref="W4:Z4"/>
  </mergeCells>
  <phoneticPr fontId="6"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A6385-FDD0-409E-8CF1-7323F3FA978C}">
  <sheetPr codeName="Sheet11"/>
  <dimension ref="A2:L3"/>
  <sheetViews>
    <sheetView workbookViewId="0">
      <selection activeCell="B2" sqref="B2:L3"/>
    </sheetView>
  </sheetViews>
  <sheetFormatPr defaultRowHeight="14"/>
  <sheetData>
    <row r="2" spans="1:12">
      <c r="A2" s="233" t="s">
        <v>6</v>
      </c>
      <c r="B2" s="276" t="s">
        <v>114</v>
      </c>
      <c r="C2" s="277"/>
      <c r="D2" s="277"/>
      <c r="E2" s="277"/>
      <c r="F2" s="277"/>
      <c r="G2" s="277"/>
      <c r="H2" s="277"/>
      <c r="I2" s="277"/>
      <c r="J2" s="277"/>
      <c r="K2" s="277"/>
      <c r="L2" s="277"/>
    </row>
    <row r="3" spans="1:12">
      <c r="A3" s="233" t="s">
        <v>7</v>
      </c>
      <c r="B3" s="276"/>
      <c r="C3" s="277"/>
      <c r="D3" s="277"/>
      <c r="E3" s="277"/>
      <c r="F3" s="277"/>
      <c r="G3" s="277"/>
      <c r="H3" s="277"/>
      <c r="I3" s="277"/>
      <c r="J3" s="277"/>
      <c r="K3" s="277"/>
      <c r="L3" s="277"/>
    </row>
  </sheetData>
  <mergeCells count="1">
    <mergeCell ref="B2:L3"/>
  </mergeCells>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7BACB-DFF9-43A3-8DD6-E5A1AA83400F}">
  <sheetPr codeName="Sheet3"/>
  <dimension ref="C1:AN487"/>
  <sheetViews>
    <sheetView topLeftCell="G1" zoomScale="55" zoomScaleNormal="55" workbookViewId="0">
      <selection activeCell="N68" sqref="N68"/>
    </sheetView>
  </sheetViews>
  <sheetFormatPr defaultColWidth="9.08203125" defaultRowHeight="14"/>
  <cols>
    <col min="1" max="2" width="3" style="1" customWidth="1"/>
    <col min="3" max="3" width="3.58203125" style="1" customWidth="1"/>
    <col min="4" max="11" width="9.08203125" style="1"/>
    <col min="12" max="12" width="2.83203125" style="1" customWidth="1"/>
    <col min="13" max="13" width="3" style="1" customWidth="1"/>
    <col min="14" max="14" width="17.58203125" style="1" customWidth="1"/>
    <col min="15" max="15" width="12" style="1" bestFit="1" customWidth="1"/>
    <col min="16" max="16" width="9.08203125" style="1"/>
    <col min="17" max="17" width="35.58203125" style="1" customWidth="1"/>
    <col min="18" max="18" width="9.08203125" style="1"/>
    <col min="19" max="19" width="2.08203125" style="1" customWidth="1"/>
    <col min="20" max="20" width="9.08203125" style="1"/>
    <col min="21" max="28" width="10.08203125" style="1" customWidth="1"/>
    <col min="29" max="31" width="11.08203125" style="1" customWidth="1"/>
    <col min="32" max="32" width="14.08203125" style="1" customWidth="1"/>
    <col min="33" max="33" width="16.08203125" style="1" customWidth="1"/>
    <col min="34" max="34" width="13.83203125" style="1" customWidth="1"/>
    <col min="35" max="35" width="9.08203125" style="1"/>
    <col min="36" max="36" width="2.83203125" style="1" customWidth="1"/>
    <col min="37" max="37" width="16.08203125" style="1" customWidth="1"/>
    <col min="38" max="38" width="2.83203125" style="1" customWidth="1"/>
    <col min="39" max="39" width="11.58203125" style="1" customWidth="1"/>
    <col min="40" max="40" width="2" style="1" customWidth="1"/>
    <col min="41" max="16384" width="9.08203125" style="1"/>
  </cols>
  <sheetData>
    <row r="1" spans="3:40" s="10" customFormat="1" ht="5.25" customHeight="1"/>
    <row r="2" spans="3:40" s="10" customFormat="1" ht="25">
      <c r="C2" s="15" t="s">
        <v>73</v>
      </c>
    </row>
    <row r="3" spans="3:40" s="10" customFormat="1" ht="9" customHeight="1"/>
    <row r="4" spans="3:40">
      <c r="S4" s="10"/>
      <c r="T4" s="10"/>
      <c r="U4" s="10"/>
      <c r="V4" s="10"/>
      <c r="W4" s="275" t="s">
        <v>35</v>
      </c>
      <c r="X4" s="275"/>
      <c r="Y4" s="275"/>
      <c r="Z4" s="275"/>
      <c r="AA4" s="10"/>
      <c r="AB4" s="10"/>
      <c r="AC4" s="10"/>
      <c r="AD4" s="10"/>
      <c r="AE4" s="10"/>
      <c r="AF4" s="10"/>
      <c r="AG4" s="10"/>
      <c r="AH4" s="10"/>
      <c r="AI4" s="10"/>
      <c r="AJ4" s="10"/>
      <c r="AK4" s="10"/>
      <c r="AL4" s="10"/>
      <c r="AM4" s="10"/>
      <c r="AN4" s="10"/>
    </row>
    <row r="5" spans="3:40" ht="56">
      <c r="S5" s="10"/>
      <c r="T5" s="14" t="s">
        <v>36</v>
      </c>
      <c r="U5" s="14" t="s">
        <v>37</v>
      </c>
      <c r="V5" s="14" t="s">
        <v>38</v>
      </c>
      <c r="W5" s="26" t="s">
        <v>39</v>
      </c>
      <c r="X5" s="26" t="s">
        <v>40</v>
      </c>
      <c r="Y5" s="26" t="s">
        <v>41</v>
      </c>
      <c r="Z5" s="26" t="s">
        <v>42</v>
      </c>
      <c r="AA5" s="14" t="s">
        <v>43</v>
      </c>
      <c r="AB5" s="14" t="s">
        <v>44</v>
      </c>
      <c r="AC5" s="14" t="s">
        <v>45</v>
      </c>
      <c r="AD5" s="14" t="s">
        <v>28</v>
      </c>
      <c r="AE5" s="14" t="s">
        <v>46</v>
      </c>
      <c r="AF5" s="14" t="s">
        <v>74</v>
      </c>
      <c r="AG5" s="14" t="s">
        <v>48</v>
      </c>
      <c r="AH5" s="10"/>
      <c r="AI5" s="16" t="s">
        <v>49</v>
      </c>
      <c r="AJ5" s="10"/>
      <c r="AK5" s="11" t="s">
        <v>50</v>
      </c>
      <c r="AL5" s="11"/>
      <c r="AM5" s="11" t="s">
        <v>51</v>
      </c>
      <c r="AN5" s="10"/>
    </row>
    <row r="6" spans="3:40">
      <c r="S6" s="10"/>
      <c r="T6" s="12">
        <v>0</v>
      </c>
      <c r="U6" s="13">
        <v>0</v>
      </c>
      <c r="V6" s="13">
        <f>MIN(SUM(W6:Z6),cohortSize)</f>
        <v>660</v>
      </c>
      <c r="W6" s="13">
        <f>MAX(cohortSize-SUM(X6:Z6),0)</f>
        <v>0</v>
      </c>
      <c r="X6" s="13">
        <f>cohortSize*fAE1_PALB</f>
        <v>459.16199999999998</v>
      </c>
      <c r="Y6" s="13">
        <f>cohortSize*fAE2_PALB</f>
        <v>252.51599999999999</v>
      </c>
      <c r="Z6" s="13">
        <f>cohortSize*fAE3_PALB</f>
        <v>34.452000000000005</v>
      </c>
      <c r="AA6" s="13">
        <v>0</v>
      </c>
      <c r="AB6" s="13">
        <v>0</v>
      </c>
      <c r="AC6" s="13">
        <f>V6+AA6+AB6</f>
        <v>660</v>
      </c>
      <c r="AD6" s="13">
        <f>(V6*cPFS_PALB_1st+AA6*cP)/AC6/(1+rdis_Month)^T6</f>
        <v>5287.7039545278094</v>
      </c>
      <c r="AE6" s="13">
        <f>(V6+AA6)/AC6/12</f>
        <v>8.3333333333333329E-2</v>
      </c>
      <c r="AF6" s="13">
        <f>(V6*uS+AA6*uP)/AC6/12/(1+rdis_Month)^T6</f>
        <v>6.9166666666666668E-2</v>
      </c>
      <c r="AG6" s="13">
        <f>(W6*uS/12+X6*(uS+duAE1_PALB)/12+Y6*(uS/12+duAE2_PALB)/12+Z6*(uS+duAE3_PALB)/12+AA6*uP/12)/AC6/(1+rdis_Month)^T6</f>
        <v>4.5648658888888888E-2</v>
      </c>
      <c r="AH6" s="10"/>
      <c r="AI6" s="13">
        <f t="shared" ref="AI6:AI69" si="0">EXP(-lambda_pacl*(T6^gamma_pacl))</f>
        <v>1</v>
      </c>
      <c r="AJ6" s="10"/>
      <c r="AK6" s="18">
        <v>0</v>
      </c>
      <c r="AL6" s="10"/>
      <c r="AM6" s="18">
        <v>1</v>
      </c>
      <c r="AN6" s="10"/>
    </row>
    <row r="7" spans="3:40">
      <c r="S7" s="10"/>
      <c r="T7" s="12">
        <v>1</v>
      </c>
      <c r="U7" s="13">
        <f t="shared" ref="U7:U70" si="1">gamma_pacl*lambda_pacl*T7^(gamma_pacl-1)</f>
        <v>4.568139065387343E-2</v>
      </c>
      <c r="V7" s="13">
        <f>SUM(W7:Z7)</f>
        <v>629.73454908542408</v>
      </c>
      <c r="W7" s="13">
        <f>(1-($Q$13+U7))*V6</f>
        <v>629.73454908542408</v>
      </c>
      <c r="X7" s="13">
        <v>0</v>
      </c>
      <c r="Y7" s="13">
        <v>0</v>
      </c>
      <c r="Z7" s="13">
        <v>0</v>
      </c>
      <c r="AA7" s="13">
        <f>(1-$Q$17)*AA6+(U7*V6)</f>
        <v>30.149717831556465</v>
      </c>
      <c r="AB7" s="13">
        <f>(AB6*1)+(AA6*$Q$17)+(V6*$Q$13)</f>
        <v>0.1157330830194495</v>
      </c>
      <c r="AC7" s="13">
        <f t="shared" ref="AC7:AC70" si="2">V7+AA7+AB7</f>
        <v>660</v>
      </c>
      <c r="AD7" s="13">
        <f t="shared" ref="AD7:AD70" si="3">(V7*cPFS_PALB_after+AA7*cP)/AC7/(1+rdis_Month)^T6</f>
        <v>3973.210004955873</v>
      </c>
      <c r="AE7" s="13">
        <f t="shared" ref="AE7:AE70" si="4">(V7+AA7)/AC7/12</f>
        <v>8.3318720570325827E-2</v>
      </c>
      <c r="AF7" s="13">
        <f t="shared" ref="AF7:AF70" si="5">(V7*uS+AA7*uP)/AC7/12/(1+rdis_Month)^T6</f>
        <v>6.8110095528664885E-2</v>
      </c>
      <c r="AG7" s="13">
        <f t="shared" ref="AG7:AG70" si="6">(W7*uS/12+X7*(uS+duAE1_PALB)/12+Y7*(uS/12+duAE2_PALB)/12+Z7*(uS+duAE3_PALB)/12+AA7*uP/12)/AC7/(1+rdis_Month)^T6</f>
        <v>6.8110095528664885E-2</v>
      </c>
      <c r="AH7" s="10"/>
      <c r="AI7" s="13">
        <f t="shared" si="0"/>
        <v>0.9668303063500916</v>
      </c>
      <c r="AJ7" s="10"/>
      <c r="AK7" s="18">
        <v>0.35294117647058826</v>
      </c>
      <c r="AL7" s="10"/>
      <c r="AM7" s="18">
        <v>0.99744957383334365</v>
      </c>
      <c r="AN7" s="10"/>
    </row>
    <row r="8" spans="3:40">
      <c r="N8" s="1" t="s">
        <v>52</v>
      </c>
      <c r="S8" s="10"/>
      <c r="T8" s="12">
        <v>2</v>
      </c>
      <c r="U8" s="13">
        <f t="shared" si="1"/>
        <v>5.8394809383962097E-2</v>
      </c>
      <c r="V8" s="13">
        <f t="shared" ref="V8:V71" si="7">SUM(W8:Z8)</f>
        <v>592.85089418840425</v>
      </c>
      <c r="W8" s="13">
        <f t="shared" ref="W8:W71" si="8">(1-($Q$13+U8))*W7</f>
        <v>592.85089418840425</v>
      </c>
      <c r="X8" s="13">
        <v>0</v>
      </c>
      <c r="Y8" s="13">
        <v>0</v>
      </c>
      <c r="Z8" s="13">
        <v>0</v>
      </c>
      <c r="AA8" s="13">
        <f t="shared" ref="AA8:AA71" si="9">(1-$Q$17)*AA7+(U8*W7)</f>
        <v>65.024786060297956</v>
      </c>
      <c r="AB8" s="13">
        <f t="shared" ref="AB8:AB71" si="10">(AB7*1)+(AA7*$Q$17)+(W7*$Q$13)</f>
        <v>2.1243197512977146</v>
      </c>
      <c r="AC8" s="13">
        <f t="shared" si="2"/>
        <v>659.99999999999989</v>
      </c>
      <c r="AD8" s="13">
        <f t="shared" si="3"/>
        <v>3812.5052465130943</v>
      </c>
      <c r="AE8" s="13">
        <f t="shared" si="4"/>
        <v>8.3065111142512929E-2</v>
      </c>
      <c r="AF8" s="13">
        <f t="shared" si="5"/>
        <v>6.6494932726427952E-2</v>
      </c>
      <c r="AG8" s="13">
        <f t="shared" si="6"/>
        <v>6.6494932726427938E-2</v>
      </c>
      <c r="AH8" s="10"/>
      <c r="AI8" s="13">
        <f t="shared" si="0"/>
        <v>0.91737368543244568</v>
      </c>
      <c r="AJ8" s="10"/>
      <c r="AK8" s="18">
        <v>0.52941176470588236</v>
      </c>
      <c r="AL8" s="10"/>
      <c r="AM8" s="18">
        <v>0.99670134029238178</v>
      </c>
      <c r="AN8" s="10"/>
    </row>
    <row r="9" spans="3:40">
      <c r="N9" s="5" t="s">
        <v>53</v>
      </c>
      <c r="O9" s="5"/>
      <c r="P9" s="5"/>
      <c r="Q9" s="6" t="s">
        <v>54</v>
      </c>
      <c r="S9" s="10"/>
      <c r="T9" s="12">
        <v>3</v>
      </c>
      <c r="U9" s="13">
        <f t="shared" si="1"/>
        <v>6.7414245719818328E-2</v>
      </c>
      <c r="V9" s="13">
        <f t="shared" si="7"/>
        <v>552.78034005698635</v>
      </c>
      <c r="W9" s="13">
        <f t="shared" si="8"/>
        <v>552.78034005698635</v>
      </c>
      <c r="X9" s="13">
        <v>0</v>
      </c>
      <c r="Y9" s="13">
        <v>0</v>
      </c>
      <c r="Z9" s="13">
        <v>0</v>
      </c>
      <c r="AA9" s="13">
        <f t="shared" si="9"/>
        <v>100.89756266701988</v>
      </c>
      <c r="AB9" s="13">
        <f t="shared" si="10"/>
        <v>6.3220972759936478</v>
      </c>
      <c r="AC9" s="13">
        <f t="shared" si="2"/>
        <v>659.99999999999989</v>
      </c>
      <c r="AD9" s="13">
        <f t="shared" si="3"/>
        <v>3635.3231305322633</v>
      </c>
      <c r="AE9" s="13">
        <f t="shared" si="4"/>
        <v>8.253508872777858E-2</v>
      </c>
      <c r="AF9" s="13">
        <f t="shared" si="5"/>
        <v>6.4626266029231952E-2</v>
      </c>
      <c r="AG9" s="13">
        <f t="shared" si="6"/>
        <v>6.4626266029231966E-2</v>
      </c>
      <c r="AH9" s="10"/>
      <c r="AI9" s="13">
        <f t="shared" si="0"/>
        <v>0.86127527944753457</v>
      </c>
      <c r="AJ9" s="10"/>
      <c r="AK9" s="18">
        <v>0.70588235294117652</v>
      </c>
      <c r="AL9" s="10"/>
      <c r="AM9" s="18">
        <v>0.99252174465614007</v>
      </c>
      <c r="AN9" s="10"/>
    </row>
    <row r="10" spans="3:40">
      <c r="N10" s="3" t="s">
        <v>55</v>
      </c>
      <c r="Q10" s="7"/>
      <c r="S10" s="10"/>
      <c r="T10" s="12">
        <v>4</v>
      </c>
      <c r="U10" s="13">
        <f t="shared" si="1"/>
        <v>7.4646452618450015E-2</v>
      </c>
      <c r="V10" s="13">
        <f t="shared" si="7"/>
        <v>511.42031681725825</v>
      </c>
      <c r="W10" s="13">
        <f t="shared" si="8"/>
        <v>511.42031681725825</v>
      </c>
      <c r="X10" s="13">
        <v>0</v>
      </c>
      <c r="Y10" s="13">
        <v>0</v>
      </c>
      <c r="Z10" s="13">
        <v>0</v>
      </c>
      <c r="AA10" s="13">
        <f t="shared" si="9"/>
        <v>135.80836280674259</v>
      </c>
      <c r="AB10" s="13">
        <f t="shared" si="10"/>
        <v>12.771320375999011</v>
      </c>
      <c r="AC10" s="13">
        <f t="shared" si="2"/>
        <v>659.99999999999989</v>
      </c>
      <c r="AD10" s="13">
        <f t="shared" si="3"/>
        <v>3449.0602087292291</v>
      </c>
      <c r="AE10" s="13">
        <f t="shared" si="4"/>
        <v>8.1720792881818299E-2</v>
      </c>
      <c r="AF10" s="13">
        <f t="shared" si="5"/>
        <v>6.2567198972918833E-2</v>
      </c>
      <c r="AG10" s="13">
        <f t="shared" si="6"/>
        <v>6.2567198972918833E-2</v>
      </c>
      <c r="AH10" s="10"/>
      <c r="AI10" s="13">
        <f t="shared" si="0"/>
        <v>0.80213107877550593</v>
      </c>
      <c r="AJ10" s="10"/>
      <c r="AK10" s="18">
        <v>0.88235294117647056</v>
      </c>
      <c r="AL10" s="10"/>
      <c r="AM10" s="18">
        <v>0.99092075864973073</v>
      </c>
      <c r="AN10" s="10"/>
    </row>
    <row r="11" spans="3:40">
      <c r="N11" s="2" t="s">
        <v>56</v>
      </c>
      <c r="O11" s="2" t="s">
        <v>57</v>
      </c>
      <c r="P11" s="2" t="s">
        <v>56</v>
      </c>
      <c r="Q11" s="8" t="s">
        <v>58</v>
      </c>
      <c r="S11" s="10"/>
      <c r="T11" s="12">
        <v>5</v>
      </c>
      <c r="U11" s="13">
        <f t="shared" si="1"/>
        <v>8.0786343768775526E-2</v>
      </c>
      <c r="V11" s="13">
        <f t="shared" si="7"/>
        <v>470.0148601258806</v>
      </c>
      <c r="W11" s="13">
        <f t="shared" si="8"/>
        <v>470.0148601258806</v>
      </c>
      <c r="X11" s="13">
        <v>0</v>
      </c>
      <c r="Y11" s="13">
        <v>0</v>
      </c>
      <c r="Z11" s="13">
        <v>0</v>
      </c>
      <c r="AA11" s="13">
        <f t="shared" si="9"/>
        <v>168.57394088353416</v>
      </c>
      <c r="AB11" s="13">
        <f t="shared" si="10"/>
        <v>21.411198990585053</v>
      </c>
      <c r="AC11" s="13">
        <f t="shared" si="2"/>
        <v>659.99999999999977</v>
      </c>
      <c r="AD11" s="13">
        <f t="shared" si="3"/>
        <v>3258.7668001676893</v>
      </c>
      <c r="AE11" s="13">
        <f t="shared" si="4"/>
        <v>8.062989911735037E-2</v>
      </c>
      <c r="AF11" s="13">
        <f t="shared" si="5"/>
        <v>6.0366266498952131E-2</v>
      </c>
      <c r="AG11" s="13">
        <f t="shared" si="6"/>
        <v>6.0366266498952124E-2</v>
      </c>
      <c r="AH11" s="10"/>
      <c r="AI11" s="13">
        <f t="shared" si="0"/>
        <v>0.74209849416356777</v>
      </c>
      <c r="AJ11" s="10"/>
      <c r="AK11" s="18">
        <v>1.0588235294117647</v>
      </c>
      <c r="AL11" s="10"/>
      <c r="AM11" s="18">
        <v>0.98153899129560662</v>
      </c>
      <c r="AN11" s="10"/>
    </row>
    <row r="12" spans="3:40">
      <c r="N12" s="2" t="s">
        <v>56</v>
      </c>
      <c r="O12" s="2" t="s">
        <v>57</v>
      </c>
      <c r="P12" s="2" t="s">
        <v>43</v>
      </c>
      <c r="Q12" s="8" t="s">
        <v>59</v>
      </c>
      <c r="S12" s="10"/>
      <c r="T12" s="12">
        <v>6</v>
      </c>
      <c r="U12" s="13">
        <f t="shared" si="1"/>
        <v>8.6176054892903697E-2</v>
      </c>
      <c r="V12" s="13">
        <f t="shared" si="7"/>
        <v>429.42841515005995</v>
      </c>
      <c r="W12" s="13">
        <f t="shared" si="8"/>
        <v>429.42841515005995</v>
      </c>
      <c r="X12" s="13">
        <v>0</v>
      </c>
      <c r="Y12" s="13">
        <v>0</v>
      </c>
      <c r="Z12" s="13">
        <v>0</v>
      </c>
      <c r="AA12" s="13">
        <f t="shared" si="9"/>
        <v>198.46491821718951</v>
      </c>
      <c r="AB12" s="13">
        <f t="shared" si="10"/>
        <v>32.106666632750361</v>
      </c>
      <c r="AC12" s="13">
        <f t="shared" si="2"/>
        <v>659.99999999999977</v>
      </c>
      <c r="AD12" s="13">
        <f t="shared" si="3"/>
        <v>3068.1314047123269</v>
      </c>
      <c r="AE12" s="13">
        <f t="shared" si="4"/>
        <v>7.9279461283743635E-2</v>
      </c>
      <c r="AF12" s="13">
        <f t="shared" si="5"/>
        <v>5.8063619061640183E-2</v>
      </c>
      <c r="AG12" s="13">
        <f t="shared" si="6"/>
        <v>5.8063619061640183E-2</v>
      </c>
      <c r="AH12" s="10"/>
      <c r="AI12" s="13">
        <f t="shared" si="0"/>
        <v>0.68262654832956471</v>
      </c>
      <c r="AJ12" s="10"/>
      <c r="AK12" s="18">
        <v>1.2352941176470589</v>
      </c>
      <c r="AL12" s="10"/>
      <c r="AM12" s="18">
        <v>0.9696599377586792</v>
      </c>
      <c r="AN12" s="10"/>
    </row>
    <row r="13" spans="3:40">
      <c r="N13" s="2" t="s">
        <v>56</v>
      </c>
      <c r="O13" s="2" t="s">
        <v>57</v>
      </c>
      <c r="P13" s="2" t="s">
        <v>44</v>
      </c>
      <c r="Q13" s="19">
        <f>tpPFS2D</f>
        <v>1.75353156090075E-4</v>
      </c>
      <c r="S13" s="10"/>
      <c r="T13" s="12">
        <v>7</v>
      </c>
      <c r="U13" s="13">
        <f t="shared" si="1"/>
        <v>9.1012576344699669E-2</v>
      </c>
      <c r="V13" s="13">
        <f t="shared" si="7"/>
        <v>390.26972710372041</v>
      </c>
      <c r="W13" s="13">
        <f t="shared" si="8"/>
        <v>390.26972710372041</v>
      </c>
      <c r="X13" s="13">
        <v>0</v>
      </c>
      <c r="Y13" s="13">
        <v>0</v>
      </c>
      <c r="Z13" s="13">
        <v>0</v>
      </c>
      <c r="AA13" s="13">
        <f t="shared" si="9"/>
        <v>225.05338459456317</v>
      </c>
      <c r="AB13" s="13">
        <f t="shared" si="10"/>
        <v>44.676888301716225</v>
      </c>
      <c r="AC13" s="13">
        <f t="shared" si="2"/>
        <v>659.99999999999977</v>
      </c>
      <c r="AD13" s="13">
        <f t="shared" si="3"/>
        <v>2879.9147554561746</v>
      </c>
      <c r="AE13" s="13">
        <f t="shared" si="4"/>
        <v>7.7692312083116638E-2</v>
      </c>
      <c r="AF13" s="13">
        <f t="shared" si="5"/>
        <v>5.5693393573034683E-2</v>
      </c>
      <c r="AG13" s="13">
        <f t="shared" si="6"/>
        <v>5.5693393573034683E-2</v>
      </c>
      <c r="AH13" s="10"/>
      <c r="AI13" s="13">
        <f t="shared" si="0"/>
        <v>0.62472622253792642</v>
      </c>
      <c r="AJ13" s="10"/>
      <c r="AK13" s="18">
        <v>1.411764705882353</v>
      </c>
      <c r="AL13" s="10"/>
      <c r="AM13" s="18">
        <v>0.96675127159608953</v>
      </c>
      <c r="AN13" s="10"/>
    </row>
    <row r="14" spans="3:40">
      <c r="N14" s="2"/>
      <c r="O14" s="2"/>
      <c r="P14" s="2"/>
      <c r="Q14" s="8"/>
      <c r="S14" s="10"/>
      <c r="T14" s="12">
        <v>8</v>
      </c>
      <c r="U14" s="13">
        <f t="shared" si="1"/>
        <v>9.542103052140205E-2</v>
      </c>
      <c r="V14" s="13">
        <f t="shared" si="7"/>
        <v>352.96135253380299</v>
      </c>
      <c r="W14" s="13">
        <f t="shared" si="8"/>
        <v>352.96135253380299</v>
      </c>
      <c r="X14" s="13">
        <v>0</v>
      </c>
      <c r="Y14" s="13">
        <v>0</v>
      </c>
      <c r="Z14" s="13">
        <v>0</v>
      </c>
      <c r="AA14" s="13">
        <f t="shared" si="9"/>
        <v>248.1244520213863</v>
      </c>
      <c r="AB14" s="13">
        <f t="shared" si="10"/>
        <v>58.914195444810481</v>
      </c>
      <c r="AC14" s="13">
        <f t="shared" si="2"/>
        <v>659.99999999999977</v>
      </c>
      <c r="AD14" s="13">
        <f t="shared" si="3"/>
        <v>2696.1884595222873</v>
      </c>
      <c r="AE14" s="13">
        <f t="shared" si="4"/>
        <v>7.5894672292321899E-2</v>
      </c>
      <c r="AF14" s="13">
        <f t="shared" si="5"/>
        <v>5.3284856081845113E-2</v>
      </c>
      <c r="AG14" s="13">
        <f t="shared" si="6"/>
        <v>5.3284856081845113E-2</v>
      </c>
      <c r="AH14" s="10"/>
      <c r="AI14" s="13">
        <f t="shared" si="0"/>
        <v>0.56910504960459896</v>
      </c>
      <c r="AJ14" s="10"/>
      <c r="AK14" s="18">
        <v>1.588235294117647</v>
      </c>
      <c r="AL14" s="10"/>
      <c r="AM14" s="18">
        <v>0.96573000621049432</v>
      </c>
      <c r="AN14" s="10"/>
    </row>
    <row r="15" spans="3:40">
      <c r="N15" s="4" t="s">
        <v>60</v>
      </c>
      <c r="O15" s="2"/>
      <c r="P15" s="2"/>
      <c r="Q15" s="8"/>
      <c r="S15" s="10"/>
      <c r="T15" s="12">
        <v>9</v>
      </c>
      <c r="U15" s="13">
        <f t="shared" si="1"/>
        <v>9.9486474928203381E-2</v>
      </c>
      <c r="V15" s="13">
        <f t="shared" si="7"/>
        <v>317.78457889717941</v>
      </c>
      <c r="W15" s="13">
        <f t="shared" si="8"/>
        <v>317.78457889717941</v>
      </c>
      <c r="X15" s="13">
        <v>0</v>
      </c>
      <c r="Y15" s="13">
        <v>0</v>
      </c>
      <c r="Z15" s="13">
        <v>0</v>
      </c>
      <c r="AA15" s="13">
        <f t="shared" si="9"/>
        <v>267.61795637806171</v>
      </c>
      <c r="AB15" s="13">
        <f t="shared" si="10"/>
        <v>74.59746472475868</v>
      </c>
      <c r="AC15" s="13">
        <f t="shared" si="2"/>
        <v>659.99999999999977</v>
      </c>
      <c r="AD15" s="13">
        <f t="shared" si="3"/>
        <v>2518.4875338674942</v>
      </c>
      <c r="AE15" s="13">
        <f t="shared" si="4"/>
        <v>7.3914461524651684E-2</v>
      </c>
      <c r="AF15" s="13">
        <f t="shared" si="5"/>
        <v>5.0863073691990057E-2</v>
      </c>
      <c r="AG15" s="13">
        <f t="shared" si="6"/>
        <v>5.086307369199005E-2</v>
      </c>
      <c r="AH15" s="10"/>
      <c r="AI15" s="13">
        <f t="shared" si="0"/>
        <v>0.51624709867513785</v>
      </c>
      <c r="AJ15" s="10"/>
      <c r="AK15" s="18">
        <v>1.7647058823529411</v>
      </c>
      <c r="AL15" s="10"/>
      <c r="AM15" s="18">
        <v>0.9319217575754728</v>
      </c>
      <c r="AN15" s="10"/>
    </row>
    <row r="16" spans="3:40">
      <c r="N16" s="2" t="s">
        <v>43</v>
      </c>
      <c r="O16" s="2" t="s">
        <v>57</v>
      </c>
      <c r="P16" s="2" t="s">
        <v>43</v>
      </c>
      <c r="Q16" s="8" t="s">
        <v>61</v>
      </c>
      <c r="S16" s="10"/>
      <c r="T16" s="12">
        <v>10</v>
      </c>
      <c r="U16" s="13">
        <f t="shared" si="1"/>
        <v>0.10326969204920372</v>
      </c>
      <c r="V16" s="13">
        <f t="shared" si="7"/>
        <v>284.91133876761546</v>
      </c>
      <c r="W16" s="13">
        <f t="shared" si="8"/>
        <v>284.91133876761546</v>
      </c>
      <c r="X16" s="13">
        <v>0</v>
      </c>
      <c r="Y16" s="13">
        <v>0</v>
      </c>
      <c r="Z16" s="13">
        <v>0</v>
      </c>
      <c r="AA16" s="13">
        <f t="shared" si="9"/>
        <v>283.58682690570436</v>
      </c>
      <c r="AB16" s="13">
        <f t="shared" si="10"/>
        <v>91.501834326680012</v>
      </c>
      <c r="AC16" s="13">
        <f t="shared" si="2"/>
        <v>659.99999999999977</v>
      </c>
      <c r="AD16" s="13">
        <f t="shared" si="3"/>
        <v>2347.9186944433854</v>
      </c>
      <c r="AE16" s="13">
        <f t="shared" si="4"/>
        <v>7.1780071423398997E-2</v>
      </c>
      <c r="AF16" s="13">
        <f t="shared" si="5"/>
        <v>4.8449386705806383E-2</v>
      </c>
      <c r="AG16" s="13">
        <f t="shared" si="6"/>
        <v>4.844938670580639E-2</v>
      </c>
      <c r="AH16" s="10"/>
      <c r="AI16" s="13">
        <f t="shared" si="0"/>
        <v>0.46646640138364015</v>
      </c>
      <c r="AJ16" s="10"/>
      <c r="AK16" s="18">
        <v>1.9411764705882353</v>
      </c>
      <c r="AL16" s="10"/>
      <c r="AM16" s="18">
        <v>0.87438837109027423</v>
      </c>
      <c r="AN16" s="10"/>
    </row>
    <row r="17" spans="14:40">
      <c r="N17" s="2" t="s">
        <v>43</v>
      </c>
      <c r="O17" s="2" t="s">
        <v>57</v>
      </c>
      <c r="P17" s="2" t="s">
        <v>44</v>
      </c>
      <c r="Q17" s="19">
        <f>tpP2D</f>
        <v>6.2957827273940503E-2</v>
      </c>
      <c r="S17" s="10"/>
      <c r="T17" s="12">
        <v>11</v>
      </c>
      <c r="U17" s="13">
        <f t="shared" si="1"/>
        <v>0.10681581547184135</v>
      </c>
      <c r="V17" s="13">
        <f t="shared" si="7"/>
        <v>254.42834167751982</v>
      </c>
      <c r="W17" s="13">
        <f t="shared" si="8"/>
        <v>254.42834167751982</v>
      </c>
      <c r="X17" s="13">
        <v>0</v>
      </c>
      <c r="Y17" s="13">
        <v>0</v>
      </c>
      <c r="Z17" s="13">
        <v>0</v>
      </c>
      <c r="AA17" s="13">
        <f t="shared" si="9"/>
        <v>296.16585342784708</v>
      </c>
      <c r="AB17" s="13">
        <f t="shared" si="10"/>
        <v>109.40580489463296</v>
      </c>
      <c r="AC17" s="13">
        <f t="shared" si="2"/>
        <v>659.99999999999989</v>
      </c>
      <c r="AD17" s="13">
        <f t="shared" si="3"/>
        <v>2185.2428920217703</v>
      </c>
      <c r="AE17" s="13">
        <f t="shared" si="4"/>
        <v>6.9519469078960477E-2</v>
      </c>
      <c r="AF17" s="13">
        <f t="shared" si="5"/>
        <v>4.6061789344045631E-2</v>
      </c>
      <c r="AG17" s="13">
        <f t="shared" si="6"/>
        <v>4.6061789344045631E-2</v>
      </c>
      <c r="AH17" s="10"/>
      <c r="AI17" s="13">
        <f t="shared" si="0"/>
        <v>0.41994554838626047</v>
      </c>
      <c r="AJ17" s="10"/>
      <c r="AK17" s="18">
        <v>2.1176470588235294</v>
      </c>
      <c r="AL17" s="10"/>
      <c r="AM17" s="18">
        <v>0.82991012601313385</v>
      </c>
      <c r="AN17" s="10"/>
    </row>
    <row r="18" spans="14:40">
      <c r="N18" s="2"/>
      <c r="O18" s="2"/>
      <c r="P18" s="2"/>
      <c r="Q18" s="8"/>
      <c r="S18" s="10"/>
      <c r="T18" s="12">
        <v>12</v>
      </c>
      <c r="U18" s="13">
        <f t="shared" si="1"/>
        <v>0.1101593937247239</v>
      </c>
      <c r="V18" s="13">
        <f t="shared" si="7"/>
        <v>226.35605499922542</v>
      </c>
      <c r="W18" s="13">
        <f t="shared" si="8"/>
        <v>226.35605499922542</v>
      </c>
      <c r="X18" s="13">
        <v>0</v>
      </c>
      <c r="Y18" s="13">
        <v>0</v>
      </c>
      <c r="Z18" s="13">
        <v>0</v>
      </c>
      <c r="AA18" s="13">
        <f t="shared" si="9"/>
        <v>305.54756664887998</v>
      </c>
      <c r="AB18" s="13">
        <f t="shared" si="10"/>
        <v>128.09637835189446</v>
      </c>
      <c r="AC18" s="13">
        <f t="shared" si="2"/>
        <v>659.99999999999989</v>
      </c>
      <c r="AD18" s="13">
        <f t="shared" si="3"/>
        <v>2030.9411749029462</v>
      </c>
      <c r="AE18" s="13">
        <f t="shared" si="4"/>
        <v>6.7159548187892104E-2</v>
      </c>
      <c r="AF18" s="13">
        <f t="shared" si="5"/>
        <v>4.3715264725283878E-2</v>
      </c>
      <c r="AG18" s="13">
        <f t="shared" si="6"/>
        <v>4.3715264725283878E-2</v>
      </c>
      <c r="AH18" s="10"/>
      <c r="AI18" s="13">
        <f t="shared" si="0"/>
        <v>0.37676505532775328</v>
      </c>
      <c r="AJ18" s="10"/>
      <c r="AK18" s="18">
        <v>2.2941176470588234</v>
      </c>
      <c r="AL18" s="10"/>
      <c r="AM18" s="18">
        <v>0.82400418896219207</v>
      </c>
      <c r="AN18" s="10"/>
    </row>
    <row r="19" spans="14:40">
      <c r="N19" s="4" t="s">
        <v>62</v>
      </c>
      <c r="O19" s="2"/>
      <c r="P19" s="2"/>
      <c r="Q19" s="8"/>
      <c r="S19" s="10"/>
      <c r="T19" s="12">
        <v>13</v>
      </c>
      <c r="U19" s="13">
        <f t="shared" si="1"/>
        <v>0.11332753485061135</v>
      </c>
      <c r="V19" s="13">
        <f t="shared" si="7"/>
        <v>200.66398903900961</v>
      </c>
      <c r="W19" s="13">
        <f t="shared" si="8"/>
        <v>200.66398903900961</v>
      </c>
      <c r="X19" s="13">
        <v>0</v>
      </c>
      <c r="Y19" s="13">
        <v>0</v>
      </c>
      <c r="Z19" s="13">
        <v>0</v>
      </c>
      <c r="AA19" s="13">
        <f t="shared" si="9"/>
        <v>311.96332943539858</v>
      </c>
      <c r="AB19" s="13">
        <f t="shared" si="10"/>
        <v>147.37268152559167</v>
      </c>
      <c r="AC19" s="13">
        <f t="shared" si="2"/>
        <v>659.99999999999989</v>
      </c>
      <c r="AD19" s="13">
        <f t="shared" si="3"/>
        <v>1885.2687441398673</v>
      </c>
      <c r="AE19" s="13">
        <f t="shared" si="4"/>
        <v>6.4725671524546502E-2</v>
      </c>
      <c r="AF19" s="13">
        <f t="shared" si="5"/>
        <v>4.1422093374790948E-2</v>
      </c>
      <c r="AG19" s="13">
        <f t="shared" si="6"/>
        <v>4.1422093374790941E-2</v>
      </c>
      <c r="AH19" s="10"/>
      <c r="AI19" s="13">
        <f t="shared" si="0"/>
        <v>0.33692646056796277</v>
      </c>
      <c r="AJ19" s="10"/>
      <c r="AK19" s="18">
        <v>2.4705882352941178</v>
      </c>
      <c r="AL19" s="10"/>
      <c r="AM19" s="18">
        <v>0.82328806755846906</v>
      </c>
      <c r="AN19" s="10"/>
    </row>
    <row r="20" spans="14:40">
      <c r="N20" s="6" t="s">
        <v>63</v>
      </c>
      <c r="O20" s="6" t="s">
        <v>64</v>
      </c>
      <c r="P20" s="6" t="s">
        <v>44</v>
      </c>
      <c r="Q20" s="9">
        <v>1</v>
      </c>
      <c r="S20" s="10"/>
      <c r="T20" s="12">
        <v>14</v>
      </c>
      <c r="U20" s="13">
        <f t="shared" si="1"/>
        <v>0.11634194955799562</v>
      </c>
      <c r="V20" s="13">
        <f t="shared" si="7"/>
        <v>177.28316228433536</v>
      </c>
      <c r="W20" s="13">
        <f t="shared" si="8"/>
        <v>177.28316228433536</v>
      </c>
      <c r="X20" s="13">
        <v>0</v>
      </c>
      <c r="Y20" s="13">
        <v>0</v>
      </c>
      <c r="Z20" s="13">
        <v>0</v>
      </c>
      <c r="AA20" s="13">
        <f t="shared" si="9"/>
        <v>315.66843571588402</v>
      </c>
      <c r="AB20" s="13">
        <f t="shared" si="10"/>
        <v>167.04840199978051</v>
      </c>
      <c r="AC20" s="13">
        <f t="shared" si="2"/>
        <v>659.99999999999989</v>
      </c>
      <c r="AD20" s="13">
        <f t="shared" si="3"/>
        <v>1748.3000280249762</v>
      </c>
      <c r="AE20" s="13">
        <f t="shared" si="4"/>
        <v>6.22413633838661E-2</v>
      </c>
      <c r="AF20" s="13">
        <f t="shared" si="5"/>
        <v>3.9192142846630008E-2</v>
      </c>
      <c r="AG20" s="13">
        <f t="shared" si="6"/>
        <v>3.9192142846630001E-2</v>
      </c>
      <c r="AH20" s="10"/>
      <c r="AI20" s="13">
        <f t="shared" si="0"/>
        <v>0.30037086447174194</v>
      </c>
      <c r="AJ20" s="10"/>
      <c r="AK20" s="18">
        <v>2.6470588235294117</v>
      </c>
      <c r="AL20" s="10"/>
      <c r="AM20" s="18">
        <v>0.82243069619946763</v>
      </c>
      <c r="AN20" s="10"/>
    </row>
    <row r="21" spans="14:40">
      <c r="N21" s="1" t="s">
        <v>65</v>
      </c>
      <c r="S21" s="10"/>
      <c r="T21" s="12">
        <v>15</v>
      </c>
      <c r="U21" s="13">
        <f t="shared" si="1"/>
        <v>0.11922032914670377</v>
      </c>
      <c r="V21" s="13">
        <f t="shared" si="7"/>
        <v>156.11631816260021</v>
      </c>
      <c r="W21" s="13">
        <f t="shared" si="8"/>
        <v>156.11631816260021</v>
      </c>
      <c r="X21" s="13">
        <v>0</v>
      </c>
      <c r="Y21" s="13">
        <v>0</v>
      </c>
      <c r="Z21" s="13">
        <v>0</v>
      </c>
      <c r="AA21" s="13">
        <f t="shared" si="9"/>
        <v>316.93039382395534</v>
      </c>
      <c r="AB21" s="13">
        <f t="shared" si="10"/>
        <v>186.95328801344434</v>
      </c>
      <c r="AC21" s="13">
        <f t="shared" si="2"/>
        <v>659.99999999999989</v>
      </c>
      <c r="AD21" s="13">
        <f t="shared" si="3"/>
        <v>1619.9665556883353</v>
      </c>
      <c r="AE21" s="13">
        <f t="shared" si="4"/>
        <v>5.9728120200322678E-2</v>
      </c>
      <c r="AF21" s="13">
        <f t="shared" si="5"/>
        <v>3.7033140835357456E-2</v>
      </c>
      <c r="AG21" s="13">
        <f t="shared" si="6"/>
        <v>3.7033140835357456E-2</v>
      </c>
      <c r="AH21" s="10"/>
      <c r="AI21" s="13">
        <f t="shared" si="0"/>
        <v>0.26699397721753448</v>
      </c>
      <c r="AJ21" s="10"/>
      <c r="AK21" s="18">
        <v>2.8235294117647061</v>
      </c>
      <c r="AL21" s="10"/>
      <c r="AM21" s="18">
        <v>0.8213476564241895</v>
      </c>
      <c r="AN21" s="10"/>
    </row>
    <row r="22" spans="14:40">
      <c r="S22" s="10"/>
      <c r="T22" s="12">
        <v>16</v>
      </c>
      <c r="U22" s="13">
        <f t="shared" si="1"/>
        <v>0.12197730429745647</v>
      </c>
      <c r="V22" s="13">
        <f t="shared" si="7"/>
        <v>137.04629502717523</v>
      </c>
      <c r="W22" s="13">
        <f t="shared" si="8"/>
        <v>137.04629502717523</v>
      </c>
      <c r="X22" s="13">
        <v>0</v>
      </c>
      <c r="Y22" s="13">
        <v>0</v>
      </c>
      <c r="Z22" s="13">
        <v>0</v>
      </c>
      <c r="AA22" s="13">
        <f t="shared" si="9"/>
        <v>316.01979247804286</v>
      </c>
      <c r="AB22" s="13">
        <f t="shared" si="10"/>
        <v>206.93391249478185</v>
      </c>
      <c r="AC22" s="13">
        <f t="shared" si="2"/>
        <v>660</v>
      </c>
      <c r="AD22" s="13">
        <f t="shared" si="3"/>
        <v>1500.0888448014734</v>
      </c>
      <c r="AE22" s="13">
        <f t="shared" si="4"/>
        <v>5.7205314078941673E-2</v>
      </c>
      <c r="AF22" s="13">
        <f t="shared" si="5"/>
        <v>3.49509319512748E-2</v>
      </c>
      <c r="AG22" s="13">
        <f t="shared" si="6"/>
        <v>3.4950931951274807E-2</v>
      </c>
      <c r="AH22" s="10"/>
      <c r="AI22" s="13">
        <f t="shared" si="0"/>
        <v>0.23665839020078325</v>
      </c>
      <c r="AJ22" s="10"/>
      <c r="AK22" s="18">
        <v>3</v>
      </c>
      <c r="AL22" s="10"/>
      <c r="AM22" s="18">
        <v>0.81828534385399676</v>
      </c>
      <c r="AN22" s="10"/>
    </row>
    <row r="23" spans="14:40">
      <c r="N23" s="1" t="s">
        <v>66</v>
      </c>
      <c r="S23" s="10"/>
      <c r="T23" s="12">
        <v>17</v>
      </c>
      <c r="U23" s="13">
        <f t="shared" si="1"/>
        <v>0.12462513020094947</v>
      </c>
      <c r="V23" s="13">
        <f t="shared" si="7"/>
        <v>119.94285116549233</v>
      </c>
      <c r="W23" s="13">
        <f t="shared" si="8"/>
        <v>119.94285116549233</v>
      </c>
      <c r="X23" s="13">
        <v>0</v>
      </c>
      <c r="Y23" s="13">
        <v>0</v>
      </c>
      <c r="Z23" s="13">
        <v>0</v>
      </c>
      <c r="AA23" s="13">
        <f t="shared" si="9"/>
        <v>313.20328532938316</v>
      </c>
      <c r="AB23" s="13">
        <f t="shared" si="10"/>
        <v>226.85386350512445</v>
      </c>
      <c r="AC23" s="13">
        <f t="shared" si="2"/>
        <v>659.99999999999989</v>
      </c>
      <c r="AD23" s="13">
        <f t="shared" si="3"/>
        <v>1388.4031990428539</v>
      </c>
      <c r="AE23" s="13">
        <f t="shared" si="4"/>
        <v>5.4690168749352973E-2</v>
      </c>
      <c r="AF23" s="13">
        <f t="shared" si="5"/>
        <v>3.294971756169128E-2</v>
      </c>
      <c r="AG23" s="13">
        <f t="shared" si="6"/>
        <v>3.294971756169128E-2</v>
      </c>
      <c r="AH23" s="10"/>
      <c r="AI23" s="13">
        <f t="shared" si="0"/>
        <v>0.20920358206624345</v>
      </c>
      <c r="AJ23" s="10"/>
      <c r="AK23" s="18">
        <v>3.1764705882352939</v>
      </c>
      <c r="AL23" s="10"/>
      <c r="AM23" s="18">
        <v>0.81618265038952642</v>
      </c>
      <c r="AN23" s="10"/>
    </row>
    <row r="24" spans="14:40">
      <c r="N24" s="1" t="s">
        <v>75</v>
      </c>
      <c r="O24" s="1">
        <f>lambda_pacl</f>
        <v>3.3732283571206043E-2</v>
      </c>
      <c r="S24" s="10"/>
      <c r="T24" s="12">
        <v>18</v>
      </c>
      <c r="U24" s="13">
        <f t="shared" si="1"/>
        <v>0.12717418748770426</v>
      </c>
      <c r="V24" s="13">
        <f t="shared" si="7"/>
        <v>104.66818416605989</v>
      </c>
      <c r="W24" s="13">
        <f t="shared" si="8"/>
        <v>104.66818416605989</v>
      </c>
      <c r="X24" s="13">
        <v>0</v>
      </c>
      <c r="Y24" s="13">
        <v>0</v>
      </c>
      <c r="Z24" s="13">
        <v>0</v>
      </c>
      <c r="AA24" s="13">
        <f t="shared" si="9"/>
        <v>308.73832163191531</v>
      </c>
      <c r="AB24" s="13">
        <f t="shared" si="10"/>
        <v>246.59349420202477</v>
      </c>
      <c r="AC24" s="13">
        <f t="shared" si="2"/>
        <v>660</v>
      </c>
      <c r="AD24" s="13">
        <f t="shared" si="3"/>
        <v>1284.5841209882008</v>
      </c>
      <c r="AE24" s="13">
        <f t="shared" si="4"/>
        <v>5.2197791136107979E-2</v>
      </c>
      <c r="AF24" s="13">
        <f t="shared" si="5"/>
        <v>3.103227800645364E-2</v>
      </c>
      <c r="AG24" s="13">
        <f t="shared" si="6"/>
        <v>3.103227800645364E-2</v>
      </c>
      <c r="AH24" s="10"/>
      <c r="AI24" s="13">
        <f t="shared" si="0"/>
        <v>0.18445404533546816</v>
      </c>
      <c r="AJ24" s="10"/>
      <c r="AK24" s="18">
        <v>3.3529411764705883</v>
      </c>
      <c r="AL24" s="10"/>
      <c r="AM24" s="18">
        <v>0.80976107950514886</v>
      </c>
      <c r="AN24" s="10"/>
    </row>
    <row r="25" spans="14:40">
      <c r="N25" s="1" t="s">
        <v>76</v>
      </c>
      <c r="O25" s="1">
        <f>gamma_pacl</f>
        <v>1.3542335655231825</v>
      </c>
      <c r="S25" s="10"/>
      <c r="T25" s="12">
        <v>19</v>
      </c>
      <c r="U25" s="13">
        <f t="shared" si="1"/>
        <v>0.1296333558678037</v>
      </c>
      <c r="V25" s="13">
        <f t="shared" si="7"/>
        <v>91.081342303588499</v>
      </c>
      <c r="W25" s="13">
        <f t="shared" si="8"/>
        <v>91.081342303588499</v>
      </c>
      <c r="X25" s="13">
        <v>0</v>
      </c>
      <c r="Y25" s="13">
        <v>0</v>
      </c>
      <c r="Z25" s="13">
        <v>0</v>
      </c>
      <c r="AA25" s="13">
        <f t="shared" si="9"/>
        <v>302.86931567180255</v>
      </c>
      <c r="AB25" s="13">
        <f t="shared" si="10"/>
        <v>266.0493420246089</v>
      </c>
      <c r="AC25" s="13">
        <f t="shared" si="2"/>
        <v>660</v>
      </c>
      <c r="AD25" s="13">
        <f t="shared" si="3"/>
        <v>1188.2629258575489</v>
      </c>
      <c r="AE25" s="13">
        <f t="shared" si="4"/>
        <v>4.9741244693862506E-2</v>
      </c>
      <c r="AF25" s="13">
        <f t="shared" si="5"/>
        <v>2.9200176704120798E-2</v>
      </c>
      <c r="AG25" s="13">
        <f t="shared" si="6"/>
        <v>2.9200176704120791E-2</v>
      </c>
      <c r="AH25" s="10"/>
      <c r="AI25" s="13">
        <f t="shared" si="0"/>
        <v>0.16222583850700684</v>
      </c>
      <c r="AJ25" s="10"/>
      <c r="AK25" s="18">
        <v>3.5294117647058822</v>
      </c>
      <c r="AL25" s="10"/>
      <c r="AM25" s="18">
        <v>0.80105989641755726</v>
      </c>
      <c r="AN25" s="10"/>
    </row>
    <row r="26" spans="14:40">
      <c r="S26" s="10"/>
      <c r="T26" s="12">
        <v>20</v>
      </c>
      <c r="U26" s="13">
        <f t="shared" si="1"/>
        <v>0.13201029776098516</v>
      </c>
      <c r="V26" s="13">
        <f t="shared" si="7"/>
        <v>79.041695784787706</v>
      </c>
      <c r="W26" s="13">
        <f t="shared" si="8"/>
        <v>79.041695784787706</v>
      </c>
      <c r="X26" s="13">
        <v>0</v>
      </c>
      <c r="Y26" s="13">
        <v>0</v>
      </c>
      <c r="Z26" s="13">
        <v>0</v>
      </c>
      <c r="AA26" s="13">
        <f t="shared" si="9"/>
        <v>295.8249967271276</v>
      </c>
      <c r="AB26" s="13">
        <f t="shared" si="10"/>
        <v>285.13330748808465</v>
      </c>
      <c r="AC26" s="13">
        <f t="shared" si="2"/>
        <v>660</v>
      </c>
      <c r="AD26" s="13">
        <f t="shared" si="3"/>
        <v>1099.0430595566784</v>
      </c>
      <c r="AE26" s="13">
        <f t="shared" si="4"/>
        <v>4.7331653094938801E-2</v>
      </c>
      <c r="AF26" s="13">
        <f t="shared" si="5"/>
        <v>2.7453945985187599E-2</v>
      </c>
      <c r="AG26" s="13">
        <f t="shared" si="6"/>
        <v>2.7453945985187595E-2</v>
      </c>
      <c r="AH26" s="10"/>
      <c r="AI26" s="13">
        <f t="shared" si="0"/>
        <v>0.14233181282043952</v>
      </c>
      <c r="AJ26" s="10"/>
      <c r="AK26" s="18">
        <v>3.7058823529411766</v>
      </c>
      <c r="AL26" s="10"/>
      <c r="AM26" s="18">
        <v>0.78077083170939221</v>
      </c>
      <c r="AN26" s="10"/>
    </row>
    <row r="27" spans="14:40">
      <c r="S27" s="10"/>
      <c r="T27" s="12">
        <v>21</v>
      </c>
      <c r="U27" s="13">
        <f t="shared" si="1"/>
        <v>0.13431167697551391</v>
      </c>
      <c r="V27" s="13">
        <f t="shared" si="7"/>
        <v>68.411612862125878</v>
      </c>
      <c r="W27" s="13">
        <f t="shared" si="8"/>
        <v>68.411612862125878</v>
      </c>
      <c r="X27" s="13">
        <v>0</v>
      </c>
      <c r="Y27" s="13">
        <v>0</v>
      </c>
      <c r="Z27" s="13">
        <v>0</v>
      </c>
      <c r="AA27" s="13">
        <f t="shared" si="9"/>
        <v>287.81672039171031</v>
      </c>
      <c r="AB27" s="13">
        <f t="shared" si="10"/>
        <v>303.7716667461637</v>
      </c>
      <c r="AC27" s="13">
        <f t="shared" si="2"/>
        <v>659.99999999999989</v>
      </c>
      <c r="AD27" s="13">
        <f t="shared" si="3"/>
        <v>1016.512563690845</v>
      </c>
      <c r="AE27" s="13">
        <f t="shared" si="4"/>
        <v>4.4978324905787403E-2</v>
      </c>
      <c r="AF27" s="13">
        <f t="shared" si="5"/>
        <v>2.5793254824244868E-2</v>
      </c>
      <c r="AG27" s="13">
        <f t="shared" si="6"/>
        <v>2.5793254824244872E-2</v>
      </c>
      <c r="AH27" s="10"/>
      <c r="AI27" s="13">
        <f t="shared" si="0"/>
        <v>0.12458572238309243</v>
      </c>
      <c r="AJ27" s="10"/>
      <c r="AK27" s="18">
        <v>3.8823529411764706</v>
      </c>
      <c r="AL27" s="10"/>
      <c r="AM27" s="18">
        <v>0.76204645355476952</v>
      </c>
      <c r="AN27" s="10"/>
    </row>
    <row r="28" spans="14:40">
      <c r="S28" s="10"/>
      <c r="T28" s="12">
        <v>22</v>
      </c>
      <c r="U28" s="13">
        <f t="shared" si="1"/>
        <v>0.1365433296663825</v>
      </c>
      <c r="V28" s="13">
        <f t="shared" si="7"/>
        <v>59.058467261855107</v>
      </c>
      <c r="W28" s="13">
        <f t="shared" si="8"/>
        <v>59.058467261855107</v>
      </c>
      <c r="X28" s="13">
        <v>0</v>
      </c>
      <c r="Y28" s="13">
        <v>0</v>
      </c>
      <c r="Z28" s="13">
        <v>0</v>
      </c>
      <c r="AA28" s="13">
        <f t="shared" si="9"/>
        <v>279.03755443077921</v>
      </c>
      <c r="AB28" s="13">
        <f t="shared" si="10"/>
        <v>321.90397830736561</v>
      </c>
      <c r="AC28" s="13">
        <f t="shared" si="2"/>
        <v>660</v>
      </c>
      <c r="AD28" s="13">
        <f t="shared" si="3"/>
        <v>940.25408146558323</v>
      </c>
      <c r="AE28" s="13">
        <f t="shared" si="4"/>
        <v>4.2688891627857876E-2</v>
      </c>
      <c r="AF28" s="13">
        <f t="shared" si="5"/>
        <v>2.4217058946900929E-2</v>
      </c>
      <c r="AG28" s="13">
        <f t="shared" si="6"/>
        <v>2.4217058946900925E-2</v>
      </c>
      <c r="AH28" s="10"/>
      <c r="AI28" s="13">
        <f t="shared" si="0"/>
        <v>0.10880539529592835</v>
      </c>
      <c r="AJ28" s="10"/>
      <c r="AK28" s="18">
        <v>4.0588235294117645</v>
      </c>
      <c r="AL28" s="10"/>
      <c r="AM28" s="18">
        <v>0.75435551680169133</v>
      </c>
      <c r="AN28" s="10"/>
    </row>
    <row r="29" spans="14:40">
      <c r="S29" s="10"/>
      <c r="T29" s="12">
        <v>23</v>
      </c>
      <c r="U29" s="13">
        <f t="shared" si="1"/>
        <v>0.13871039966307502</v>
      </c>
      <c r="V29" s="13">
        <f t="shared" si="7"/>
        <v>50.856087575846338</v>
      </c>
      <c r="W29" s="13">
        <f t="shared" si="8"/>
        <v>50.856087575846338</v>
      </c>
      <c r="X29" s="13">
        <v>0</v>
      </c>
      <c r="Y29" s="13">
        <v>0</v>
      </c>
      <c r="Z29" s="13">
        <v>0</v>
      </c>
      <c r="AA29" s="13">
        <f t="shared" si="9"/>
        <v>269.66197987336403</v>
      </c>
      <c r="AB29" s="13">
        <f t="shared" si="10"/>
        <v>339.48193255078957</v>
      </c>
      <c r="AC29" s="13">
        <f t="shared" si="2"/>
        <v>660</v>
      </c>
      <c r="AD29" s="13">
        <f t="shared" si="3"/>
        <v>869.85275663415007</v>
      </c>
      <c r="AE29" s="13">
        <f t="shared" si="4"/>
        <v>4.0469452960758885E-2</v>
      </c>
      <c r="AF29" s="13">
        <f t="shared" si="5"/>
        <v>2.2723734039266162E-2</v>
      </c>
      <c r="AG29" s="13">
        <f t="shared" si="6"/>
        <v>2.2723734039266166E-2</v>
      </c>
      <c r="AH29" s="10"/>
      <c r="AI29" s="13">
        <f t="shared" si="0"/>
        <v>9.4815118457189873E-2</v>
      </c>
      <c r="AJ29" s="10"/>
      <c r="AK29" s="18">
        <v>4.2352941176470589</v>
      </c>
      <c r="AL29" s="10"/>
      <c r="AM29" s="18">
        <v>0.74995462068226848</v>
      </c>
      <c r="AN29" s="10"/>
    </row>
    <row r="30" spans="14:40">
      <c r="N30" s="1" t="s">
        <v>77</v>
      </c>
      <c r="O30" s="1">
        <f>SUM(AG:AG)</f>
        <v>1.3994192120722295</v>
      </c>
      <c r="S30" s="10"/>
      <c r="T30" s="12">
        <v>24</v>
      </c>
      <c r="U30" s="13">
        <f t="shared" si="1"/>
        <v>0.14081744680560937</v>
      </c>
      <c r="V30" s="13">
        <f t="shared" si="7"/>
        <v>43.685745393430366</v>
      </c>
      <c r="W30" s="13">
        <f t="shared" si="8"/>
        <v>43.685745393430366</v>
      </c>
      <c r="X30" s="13">
        <v>0</v>
      </c>
      <c r="Y30" s="13">
        <v>0</v>
      </c>
      <c r="Z30" s="13">
        <v>0</v>
      </c>
      <c r="AA30" s="13">
        <f t="shared" si="9"/>
        <v>259.84607192910113</v>
      </c>
      <c r="AB30" s="13">
        <f t="shared" si="10"/>
        <v>356.46818267746846</v>
      </c>
      <c r="AC30" s="13">
        <f t="shared" si="2"/>
        <v>660</v>
      </c>
      <c r="AD30" s="13">
        <f t="shared" si="3"/>
        <v>804.90234026947383</v>
      </c>
      <c r="AE30" s="13">
        <f t="shared" si="4"/>
        <v>3.8324724409410545E-2</v>
      </c>
      <c r="AF30" s="13">
        <f t="shared" si="5"/>
        <v>2.1311192981778495E-2</v>
      </c>
      <c r="AG30" s="13">
        <f t="shared" si="6"/>
        <v>2.1311192981778495E-2</v>
      </c>
      <c r="AH30" s="10"/>
      <c r="AI30" s="13">
        <f t="shared" si="0"/>
        <v>8.2447367916577918E-2</v>
      </c>
      <c r="AJ30" s="10"/>
      <c r="AK30" s="18">
        <v>4.4117647058823533</v>
      </c>
      <c r="AL30" s="10"/>
      <c r="AM30" s="18">
        <v>0.74742728074094911</v>
      </c>
      <c r="AN30" s="10"/>
    </row>
    <row r="31" spans="14:40">
      <c r="N31" s="1" t="s">
        <v>78</v>
      </c>
      <c r="O31" s="1">
        <f>SUM(AF:AF)</f>
        <v>1.4229372198500072</v>
      </c>
      <c r="S31" s="10"/>
      <c r="T31" s="12">
        <v>25</v>
      </c>
      <c r="U31" s="13">
        <f t="shared" si="1"/>
        <v>0.14286853456317414</v>
      </c>
      <c r="V31" s="13">
        <f t="shared" si="7"/>
        <v>37.436766534440146</v>
      </c>
      <c r="W31" s="13">
        <f t="shared" si="8"/>
        <v>37.436766534440146</v>
      </c>
      <c r="X31" s="13">
        <v>0</v>
      </c>
      <c r="Y31" s="13">
        <v>0</v>
      </c>
      <c r="Z31" s="13">
        <v>0</v>
      </c>
      <c r="AA31" s="13">
        <f t="shared" si="9"/>
        <v>249.72804624043619</v>
      </c>
      <c r="AB31" s="13">
        <f t="shared" si="10"/>
        <v>372.8351872251236</v>
      </c>
      <c r="AC31" s="13">
        <f t="shared" si="2"/>
        <v>660</v>
      </c>
      <c r="AD31" s="13">
        <f t="shared" si="3"/>
        <v>745.00978580121773</v>
      </c>
      <c r="AE31" s="13">
        <f t="shared" si="4"/>
        <v>3.6258183431171258E-2</v>
      </c>
      <c r="AF31" s="13">
        <f t="shared" si="5"/>
        <v>1.9976988166736664E-2</v>
      </c>
      <c r="AG31" s="13">
        <f t="shared" si="6"/>
        <v>1.997698816673666E-2</v>
      </c>
      <c r="AH31" s="10"/>
      <c r="AI31" s="13">
        <f t="shared" si="0"/>
        <v>7.1543998834663003E-2</v>
      </c>
      <c r="AJ31" s="10"/>
      <c r="AK31" s="18">
        <v>4.5882352941176467</v>
      </c>
      <c r="AL31" s="10"/>
      <c r="AM31" s="18">
        <v>0.74420662875132892</v>
      </c>
      <c r="AN31" s="10"/>
    </row>
    <row r="32" spans="14:40">
      <c r="N32" s="1" t="s">
        <v>79</v>
      </c>
      <c r="O32" s="1">
        <f>SUM(AE:AE)</f>
        <v>2.2306462017927866</v>
      </c>
      <c r="S32" s="10"/>
      <c r="T32" s="12">
        <v>26</v>
      </c>
      <c r="U32" s="13">
        <f t="shared" si="1"/>
        <v>0.1448673015604581</v>
      </c>
      <c r="V32" s="13">
        <f t="shared" si="7"/>
        <v>32.006838532281314</v>
      </c>
      <c r="W32" s="13">
        <f t="shared" si="8"/>
        <v>32.006838532281314</v>
      </c>
      <c r="X32" s="13">
        <v>0</v>
      </c>
      <c r="Y32" s="13">
        <v>0</v>
      </c>
      <c r="Z32" s="13">
        <v>0</v>
      </c>
      <c r="AA32" s="13">
        <f t="shared" si="9"/>
        <v>239.42907438676536</v>
      </c>
      <c r="AB32" s="13">
        <f t="shared" si="10"/>
        <v>388.56408708095324</v>
      </c>
      <c r="AC32" s="13">
        <f t="shared" si="2"/>
        <v>660</v>
      </c>
      <c r="AD32" s="13">
        <f t="shared" si="3"/>
        <v>689.79858084946454</v>
      </c>
      <c r="AE32" s="13">
        <f t="shared" si="4"/>
        <v>3.4272211227152363E-2</v>
      </c>
      <c r="AF32" s="13">
        <f t="shared" si="5"/>
        <v>1.8718400045593737E-2</v>
      </c>
      <c r="AG32" s="13">
        <f t="shared" si="6"/>
        <v>1.871840004559374E-2</v>
      </c>
      <c r="AH32" s="10"/>
      <c r="AI32" s="13">
        <f t="shared" si="0"/>
        <v>6.1956993565087631E-2</v>
      </c>
      <c r="AJ32" s="10"/>
      <c r="AK32" s="18">
        <v>4.7647058823529411</v>
      </c>
      <c r="AL32" s="10"/>
      <c r="AM32" s="18">
        <v>0.74419028509879515</v>
      </c>
      <c r="AN32" s="10"/>
    </row>
    <row r="33" spans="14:40">
      <c r="N33" s="1" t="s">
        <v>80</v>
      </c>
      <c r="O33" s="27">
        <f>SUM(AD:AD)</f>
        <v>67097.898066340349</v>
      </c>
      <c r="S33" s="10"/>
      <c r="T33" s="12">
        <v>27</v>
      </c>
      <c r="U33" s="13">
        <f t="shared" si="1"/>
        <v>0.14681702046738726</v>
      </c>
      <c r="V33" s="13">
        <f t="shared" si="7"/>
        <v>27.30207736423791</v>
      </c>
      <c r="W33" s="13">
        <f t="shared" si="8"/>
        <v>27.30207736423791</v>
      </c>
      <c r="X33" s="13">
        <v>0</v>
      </c>
      <c r="Y33" s="13">
        <v>0</v>
      </c>
      <c r="Z33" s="13">
        <v>0</v>
      </c>
      <c r="AA33" s="13">
        <f t="shared" si="9"/>
        <v>229.05428874505427</v>
      </c>
      <c r="AB33" s="13">
        <f t="shared" si="10"/>
        <v>403.6436338907078</v>
      </c>
      <c r="AC33" s="13">
        <f t="shared" si="2"/>
        <v>660</v>
      </c>
      <c r="AD33" s="13">
        <f t="shared" si="3"/>
        <v>638.91103466355128</v>
      </c>
      <c r="AE33" s="13">
        <f t="shared" si="4"/>
        <v>3.2368228044102547E-2</v>
      </c>
      <c r="AF33" s="13">
        <f t="shared" si="5"/>
        <v>1.7532513095020397E-2</v>
      </c>
      <c r="AG33" s="13">
        <f t="shared" si="6"/>
        <v>1.7532513095020397E-2</v>
      </c>
      <c r="AH33" s="10"/>
      <c r="AI33" s="13">
        <f t="shared" si="0"/>
        <v>5.3548852681670395E-2</v>
      </c>
      <c r="AJ33" s="10"/>
      <c r="AK33" s="18">
        <v>4.9411764705882355</v>
      </c>
      <c r="AL33" s="10"/>
      <c r="AM33" s="18">
        <v>0.74422652664017341</v>
      </c>
      <c r="AN33" s="10"/>
    </row>
    <row r="34" spans="14:40">
      <c r="S34" s="10"/>
      <c r="T34" s="12">
        <v>28</v>
      </c>
      <c r="U34" s="13">
        <f t="shared" si="1"/>
        <v>0.14872064686633241</v>
      </c>
      <c r="V34" s="13">
        <f t="shared" si="7"/>
        <v>23.236907252400162</v>
      </c>
      <c r="W34" s="13">
        <f t="shared" si="8"/>
        <v>23.236907252400162</v>
      </c>
      <c r="X34" s="13">
        <v>0</v>
      </c>
      <c r="Y34" s="13">
        <v>0</v>
      </c>
      <c r="Z34" s="13">
        <v>0</v>
      </c>
      <c r="AA34" s="13">
        <f t="shared" si="9"/>
        <v>218.69391100429198</v>
      </c>
      <c r="AB34" s="13">
        <f t="shared" si="10"/>
        <v>418.06918174330787</v>
      </c>
      <c r="AC34" s="13">
        <f t="shared" si="2"/>
        <v>660</v>
      </c>
      <c r="AD34" s="13">
        <f t="shared" si="3"/>
        <v>592.00971237672968</v>
      </c>
      <c r="AE34" s="13">
        <f t="shared" si="4"/>
        <v>3.0546820486956078E-2</v>
      </c>
      <c r="AF34" s="13">
        <f t="shared" si="5"/>
        <v>1.6416280397607654E-2</v>
      </c>
      <c r="AG34" s="13">
        <f t="shared" si="6"/>
        <v>1.6416280397607654E-2</v>
      </c>
      <c r="AH34" s="10"/>
      <c r="AI34" s="13">
        <f t="shared" si="0"/>
        <v>4.6192701635673891E-2</v>
      </c>
      <c r="AJ34" s="10"/>
      <c r="AK34" s="18">
        <v>5.117647058823529</v>
      </c>
      <c r="AL34" s="10"/>
      <c r="AM34" s="18">
        <v>0.74366390892741951</v>
      </c>
      <c r="AN34" s="10"/>
    </row>
    <row r="35" spans="14:40">
      <c r="S35" s="10"/>
      <c r="T35" s="12">
        <v>29</v>
      </c>
      <c r="U35" s="13">
        <f t="shared" si="1"/>
        <v>0.15058086009672367</v>
      </c>
      <c r="V35" s="13">
        <f t="shared" si="7"/>
        <v>19.73379910732147</v>
      </c>
      <c r="W35" s="13">
        <f t="shared" si="8"/>
        <v>19.73379910732147</v>
      </c>
      <c r="X35" s="13">
        <v>0</v>
      </c>
      <c r="Y35" s="13">
        <v>0</v>
      </c>
      <c r="Z35" s="13">
        <v>0</v>
      </c>
      <c r="AA35" s="13">
        <f t="shared" si="9"/>
        <v>208.42445100947546</v>
      </c>
      <c r="AB35" s="13">
        <f t="shared" si="10"/>
        <v>431.84174988320308</v>
      </c>
      <c r="AC35" s="13">
        <f t="shared" si="2"/>
        <v>660</v>
      </c>
      <c r="AD35" s="13">
        <f t="shared" si="3"/>
        <v>548.77818182549208</v>
      </c>
      <c r="AE35" s="13">
        <f t="shared" si="4"/>
        <v>2.8807859863231935E-2</v>
      </c>
      <c r="AF35" s="13">
        <f t="shared" si="5"/>
        <v>1.5366578011226236E-2</v>
      </c>
      <c r="AG35" s="13">
        <f t="shared" si="6"/>
        <v>1.5366578011226236E-2</v>
      </c>
      <c r="AH35" s="10"/>
      <c r="AI35" s="13">
        <f t="shared" si="0"/>
        <v>3.9772174957828775E-2</v>
      </c>
      <c r="AJ35" s="10"/>
      <c r="AK35" s="18">
        <v>5.2941176470588234</v>
      </c>
      <c r="AL35" s="10"/>
      <c r="AM35" s="18">
        <v>0.73880838315548802</v>
      </c>
      <c r="AN35" s="10"/>
    </row>
    <row r="36" spans="14:40">
      <c r="S36" s="10"/>
      <c r="T36" s="12">
        <v>30</v>
      </c>
      <c r="U36" s="13">
        <f t="shared" si="1"/>
        <v>0.15240009762322496</v>
      </c>
      <c r="V36" s="13">
        <f t="shared" si="7"/>
        <v>16.722905812933455</v>
      </c>
      <c r="W36" s="13">
        <f t="shared" si="8"/>
        <v>16.722905812933455</v>
      </c>
      <c r="X36" s="13">
        <v>0</v>
      </c>
      <c r="Y36" s="13">
        <v>0</v>
      </c>
      <c r="Z36" s="13">
        <v>0</v>
      </c>
      <c r="AA36" s="13">
        <f t="shared" si="9"/>
        <v>198.30993333358794</v>
      </c>
      <c r="AB36" s="13">
        <f t="shared" si="10"/>
        <v>444.96716085347867</v>
      </c>
      <c r="AC36" s="13">
        <f t="shared" si="2"/>
        <v>660</v>
      </c>
      <c r="AD36" s="13">
        <f t="shared" si="3"/>
        <v>508.92121538006279</v>
      </c>
      <c r="AE36" s="13">
        <f t="shared" si="4"/>
        <v>2.715061100334866E-2</v>
      </c>
      <c r="AF36" s="13">
        <f t="shared" si="5"/>
        <v>1.4380250257253658E-2</v>
      </c>
      <c r="AG36" s="13">
        <f t="shared" si="6"/>
        <v>1.4380250257253658E-2</v>
      </c>
      <c r="AH36" s="10"/>
      <c r="AI36" s="13">
        <f t="shared" si="0"/>
        <v>3.4181130374648268E-2</v>
      </c>
      <c r="AJ36" s="10"/>
      <c r="AK36" s="18">
        <v>5.4705882352941178</v>
      </c>
      <c r="AL36" s="10"/>
      <c r="AM36" s="18">
        <v>0.72377385979784015</v>
      </c>
      <c r="AN36" s="10"/>
    </row>
    <row r="37" spans="14:40">
      <c r="S37" s="10"/>
      <c r="T37" s="12">
        <v>31</v>
      </c>
      <c r="U37" s="13">
        <f t="shared" si="1"/>
        <v>0.15418058413439703</v>
      </c>
      <c r="V37" s="13">
        <f t="shared" si="7"/>
        <v>14.141626011957575</v>
      </c>
      <c r="W37" s="13">
        <f t="shared" si="8"/>
        <v>14.141626011957575</v>
      </c>
      <c r="X37" s="13">
        <v>0</v>
      </c>
      <c r="Y37" s="13">
        <v>0</v>
      </c>
      <c r="Z37" s="13">
        <v>0</v>
      </c>
      <c r="AA37" s="13">
        <f t="shared" si="9"/>
        <v>188.40311819072784</v>
      </c>
      <c r="AB37" s="13">
        <f t="shared" si="10"/>
        <v>457.45525579731469</v>
      </c>
      <c r="AC37" s="13">
        <f t="shared" si="2"/>
        <v>660.00000000000011</v>
      </c>
      <c r="AD37" s="13">
        <f t="shared" si="3"/>
        <v>472.16456809593791</v>
      </c>
      <c r="AE37" s="13">
        <f t="shared" si="4"/>
        <v>2.5573831338722902E-2</v>
      </c>
      <c r="AF37" s="13">
        <f t="shared" si="5"/>
        <v>1.3454146998080495E-2</v>
      </c>
      <c r="AG37" s="13">
        <f t="shared" si="6"/>
        <v>1.3454146998080495E-2</v>
      </c>
      <c r="AH37" s="10"/>
      <c r="AI37" s="13">
        <f t="shared" si="0"/>
        <v>2.9323236777805243E-2</v>
      </c>
      <c r="AJ37" s="10"/>
      <c r="AK37" s="18">
        <v>5.6470588235294121</v>
      </c>
      <c r="AL37" s="10"/>
      <c r="AM37" s="18">
        <v>0.69382315313364185</v>
      </c>
      <c r="AN37" s="10"/>
    </row>
    <row r="38" spans="14:40">
      <c r="S38" s="10"/>
      <c r="T38" s="12">
        <v>32</v>
      </c>
      <c r="U38" s="13">
        <f t="shared" si="1"/>
        <v>0.15592435632244814</v>
      </c>
      <c r="V38" s="13">
        <f t="shared" si="7"/>
        <v>11.934122299936858</v>
      </c>
      <c r="W38" s="13">
        <f t="shared" si="8"/>
        <v>11.934122299936858</v>
      </c>
      <c r="X38" s="13">
        <v>0</v>
      </c>
      <c r="Y38" s="13">
        <v>0</v>
      </c>
      <c r="Z38" s="13">
        <v>0</v>
      </c>
      <c r="AA38" s="13">
        <f t="shared" si="9"/>
        <v>178.74669115107147</v>
      </c>
      <c r="AB38" s="13">
        <f t="shared" si="10"/>
        <v>469.31918654899181</v>
      </c>
      <c r="AC38" s="13">
        <f t="shared" si="2"/>
        <v>660.00000000000011</v>
      </c>
      <c r="AD38" s="13">
        <f t="shared" si="3"/>
        <v>438.25443450151369</v>
      </c>
      <c r="AE38" s="13">
        <f t="shared" si="4"/>
        <v>2.4075860284218219E-2</v>
      </c>
      <c r="AF38" s="13">
        <f t="shared" si="5"/>
        <v>1.2585153903609883E-2</v>
      </c>
      <c r="AG38" s="13">
        <f t="shared" si="6"/>
        <v>1.2585153903609887E-2</v>
      </c>
      <c r="AH38" s="10"/>
      <c r="AI38" s="13">
        <f t="shared" si="0"/>
        <v>2.5111472573703695E-2</v>
      </c>
      <c r="AJ38" s="10"/>
      <c r="AK38" s="18">
        <v>5.8235294117647056</v>
      </c>
      <c r="AL38" s="10"/>
      <c r="AM38" s="18">
        <v>0.68103109390465033</v>
      </c>
      <c r="AN38" s="10"/>
    </row>
    <row r="39" spans="14:40">
      <c r="S39" s="10"/>
      <c r="T39" s="12">
        <v>33</v>
      </c>
      <c r="U39" s="13">
        <f t="shared" si="1"/>
        <v>0.1576332840990449</v>
      </c>
      <c r="V39" s="13">
        <f t="shared" si="7"/>
        <v>10.050814722947706</v>
      </c>
      <c r="W39" s="13">
        <f t="shared" si="8"/>
        <v>10.050814722947706</v>
      </c>
      <c r="X39" s="13">
        <v>0</v>
      </c>
      <c r="Y39" s="13">
        <v>0</v>
      </c>
      <c r="Z39" s="13">
        <v>0</v>
      </c>
      <c r="AA39" s="13">
        <f t="shared" si="9"/>
        <v>169.37440273477262</v>
      </c>
      <c r="AB39" s="13">
        <f t="shared" si="10"/>
        <v>480.57478254227982</v>
      </c>
      <c r="AC39" s="13">
        <f t="shared" si="2"/>
        <v>660.00000000000011</v>
      </c>
      <c r="AD39" s="13">
        <f t="shared" si="3"/>
        <v>406.95666942711927</v>
      </c>
      <c r="AE39" s="13">
        <f t="shared" si="4"/>
        <v>2.2654699173954584E-2</v>
      </c>
      <c r="AF39" s="13">
        <f t="shared" si="5"/>
        <v>1.1770216629115834E-2</v>
      </c>
      <c r="AG39" s="13">
        <f t="shared" si="6"/>
        <v>1.1770216629115834E-2</v>
      </c>
      <c r="AH39" s="10"/>
      <c r="AI39" s="13">
        <f t="shared" si="0"/>
        <v>2.1467564461636304E-2</v>
      </c>
      <c r="AJ39" s="10"/>
      <c r="AK39" s="18">
        <v>6</v>
      </c>
      <c r="AL39" s="10"/>
      <c r="AM39" s="18">
        <v>0.67985179167263565</v>
      </c>
      <c r="AN39" s="10"/>
    </row>
    <row r="40" spans="14:40">
      <c r="S40" s="10"/>
      <c r="T40" s="12">
        <v>34</v>
      </c>
      <c r="U40" s="13">
        <f t="shared" si="1"/>
        <v>0.15930908885145401</v>
      </c>
      <c r="V40" s="13">
        <f t="shared" si="7"/>
        <v>8.4478661451371817</v>
      </c>
      <c r="W40" s="13">
        <f t="shared" si="8"/>
        <v>8.4478661451371817</v>
      </c>
      <c r="X40" s="13">
        <v>0</v>
      </c>
      <c r="Y40" s="13">
        <v>0</v>
      </c>
      <c r="Z40" s="13">
        <v>0</v>
      </c>
      <c r="AA40" s="13">
        <f t="shared" si="9"/>
        <v>160.31214447849754</v>
      </c>
      <c r="AB40" s="13">
        <f t="shared" si="10"/>
        <v>491.23998937636543</v>
      </c>
      <c r="AC40" s="13">
        <f t="shared" si="2"/>
        <v>660.00000000000011</v>
      </c>
      <c r="AD40" s="13">
        <f t="shared" si="3"/>
        <v>378.05584336922135</v>
      </c>
      <c r="AE40" s="13">
        <f t="shared" si="4"/>
        <v>2.1308082149448824E-2</v>
      </c>
      <c r="AF40" s="13">
        <f t="shared" si="5"/>
        <v>1.1006359746278289E-2</v>
      </c>
      <c r="AG40" s="13">
        <f t="shared" si="6"/>
        <v>1.1006359746278291E-2</v>
      </c>
      <c r="AH40" s="10"/>
      <c r="AI40" s="13">
        <f t="shared" si="0"/>
        <v>1.8321391062056342E-2</v>
      </c>
      <c r="AJ40" s="10"/>
      <c r="AK40" s="18">
        <v>6.1764705882352944</v>
      </c>
      <c r="AL40" s="10"/>
      <c r="AM40" s="18">
        <v>0.67965415550027641</v>
      </c>
      <c r="AN40" s="10"/>
    </row>
    <row r="41" spans="14:40">
      <c r="S41" s="10"/>
      <c r="T41" s="12">
        <v>35</v>
      </c>
      <c r="U41" s="13">
        <f t="shared" si="1"/>
        <v>0.16095335922619056</v>
      </c>
      <c r="V41" s="13">
        <f t="shared" si="7"/>
        <v>7.0866723507933669</v>
      </c>
      <c r="W41" s="13">
        <f t="shared" si="8"/>
        <v>7.0866723507933669</v>
      </c>
      <c r="X41" s="13">
        <v>0</v>
      </c>
      <c r="Y41" s="13">
        <v>0</v>
      </c>
      <c r="Z41" s="13">
        <v>0</v>
      </c>
      <c r="AA41" s="13">
        <f t="shared" si="9"/>
        <v>151.57895261085835</v>
      </c>
      <c r="AB41" s="13">
        <f t="shared" si="10"/>
        <v>501.33437503834841</v>
      </c>
      <c r="AC41" s="13">
        <f t="shared" si="2"/>
        <v>660.00000000000011</v>
      </c>
      <c r="AD41" s="13">
        <f t="shared" si="3"/>
        <v>351.35418985836509</v>
      </c>
      <c r="AE41" s="13">
        <f t="shared" si="4"/>
        <v>2.0033538505259053E-2</v>
      </c>
      <c r="AF41" s="13">
        <f t="shared" si="5"/>
        <v>1.0290701188197597E-2</v>
      </c>
      <c r="AG41" s="13">
        <f t="shared" si="6"/>
        <v>1.0290701188197596E-2</v>
      </c>
      <c r="AH41" s="10"/>
      <c r="AI41" s="13">
        <f t="shared" si="0"/>
        <v>1.5610370963934576E-2</v>
      </c>
      <c r="AJ41" s="10"/>
      <c r="AK41" s="18">
        <v>6.3529411764705879</v>
      </c>
      <c r="AL41" s="10"/>
      <c r="AM41" s="18">
        <v>0.68022912780459865</v>
      </c>
      <c r="AN41" s="10"/>
    </row>
    <row r="42" spans="14:40">
      <c r="S42" s="10"/>
      <c r="T42" s="12">
        <v>36</v>
      </c>
      <c r="U42" s="13">
        <f t="shared" si="1"/>
        <v>0.16256756483561771</v>
      </c>
      <c r="V42" s="13">
        <f t="shared" si="7"/>
        <v>5.9333666135740986</v>
      </c>
      <c r="W42" s="13">
        <f t="shared" si="8"/>
        <v>5.9333666135740986</v>
      </c>
      <c r="X42" s="13">
        <v>0</v>
      </c>
      <c r="Y42" s="13">
        <v>0</v>
      </c>
      <c r="Z42" s="13">
        <v>0</v>
      </c>
      <c r="AA42" s="13">
        <f t="shared" si="9"/>
        <v>143.1879341608755</v>
      </c>
      <c r="AB42" s="13">
        <f t="shared" si="10"/>
        <v>510.87869922555052</v>
      </c>
      <c r="AC42" s="13">
        <f t="shared" si="2"/>
        <v>660.00000000000011</v>
      </c>
      <c r="AD42" s="13">
        <f t="shared" si="3"/>
        <v>326.67049103013505</v>
      </c>
      <c r="AE42" s="13">
        <f t="shared" si="4"/>
        <v>1.8828447067481005E-2</v>
      </c>
      <c r="AF42" s="13">
        <f t="shared" si="5"/>
        <v>9.6204628898083327E-3</v>
      </c>
      <c r="AG42" s="13">
        <f t="shared" si="6"/>
        <v>9.6204628898083327E-3</v>
      </c>
      <c r="AH42" s="10"/>
      <c r="AI42" s="13">
        <f t="shared" si="0"/>
        <v>1.3278850607287737E-2</v>
      </c>
      <c r="AJ42" s="10"/>
      <c r="AK42" s="18">
        <v>6.5294117647058822</v>
      </c>
      <c r="AL42" s="10"/>
      <c r="AM42" s="18">
        <v>0.68025145011410237</v>
      </c>
      <c r="AN42" s="10"/>
    </row>
    <row r="43" spans="14:40">
      <c r="S43" s="10"/>
      <c r="T43" s="12">
        <v>37</v>
      </c>
      <c r="U43" s="13">
        <f t="shared" si="1"/>
        <v>0.16415306821053896</v>
      </c>
      <c r="V43" s="13">
        <f t="shared" si="7"/>
        <v>4.9583458445760051</v>
      </c>
      <c r="W43" s="13">
        <f t="shared" si="8"/>
        <v>4.9583458445760051</v>
      </c>
      <c r="X43" s="13">
        <v>0</v>
      </c>
      <c r="Y43" s="13">
        <v>0</v>
      </c>
      <c r="Z43" s="13">
        <v>0</v>
      </c>
      <c r="AA43" s="13">
        <f t="shared" si="9"/>
        <v>135.14711326869889</v>
      </c>
      <c r="AB43" s="13">
        <f t="shared" si="10"/>
        <v>519.89454088672517</v>
      </c>
      <c r="AC43" s="13">
        <f t="shared" si="2"/>
        <v>660</v>
      </c>
      <c r="AD43" s="13">
        <f t="shared" si="3"/>
        <v>303.8389379423345</v>
      </c>
      <c r="AE43" s="13">
        <f t="shared" si="4"/>
        <v>1.7690083221373092E-2</v>
      </c>
      <c r="AF43" s="13">
        <f t="shared" si="5"/>
        <v>8.9929782289178556E-3</v>
      </c>
      <c r="AG43" s="13">
        <f t="shared" si="6"/>
        <v>8.9929782289178556E-3</v>
      </c>
      <c r="AH43" s="10"/>
      <c r="AI43" s="13">
        <f t="shared" si="0"/>
        <v>1.1277503892076841E-2</v>
      </c>
      <c r="AJ43" s="10"/>
      <c r="AK43" s="18">
        <v>6.7058823529411766</v>
      </c>
      <c r="AL43" s="10"/>
      <c r="AM43" s="18">
        <v>0.67984314573642546</v>
      </c>
      <c r="AN43" s="10"/>
    </row>
    <row r="44" spans="14:40">
      <c r="S44" s="10"/>
      <c r="T44" s="12">
        <v>38</v>
      </c>
      <c r="U44" s="13">
        <f t="shared" si="1"/>
        <v>0.16571113526426437</v>
      </c>
      <c r="V44" s="13">
        <f t="shared" si="7"/>
        <v>4.1358232640456354</v>
      </c>
      <c r="W44" s="13">
        <f t="shared" si="8"/>
        <v>4.1358232640456354</v>
      </c>
      <c r="X44" s="13">
        <v>0</v>
      </c>
      <c r="Y44" s="13">
        <v>0</v>
      </c>
      <c r="Z44" s="13">
        <v>0</v>
      </c>
      <c r="AA44" s="13">
        <f t="shared" si="9"/>
        <v>127.46019777389401</v>
      </c>
      <c r="AB44" s="13">
        <f t="shared" si="10"/>
        <v>528.40397896206048</v>
      </c>
      <c r="AC44" s="13">
        <f t="shared" si="2"/>
        <v>660.00000000000011</v>
      </c>
      <c r="AD44" s="13">
        <f t="shared" si="3"/>
        <v>282.70799398949214</v>
      </c>
      <c r="AE44" s="13">
        <f t="shared" si="4"/>
        <v>1.6615659221962072E-2</v>
      </c>
      <c r="AF44" s="13">
        <f t="shared" si="5"/>
        <v>8.4056968011863992E-3</v>
      </c>
      <c r="AG44" s="13">
        <f t="shared" si="6"/>
        <v>8.4056968011864009E-3</v>
      </c>
      <c r="AH44" s="10"/>
      <c r="AI44" s="13">
        <f t="shared" si="0"/>
        <v>9.5627524394019045E-3</v>
      </c>
      <c r="AJ44" s="10"/>
      <c r="AK44" s="18">
        <v>6.882352941176471</v>
      </c>
      <c r="AL44" s="10"/>
      <c r="AM44" s="18">
        <v>0.6765509617141604</v>
      </c>
      <c r="AN44" s="10"/>
    </row>
    <row r="45" spans="14:40">
      <c r="S45" s="10"/>
      <c r="T45" s="12">
        <v>39</v>
      </c>
      <c r="U45" s="13">
        <f t="shared" si="1"/>
        <v>0.16724294448756202</v>
      </c>
      <c r="V45" s="13">
        <f t="shared" si="7"/>
        <v>3.4434107738241022</v>
      </c>
      <c r="W45" s="13">
        <f t="shared" si="8"/>
        <v>3.4434107738241022</v>
      </c>
      <c r="X45" s="13">
        <v>0</v>
      </c>
      <c r="Y45" s="13">
        <v>0</v>
      </c>
      <c r="Z45" s="13">
        <v>0</v>
      </c>
      <c r="AA45" s="13">
        <f t="shared" si="9"/>
        <v>120.12726791870205</v>
      </c>
      <c r="AB45" s="13">
        <f t="shared" si="10"/>
        <v>536.42932130747397</v>
      </c>
      <c r="AC45" s="13">
        <f t="shared" si="2"/>
        <v>660.00000000000011</v>
      </c>
      <c r="AD45" s="13">
        <f t="shared" si="3"/>
        <v>263.1392828870504</v>
      </c>
      <c r="AE45" s="13">
        <f t="shared" si="4"/>
        <v>1.5602358420773501E-2</v>
      </c>
      <c r="AF45" s="13">
        <f t="shared" si="5"/>
        <v>7.8561869954629302E-3</v>
      </c>
      <c r="AG45" s="13">
        <f t="shared" si="6"/>
        <v>7.8561869954629302E-3</v>
      </c>
      <c r="AH45" s="10"/>
      <c r="AI45" s="13">
        <f t="shared" si="0"/>
        <v>8.0962129605967569E-3</v>
      </c>
      <c r="AJ45" s="10"/>
      <c r="AK45" s="18">
        <v>7.0588235294117645</v>
      </c>
      <c r="AL45" s="10"/>
      <c r="AM45" s="18">
        <v>0.67533177174280146</v>
      </c>
      <c r="AN45" s="10"/>
    </row>
    <row r="46" spans="14:40">
      <c r="S46" s="10"/>
      <c r="T46" s="12">
        <v>40</v>
      </c>
      <c r="U46" s="13">
        <f t="shared" si="1"/>
        <v>0.16874959505680392</v>
      </c>
      <c r="V46" s="13">
        <f t="shared" si="7"/>
        <v>2.8617327871801441</v>
      </c>
      <c r="W46" s="13">
        <f t="shared" si="8"/>
        <v>2.8617327871801441</v>
      </c>
      <c r="X46" s="13">
        <v>0</v>
      </c>
      <c r="Y46" s="13">
        <v>0</v>
      </c>
      <c r="Z46" s="13">
        <v>0</v>
      </c>
      <c r="AA46" s="13">
        <f t="shared" si="9"/>
        <v>113.14539030788308</v>
      </c>
      <c r="AB46" s="13">
        <f t="shared" si="10"/>
        <v>543.99287690493691</v>
      </c>
      <c r="AC46" s="13">
        <f t="shared" si="2"/>
        <v>660.00000000000011</v>
      </c>
      <c r="AD46" s="13">
        <f t="shared" si="3"/>
        <v>245.00651698409959</v>
      </c>
      <c r="AE46" s="13">
        <f t="shared" si="4"/>
        <v>1.4647364027154443E-2</v>
      </c>
      <c r="AF46" s="13">
        <f t="shared" si="5"/>
        <v>7.3421367744073724E-3</v>
      </c>
      <c r="AG46" s="13">
        <f t="shared" si="6"/>
        <v>7.3421367744073724E-3</v>
      </c>
      <c r="AH46" s="10"/>
      <c r="AI46" s="13">
        <f t="shared" si="0"/>
        <v>6.8441761538805025E-3</v>
      </c>
      <c r="AJ46" s="10"/>
      <c r="AK46" s="18">
        <v>7.2352941176470589</v>
      </c>
      <c r="AL46" s="10"/>
      <c r="AM46" s="18">
        <v>0.66860279125958155</v>
      </c>
      <c r="AN46" s="10"/>
    </row>
    <row r="47" spans="14:40">
      <c r="S47" s="10"/>
      <c r="T47" s="12">
        <v>41</v>
      </c>
      <c r="U47" s="13">
        <f t="shared" si="1"/>
        <v>0.17023211400754945</v>
      </c>
      <c r="V47" s="13">
        <f t="shared" si="7"/>
        <v>2.374072151217633</v>
      </c>
      <c r="W47" s="13">
        <f t="shared" si="8"/>
        <v>2.374072151217633</v>
      </c>
      <c r="X47" s="13">
        <v>0</v>
      </c>
      <c r="Y47" s="13">
        <v>0</v>
      </c>
      <c r="Z47" s="13">
        <v>0</v>
      </c>
      <c r="AA47" s="13">
        <f t="shared" si="9"/>
        <v>106.50916119012318</v>
      </c>
      <c r="AB47" s="13">
        <f t="shared" si="10"/>
        <v>551.11676665865934</v>
      </c>
      <c r="AC47" s="13">
        <f t="shared" si="2"/>
        <v>660.00000000000011</v>
      </c>
      <c r="AD47" s="13">
        <f t="shared" si="3"/>
        <v>228.19447697305873</v>
      </c>
      <c r="AE47" s="13">
        <f t="shared" si="4"/>
        <v>1.374788299764404E-2</v>
      </c>
      <c r="AF47" s="13">
        <f t="shared" si="5"/>
        <v>6.8613530094369171E-3</v>
      </c>
      <c r="AG47" s="13">
        <f t="shared" si="6"/>
        <v>6.8613530094369171E-3</v>
      </c>
      <c r="AH47" s="10"/>
      <c r="AI47" s="13">
        <f t="shared" si="0"/>
        <v>5.777119890463602E-3</v>
      </c>
      <c r="AJ47" s="10"/>
      <c r="AK47" s="18">
        <v>7.4117647058823533</v>
      </c>
      <c r="AL47" s="10"/>
      <c r="AM47" s="18">
        <v>0.6426413145194787</v>
      </c>
      <c r="AN47" s="10"/>
    </row>
    <row r="48" spans="14:40">
      <c r="S48" s="10"/>
      <c r="T48" s="12">
        <v>42</v>
      </c>
      <c r="U48" s="13">
        <f t="shared" si="1"/>
        <v>0.17169146260131185</v>
      </c>
      <c r="V48" s="13">
        <f t="shared" si="7"/>
        <v>1.9660479302095333</v>
      </c>
      <c r="W48" s="13">
        <f t="shared" si="8"/>
        <v>1.9660479302095333</v>
      </c>
      <c r="X48" s="13">
        <v>0</v>
      </c>
      <c r="Y48" s="13">
        <v>0</v>
      </c>
      <c r="Z48" s="13">
        <v>0</v>
      </c>
      <c r="AA48" s="13">
        <f t="shared" si="9"/>
        <v>100.21118373678671</v>
      </c>
      <c r="AB48" s="13">
        <f t="shared" si="10"/>
        <v>557.82276833300398</v>
      </c>
      <c r="AC48" s="13">
        <f t="shared" si="2"/>
        <v>660.00000000000023</v>
      </c>
      <c r="AD48" s="13">
        <f t="shared" si="3"/>
        <v>212.59805026317775</v>
      </c>
      <c r="AE48" s="13">
        <f t="shared" si="4"/>
        <v>1.2901165614519721E-2</v>
      </c>
      <c r="AF48" s="13">
        <f t="shared" si="5"/>
        <v>6.4117596687160031E-3</v>
      </c>
      <c r="AG48" s="13">
        <f t="shared" si="6"/>
        <v>6.4117596687160031E-3</v>
      </c>
      <c r="AH48" s="10"/>
      <c r="AI48" s="13">
        <f t="shared" si="0"/>
        <v>4.8692581208475156E-3</v>
      </c>
      <c r="AJ48" s="10"/>
      <c r="AK48" s="18">
        <v>7.5882352941176467</v>
      </c>
      <c r="AL48" s="10"/>
      <c r="AM48" s="18">
        <v>0.59780371366777318</v>
      </c>
      <c r="AN48" s="10"/>
    </row>
    <row r="49" spans="19:40">
      <c r="S49" s="10"/>
      <c r="T49" s="12">
        <v>43</v>
      </c>
      <c r="U49" s="13">
        <f t="shared" si="1"/>
        <v>0.17312854199318389</v>
      </c>
      <c r="V49" s="13">
        <f t="shared" si="7"/>
        <v>1.6253241658540531</v>
      </c>
      <c r="W49" s="13">
        <f t="shared" si="8"/>
        <v>1.6253241658540531</v>
      </c>
      <c r="X49" s="13">
        <v>0</v>
      </c>
      <c r="Y49" s="13">
        <v>0</v>
      </c>
      <c r="Z49" s="13">
        <v>0</v>
      </c>
      <c r="AA49" s="13">
        <f t="shared" si="9"/>
        <v>94.242484351814866</v>
      </c>
      <c r="AB49" s="13">
        <f t="shared" si="10"/>
        <v>564.13219148233122</v>
      </c>
      <c r="AC49" s="13">
        <f t="shared" si="2"/>
        <v>660.00000000000011</v>
      </c>
      <c r="AD49" s="13">
        <f t="shared" si="3"/>
        <v>198.12133224780439</v>
      </c>
      <c r="AE49" s="13">
        <f t="shared" si="4"/>
        <v>1.2104521277483448E-2</v>
      </c>
      <c r="AF49" s="13">
        <f t="shared" si="5"/>
        <v>5.9913951120104947E-3</v>
      </c>
      <c r="AG49" s="13">
        <f t="shared" si="6"/>
        <v>5.9913951120104938E-3</v>
      </c>
      <c r="AH49" s="10"/>
      <c r="AI49" s="13">
        <f t="shared" si="0"/>
        <v>4.0981258805560597E-3</v>
      </c>
      <c r="AJ49" s="10"/>
      <c r="AK49" s="18">
        <v>7.7647058823529411</v>
      </c>
      <c r="AL49" s="10"/>
      <c r="AM49" s="18">
        <v>0.57264122925941652</v>
      </c>
      <c r="AN49" s="10"/>
    </row>
    <row r="50" spans="19:40">
      <c r="S50" s="10"/>
      <c r="T50" s="12">
        <v>44</v>
      </c>
      <c r="U50" s="13">
        <f t="shared" si="1"/>
        <v>0.17454419829147252</v>
      </c>
      <c r="V50" s="13">
        <f t="shared" si="7"/>
        <v>1.3413482566391493</v>
      </c>
      <c r="W50" s="13">
        <f t="shared" si="8"/>
        <v>1.3413482566391493</v>
      </c>
      <c r="X50" s="13">
        <v>0</v>
      </c>
      <c r="Y50" s="13">
        <v>0</v>
      </c>
      <c r="Z50" s="13">
        <v>0</v>
      </c>
      <c r="AA50" s="13">
        <f t="shared" si="9"/>
        <v>88.592873203619021</v>
      </c>
      <c r="AB50" s="13">
        <f t="shared" si="10"/>
        <v>570.06577853974204</v>
      </c>
      <c r="AC50" s="13">
        <f t="shared" si="2"/>
        <v>660.00000000000023</v>
      </c>
      <c r="AD50" s="13">
        <f t="shared" si="3"/>
        <v>184.67679230942792</v>
      </c>
      <c r="AE50" s="13">
        <f t="shared" si="4"/>
        <v>1.1355330992456836E-2</v>
      </c>
      <c r="AF50" s="13">
        <f t="shared" si="5"/>
        <v>5.5984087064902197E-3</v>
      </c>
      <c r="AG50" s="13">
        <f t="shared" si="6"/>
        <v>5.5984087064902197E-3</v>
      </c>
      <c r="AH50" s="10"/>
      <c r="AI50" s="13">
        <f t="shared" si="0"/>
        <v>3.4441999604053232E-3</v>
      </c>
      <c r="AJ50" s="10"/>
      <c r="AK50" s="18">
        <v>7.9411764705882355</v>
      </c>
      <c r="AL50" s="10"/>
      <c r="AM50" s="18">
        <v>0.56712263545911168</v>
      </c>
      <c r="AN50" s="10"/>
    </row>
    <row r="51" spans="19:40">
      <c r="S51" s="10"/>
      <c r="T51" s="12">
        <v>45</v>
      </c>
      <c r="U51" s="13">
        <f t="shared" si="1"/>
        <v>0.1759392270868185</v>
      </c>
      <c r="V51" s="13">
        <f t="shared" si="7"/>
        <v>1.1051172714615882</v>
      </c>
      <c r="W51" s="13">
        <f t="shared" si="8"/>
        <v>1.1051172714615882</v>
      </c>
      <c r="X51" s="13">
        <v>0</v>
      </c>
      <c r="Y51" s="13">
        <v>0</v>
      </c>
      <c r="Z51" s="13">
        <v>0</v>
      </c>
      <c r="AA51" s="13">
        <f t="shared" si="9"/>
        <v>83.251254170290807</v>
      </c>
      <c r="AB51" s="13">
        <f t="shared" si="10"/>
        <v>575.64362855824777</v>
      </c>
      <c r="AC51" s="13">
        <f t="shared" si="2"/>
        <v>660.00000000000023</v>
      </c>
      <c r="AD51" s="13">
        <f t="shared" si="3"/>
        <v>172.18450456913317</v>
      </c>
      <c r="AE51" s="13">
        <f t="shared" si="4"/>
        <v>1.0651057000221259E-2</v>
      </c>
      <c r="AF51" s="13">
        <f t="shared" si="5"/>
        <v>5.2310569426660264E-3</v>
      </c>
      <c r="AG51" s="13">
        <f t="shared" si="6"/>
        <v>5.2310569426660264E-3</v>
      </c>
      <c r="AH51" s="10"/>
      <c r="AI51" s="13">
        <f t="shared" si="0"/>
        <v>2.8905541918885255E-3</v>
      </c>
      <c r="AJ51" s="10"/>
      <c r="AK51" s="18">
        <v>8.117647058823529</v>
      </c>
      <c r="AL51" s="10"/>
      <c r="AM51" s="18">
        <v>0.56190000025768483</v>
      </c>
      <c r="AN51" s="10"/>
    </row>
    <row r="52" spans="19:40">
      <c r="S52" s="10"/>
      <c r="T52" s="12">
        <v>46</v>
      </c>
      <c r="U52" s="13">
        <f t="shared" si="1"/>
        <v>0.17731437751691242</v>
      </c>
      <c r="V52" s="13">
        <f t="shared" si="7"/>
        <v>0.90897030458778749</v>
      </c>
      <c r="W52" s="13">
        <f t="shared" si="8"/>
        <v>0.90897030458778749</v>
      </c>
      <c r="X52" s="13">
        <v>0</v>
      </c>
      <c r="Y52" s="13">
        <v>0</v>
      </c>
      <c r="Z52" s="13">
        <v>0</v>
      </c>
      <c r="AA52" s="13">
        <f t="shared" si="9"/>
        <v>78.205889270971113</v>
      </c>
      <c r="AB52" s="13">
        <f t="shared" si="10"/>
        <v>580.88514042444126</v>
      </c>
      <c r="AC52" s="13">
        <f t="shared" si="2"/>
        <v>660.00000000000011</v>
      </c>
      <c r="AD52" s="13">
        <f t="shared" si="3"/>
        <v>160.57144200700807</v>
      </c>
      <c r="AE52" s="13">
        <f t="shared" si="4"/>
        <v>9.9892499464089499E-3</v>
      </c>
      <c r="AF52" s="13">
        <f t="shared" si="5"/>
        <v>4.8876991992205139E-3</v>
      </c>
      <c r="AG52" s="13">
        <f t="shared" si="6"/>
        <v>4.8876991992205148E-3</v>
      </c>
      <c r="AH52" s="10"/>
      <c r="AI52" s="13">
        <f t="shared" si="0"/>
        <v>2.422547849893408E-3</v>
      </c>
      <c r="AJ52" s="10"/>
      <c r="AK52" s="18">
        <v>8.2941176470588243</v>
      </c>
      <c r="AL52" s="10"/>
      <c r="AM52" s="18">
        <v>0.56237346288423229</v>
      </c>
      <c r="AN52" s="10"/>
    </row>
    <row r="53" spans="19:40">
      <c r="S53" s="10"/>
      <c r="T53" s="12">
        <v>47</v>
      </c>
      <c r="U53" s="13">
        <f t="shared" si="1"/>
        <v>0.17867035592342875</v>
      </c>
      <c r="V53" s="13">
        <f t="shared" si="7"/>
        <v>0.74640486593155841</v>
      </c>
      <c r="W53" s="13">
        <f t="shared" si="8"/>
        <v>0.74640486593155841</v>
      </c>
      <c r="X53" s="13">
        <v>0</v>
      </c>
      <c r="Y53" s="13">
        <v>0</v>
      </c>
      <c r="Z53" s="13">
        <v>0</v>
      </c>
      <c r="AA53" s="13">
        <f t="shared" si="9"/>
        <v>73.444622450288918</v>
      </c>
      <c r="AB53" s="13">
        <f t="shared" si="10"/>
        <v>585.80897268377976</v>
      </c>
      <c r="AC53" s="13">
        <f t="shared" si="2"/>
        <v>660.00000000000023</v>
      </c>
      <c r="AD53" s="13">
        <f t="shared" si="3"/>
        <v>149.77083157690433</v>
      </c>
      <c r="AE53" s="13">
        <f t="shared" si="4"/>
        <v>9.3675539540682383E-3</v>
      </c>
      <c r="AF53" s="13">
        <f t="shared" si="5"/>
        <v>4.5667932791481946E-3</v>
      </c>
      <c r="AG53" s="13">
        <f t="shared" si="6"/>
        <v>4.5667932791481946E-3</v>
      </c>
      <c r="AH53" s="10"/>
      <c r="AI53" s="13">
        <f t="shared" si="0"/>
        <v>2.0275453634566029E-3</v>
      </c>
      <c r="AJ53" s="10"/>
      <c r="AK53" s="18">
        <v>8.4705882352941178</v>
      </c>
      <c r="AL53" s="10"/>
      <c r="AM53" s="18">
        <v>0.56132763704401134</v>
      </c>
      <c r="AN53" s="10"/>
    </row>
    <row r="54" spans="19:40">
      <c r="S54" s="10"/>
      <c r="T54" s="12">
        <v>48</v>
      </c>
      <c r="U54" s="13">
        <f t="shared" si="1"/>
        <v>0.1800078291498452</v>
      </c>
      <c r="V54" s="13">
        <f t="shared" si="7"/>
        <v>0.61191526189937528</v>
      </c>
      <c r="W54" s="13">
        <f t="shared" si="8"/>
        <v>0.61191526189937528</v>
      </c>
      <c r="X54" s="13">
        <v>0</v>
      </c>
      <c r="Y54" s="13">
        <v>0</v>
      </c>
      <c r="Z54" s="13">
        <v>0</v>
      </c>
      <c r="AA54" s="13">
        <f t="shared" si="9"/>
        <v>68.955067315447067</v>
      </c>
      <c r="AB54" s="13">
        <f t="shared" si="10"/>
        <v>590.43301742265373</v>
      </c>
      <c r="AC54" s="13">
        <f t="shared" si="2"/>
        <v>660.00000000000023</v>
      </c>
      <c r="AD54" s="13">
        <f t="shared" si="3"/>
        <v>139.72156724272347</v>
      </c>
      <c r="AE54" s="13">
        <f t="shared" si="4"/>
        <v>8.7837099213821223E-3</v>
      </c>
      <c r="AF54" s="13">
        <f t="shared" si="5"/>
        <v>4.2668908169665003E-3</v>
      </c>
      <c r="AG54" s="13">
        <f t="shared" si="6"/>
        <v>4.2668908169665003E-3</v>
      </c>
      <c r="AH54" s="10"/>
      <c r="AI54" s="13">
        <f t="shared" si="0"/>
        <v>1.6946653250804701E-3</v>
      </c>
      <c r="AJ54" s="10"/>
      <c r="AK54" s="18">
        <v>8.6470588235294112</v>
      </c>
      <c r="AL54" s="10"/>
      <c r="AM54" s="18">
        <v>0.55775662100281875</v>
      </c>
      <c r="AN54" s="10"/>
    </row>
    <row r="55" spans="19:40">
      <c r="S55" s="10"/>
      <c r="T55" s="12">
        <v>49</v>
      </c>
      <c r="U55" s="13">
        <f t="shared" si="1"/>
        <v>0.18132742752211783</v>
      </c>
      <c r="V55" s="13">
        <f t="shared" si="7"/>
        <v>0.50085094032520483</v>
      </c>
      <c r="W55" s="13">
        <f t="shared" si="8"/>
        <v>0.50085094032520483</v>
      </c>
      <c r="X55" s="13">
        <v>0</v>
      </c>
      <c r="Y55" s="13">
        <v>0</v>
      </c>
      <c r="Z55" s="13">
        <v>0</v>
      </c>
      <c r="AA55" s="13">
        <f t="shared" si="9"/>
        <v>64.724763118039945</v>
      </c>
      <c r="AB55" s="13">
        <f t="shared" si="10"/>
        <v>594.77438594163505</v>
      </c>
      <c r="AC55" s="13">
        <f t="shared" si="2"/>
        <v>660.00000000000023</v>
      </c>
      <c r="AD55" s="13">
        <f t="shared" si="3"/>
        <v>130.36767741377437</v>
      </c>
      <c r="AE55" s="13">
        <f t="shared" si="4"/>
        <v>8.2355573306016581E-3</v>
      </c>
      <c r="AF55" s="13">
        <f t="shared" si="5"/>
        <v>3.986632637407137E-3</v>
      </c>
      <c r="AG55" s="13">
        <f t="shared" si="6"/>
        <v>3.986632637407137E-3</v>
      </c>
      <c r="AH55" s="10"/>
      <c r="AI55" s="13">
        <f t="shared" si="0"/>
        <v>1.4145566783001818E-3</v>
      </c>
      <c r="AJ55" s="10"/>
      <c r="AK55" s="18">
        <v>8.8235294117647065</v>
      </c>
      <c r="AL55" s="10"/>
      <c r="AM55" s="18">
        <v>0.55749085453735681</v>
      </c>
      <c r="AN55" s="10"/>
    </row>
    <row r="56" spans="19:40">
      <c r="S56" s="10"/>
      <c r="T56" s="12">
        <v>50</v>
      </c>
      <c r="U56" s="13">
        <f t="shared" si="1"/>
        <v>0.1826297475485272</v>
      </c>
      <c r="V56" s="13">
        <f t="shared" si="7"/>
        <v>0.40929283374105346</v>
      </c>
      <c r="W56" s="13">
        <f t="shared" si="8"/>
        <v>0.40929283374105346</v>
      </c>
      <c r="X56" s="13">
        <v>0</v>
      </c>
      <c r="Y56" s="13">
        <v>0</v>
      </c>
      <c r="Z56" s="13">
        <v>0</v>
      </c>
      <c r="AA56" s="13">
        <f t="shared" si="9"/>
        <v>60.741302942098706</v>
      </c>
      <c r="AB56" s="13">
        <f t="shared" si="10"/>
        <v>598.84940422416048</v>
      </c>
      <c r="AC56" s="13">
        <f t="shared" si="2"/>
        <v>660.00000000000023</v>
      </c>
      <c r="AD56" s="13">
        <f t="shared" si="3"/>
        <v>121.65784300224081</v>
      </c>
      <c r="AE56" s="13">
        <f t="shared" si="4"/>
        <v>7.7210348201817852E-3</v>
      </c>
      <c r="AF56" s="13">
        <f t="shared" si="5"/>
        <v>3.7247441295756396E-3</v>
      </c>
      <c r="AG56" s="13">
        <f t="shared" si="6"/>
        <v>3.7247441295756405E-3</v>
      </c>
      <c r="AH56" s="10"/>
      <c r="AI56" s="13">
        <f t="shared" si="0"/>
        <v>1.1791999228921621E-3</v>
      </c>
      <c r="AJ56" s="10"/>
      <c r="AK56" s="18">
        <v>9</v>
      </c>
      <c r="AL56" s="10"/>
      <c r="AM56" s="18">
        <v>0.55543994558771748</v>
      </c>
      <c r="AN56" s="10"/>
    </row>
    <row r="57" spans="19:40">
      <c r="S57" s="10"/>
      <c r="T57" s="12">
        <v>51</v>
      </c>
      <c r="U57" s="13">
        <f t="shared" si="1"/>
        <v>0.18391535437021062</v>
      </c>
      <c r="V57" s="13">
        <f t="shared" si="7"/>
        <v>0.33394582639221837</v>
      </c>
      <c r="W57" s="13">
        <f t="shared" si="8"/>
        <v>0.33394582639221837</v>
      </c>
      <c r="X57" s="13">
        <v>0</v>
      </c>
      <c r="Y57" s="13">
        <v>0</v>
      </c>
      <c r="Z57" s="13">
        <v>0</v>
      </c>
      <c r="AA57" s="13">
        <f t="shared" si="9"/>
        <v>56.992437719634637</v>
      </c>
      <c r="AB57" s="13">
        <f t="shared" si="10"/>
        <v>602.67361645397341</v>
      </c>
      <c r="AC57" s="13">
        <f t="shared" si="2"/>
        <v>660.00000000000023</v>
      </c>
      <c r="AD57" s="13">
        <f t="shared" si="3"/>
        <v>113.54496222297279</v>
      </c>
      <c r="AE57" s="13">
        <f t="shared" si="4"/>
        <v>7.2381797406599543E-3</v>
      </c>
      <c r="AF57" s="13">
        <f t="shared" si="5"/>
        <v>3.4800306867250738E-3</v>
      </c>
      <c r="AG57" s="13">
        <f t="shared" si="6"/>
        <v>3.4800306867250738E-3</v>
      </c>
      <c r="AH57" s="10"/>
      <c r="AI57" s="13">
        <f t="shared" si="0"/>
        <v>9.8173119144362789E-4</v>
      </c>
      <c r="AJ57" s="10"/>
      <c r="AK57" s="18">
        <v>9.1764705882352935</v>
      </c>
      <c r="AL57" s="10"/>
      <c r="AM57" s="18">
        <v>0.55049728956683452</v>
      </c>
      <c r="AN57" s="10"/>
    </row>
    <row r="58" spans="19:40">
      <c r="S58" s="10"/>
      <c r="T58" s="12">
        <v>52</v>
      </c>
      <c r="U58" s="13">
        <f t="shared" si="1"/>
        <v>0.185184783989815</v>
      </c>
      <c r="V58" s="13">
        <f t="shared" si="7"/>
        <v>0.27204558221285419</v>
      </c>
      <c r="W58" s="13">
        <f t="shared" si="8"/>
        <v>0.27204558221285419</v>
      </c>
      <c r="X58" s="13">
        <v>0</v>
      </c>
      <c r="Y58" s="13">
        <v>0</v>
      </c>
      <c r="Z58" s="13">
        <v>0</v>
      </c>
      <c r="AA58" s="13">
        <f t="shared" si="9"/>
        <v>53.466159355485814</v>
      </c>
      <c r="AB58" s="13">
        <f t="shared" si="10"/>
        <v>606.26179506230164</v>
      </c>
      <c r="AC58" s="13">
        <f t="shared" si="2"/>
        <v>660.00000000000034</v>
      </c>
      <c r="AD58" s="13">
        <f t="shared" si="3"/>
        <v>105.98575826838756</v>
      </c>
      <c r="AE58" s="13">
        <f t="shared" si="4"/>
        <v>6.7851268860730611E-3</v>
      </c>
      <c r="AF58" s="13">
        <f t="shared" si="5"/>
        <v>3.2513732502020957E-3</v>
      </c>
      <c r="AG58" s="13">
        <f t="shared" si="6"/>
        <v>3.2513732502020957E-3</v>
      </c>
      <c r="AH58" s="10"/>
      <c r="AI58" s="13">
        <f t="shared" si="0"/>
        <v>8.1628710660014924E-4</v>
      </c>
      <c r="AJ58" s="10"/>
      <c r="AK58" s="18">
        <v>9.3529411764705888</v>
      </c>
      <c r="AL58" s="10"/>
      <c r="AM58" s="18">
        <v>0.5352241588591542</v>
      </c>
      <c r="AN58" s="10"/>
    </row>
    <row r="59" spans="19:40">
      <c r="S59" s="10"/>
      <c r="T59" s="12">
        <v>53</v>
      </c>
      <c r="U59" s="13">
        <f t="shared" si="1"/>
        <v>0.18643854530221918</v>
      </c>
      <c r="V59" s="13">
        <f t="shared" si="7"/>
        <v>0.22127809555775299</v>
      </c>
      <c r="W59" s="13">
        <f t="shared" si="8"/>
        <v>0.22127809555775299</v>
      </c>
      <c r="X59" s="13">
        <v>0</v>
      </c>
      <c r="Y59" s="13">
        <v>0</v>
      </c>
      <c r="Z59" s="13">
        <v>0</v>
      </c>
      <c r="AA59" s="13">
        <f t="shared" si="9"/>
        <v>50.150765912385815</v>
      </c>
      <c r="AB59" s="13">
        <f t="shared" si="10"/>
        <v>609.62795599205674</v>
      </c>
      <c r="AC59" s="13">
        <f t="shared" si="2"/>
        <v>660.00000000000034</v>
      </c>
      <c r="AD59" s="13">
        <f t="shared" si="3"/>
        <v>98.940426089274268</v>
      </c>
      <c r="AE59" s="13">
        <f t="shared" si="4"/>
        <v>6.3601065666595369E-3</v>
      </c>
      <c r="AF59" s="13">
        <f t="shared" si="5"/>
        <v>3.0377239864920499E-3</v>
      </c>
      <c r="AG59" s="13">
        <f t="shared" si="6"/>
        <v>3.0377239864920504E-3</v>
      </c>
      <c r="AH59" s="10"/>
      <c r="AI59" s="13">
        <f t="shared" si="0"/>
        <v>6.7786841408931393E-4</v>
      </c>
      <c r="AJ59" s="10"/>
      <c r="AK59" s="18">
        <v>9.5294117647058822</v>
      </c>
      <c r="AL59" s="10"/>
      <c r="AM59" s="18">
        <v>0.51949490659934927</v>
      </c>
      <c r="AN59" s="10"/>
    </row>
    <row r="60" spans="19:40">
      <c r="S60" s="10"/>
      <c r="T60" s="12">
        <v>54</v>
      </c>
      <c r="U60" s="13">
        <f t="shared" si="1"/>
        <v>0.18767712194828698</v>
      </c>
      <c r="V60" s="13">
        <f t="shared" si="7"/>
        <v>0.17971045762084623</v>
      </c>
      <c r="W60" s="13">
        <f t="shared" si="8"/>
        <v>0.17971045762084623</v>
      </c>
      <c r="X60" s="13">
        <v>0</v>
      </c>
      <c r="Y60" s="13">
        <v>0</v>
      </c>
      <c r="Z60" s="13">
        <v>0</v>
      </c>
      <c r="AA60" s="13">
        <f t="shared" si="9"/>
        <v>47.034911490542484</v>
      </c>
      <c r="AB60" s="13">
        <f t="shared" si="10"/>
        <v>612.78537805183703</v>
      </c>
      <c r="AC60" s="13">
        <f t="shared" si="2"/>
        <v>660.00000000000034</v>
      </c>
      <c r="AD60" s="13">
        <f t="shared" si="3"/>
        <v>92.372314671280947</v>
      </c>
      <c r="AE60" s="13">
        <f t="shared" si="4"/>
        <v>5.9614421651721346E-3</v>
      </c>
      <c r="AF60" s="13">
        <f t="shared" si="5"/>
        <v>2.8381021183442054E-3</v>
      </c>
      <c r="AG60" s="13">
        <f t="shared" si="6"/>
        <v>2.8381021183442059E-3</v>
      </c>
      <c r="AH60" s="10"/>
      <c r="AI60" s="13">
        <f t="shared" si="0"/>
        <v>5.6222049347506755E-4</v>
      </c>
      <c r="AJ60" s="10"/>
      <c r="AK60" s="18">
        <v>9.7058823529411757</v>
      </c>
      <c r="AL60" s="10"/>
      <c r="AM60" s="18">
        <v>0.48082926757922595</v>
      </c>
      <c r="AN60" s="10"/>
    </row>
    <row r="61" spans="19:40">
      <c r="S61" s="10"/>
      <c r="T61" s="12">
        <v>55</v>
      </c>
      <c r="U61" s="13">
        <f t="shared" si="1"/>
        <v>0.18890097401004957</v>
      </c>
      <c r="V61" s="13">
        <f t="shared" si="7"/>
        <v>0.14573146434055043</v>
      </c>
      <c r="W61" s="13">
        <f t="shared" si="8"/>
        <v>0.14573146434055043</v>
      </c>
      <c r="X61" s="13">
        <v>0</v>
      </c>
      <c r="Y61" s="13">
        <v>0</v>
      </c>
      <c r="Z61" s="13">
        <v>0</v>
      </c>
      <c r="AA61" s="13">
        <f t="shared" si="9"/>
        <v>44.107643137560203</v>
      </c>
      <c r="AB61" s="13">
        <f t="shared" si="10"/>
        <v>615.74662539809958</v>
      </c>
      <c r="AC61" s="13">
        <f t="shared" si="2"/>
        <v>660.00000000000034</v>
      </c>
      <c r="AD61" s="13">
        <f t="shared" si="3"/>
        <v>86.247641397118244</v>
      </c>
      <c r="AE61" s="13">
        <f t="shared" si="4"/>
        <v>5.5875472982197883E-3</v>
      </c>
      <c r="AF61" s="13">
        <f t="shared" si="5"/>
        <v>2.651589924456505E-3</v>
      </c>
      <c r="AG61" s="13">
        <f t="shared" si="6"/>
        <v>2.651589924456505E-3</v>
      </c>
      <c r="AH61" s="10"/>
      <c r="AI61" s="13">
        <f t="shared" si="0"/>
        <v>4.657289691434706E-4</v>
      </c>
      <c r="AJ61" s="10"/>
      <c r="AK61" s="18">
        <v>9.882352941176471</v>
      </c>
      <c r="AL61" s="10"/>
      <c r="AM61" s="18">
        <v>0.47897991127977735</v>
      </c>
      <c r="AN61" s="10"/>
    </row>
    <row r="62" spans="19:40">
      <c r="S62" s="10"/>
      <c r="T62" s="12">
        <v>56</v>
      </c>
      <c r="U62" s="13">
        <f t="shared" si="1"/>
        <v>0.19011053956350266</v>
      </c>
      <c r="V62" s="13">
        <f t="shared" si="7"/>
        <v>0.11800082255117529</v>
      </c>
      <c r="W62" s="13">
        <f t="shared" si="8"/>
        <v>0.11800082255117529</v>
      </c>
      <c r="X62" s="13">
        <v>0</v>
      </c>
      <c r="Y62" s="13">
        <v>0</v>
      </c>
      <c r="Z62" s="13">
        <v>0</v>
      </c>
      <c r="AA62" s="13">
        <f t="shared" si="9"/>
        <v>41.358426846762242</v>
      </c>
      <c r="AB62" s="13">
        <f t="shared" si="10"/>
        <v>618.52357233068699</v>
      </c>
      <c r="AC62" s="13">
        <f t="shared" si="2"/>
        <v>660.00000000000045</v>
      </c>
      <c r="AD62" s="13">
        <f t="shared" si="3"/>
        <v>80.535235310390448</v>
      </c>
      <c r="AE62" s="13">
        <f t="shared" si="4"/>
        <v>5.2369226855193676E-3</v>
      </c>
      <c r="AF62" s="13">
        <f t="shared" si="5"/>
        <v>2.4773289169263022E-3</v>
      </c>
      <c r="AG62" s="13">
        <f t="shared" si="6"/>
        <v>2.4773289169263027E-3</v>
      </c>
      <c r="AH62" s="10"/>
      <c r="AI62" s="13">
        <f t="shared" si="0"/>
        <v>3.8532877234323E-4</v>
      </c>
      <c r="AJ62" s="10"/>
      <c r="AK62" s="18">
        <v>10.058823529411764</v>
      </c>
      <c r="AL62" s="10"/>
      <c r="AM62" s="18">
        <v>0.46975208947166824</v>
      </c>
      <c r="AN62" s="10"/>
    </row>
    <row r="63" spans="19:40">
      <c r="S63" s="10"/>
      <c r="T63" s="12">
        <v>57</v>
      </c>
      <c r="U63" s="13">
        <f t="shared" si="1"/>
        <v>0.19130623610329517</v>
      </c>
      <c r="V63" s="13">
        <f t="shared" si="7"/>
        <v>9.5405837515161532E-2</v>
      </c>
      <c r="W63" s="13">
        <f t="shared" si="8"/>
        <v>9.5405837515161532E-2</v>
      </c>
      <c r="X63" s="13">
        <v>0</v>
      </c>
      <c r="Y63" s="13">
        <v>0</v>
      </c>
      <c r="Z63" s="13">
        <v>0</v>
      </c>
      <c r="AA63" s="13">
        <f t="shared" si="9"/>
        <v>38.777164446241237</v>
      </c>
      <c r="AB63" s="13">
        <f t="shared" si="10"/>
        <v>621.12742971624402</v>
      </c>
      <c r="AC63" s="13">
        <f t="shared" si="2"/>
        <v>660.00000000000045</v>
      </c>
      <c r="AD63" s="13">
        <f t="shared" si="3"/>
        <v>75.206306336225452</v>
      </c>
      <c r="AE63" s="13">
        <f t="shared" si="4"/>
        <v>4.908152813605602E-3</v>
      </c>
      <c r="AF63" s="13">
        <f t="shared" si="5"/>
        <v>2.3145162014395607E-3</v>
      </c>
      <c r="AG63" s="13">
        <f t="shared" si="6"/>
        <v>2.3145162014395607E-3</v>
      </c>
      <c r="AH63" s="10"/>
      <c r="AI63" s="13">
        <f t="shared" si="0"/>
        <v>3.1842513655080154E-4</v>
      </c>
      <c r="AJ63" s="10"/>
      <c r="AK63" s="18">
        <v>10.235294117647058</v>
      </c>
      <c r="AL63" s="10"/>
      <c r="AM63" s="18">
        <v>0.45314973469793973</v>
      </c>
      <c r="AN63" s="10"/>
    </row>
    <row r="64" spans="19:40">
      <c r="S64" s="10"/>
      <c r="T64" s="12">
        <v>58</v>
      </c>
      <c r="U64" s="13">
        <f t="shared" si="1"/>
        <v>0.19248846185193036</v>
      </c>
      <c r="V64" s="13">
        <f t="shared" si="7"/>
        <v>7.7024584885455188E-2</v>
      </c>
      <c r="W64" s="13">
        <f t="shared" si="8"/>
        <v>7.7024584885455188E-2</v>
      </c>
      <c r="X64" s="13">
        <v>0</v>
      </c>
      <c r="Y64" s="13">
        <v>0</v>
      </c>
      <c r="Z64" s="13">
        <v>0</v>
      </c>
      <c r="AA64" s="13">
        <f t="shared" si="9"/>
        <v>36.354202947776578</v>
      </c>
      <c r="AB64" s="13">
        <f t="shared" si="10"/>
        <v>623.56877246733836</v>
      </c>
      <c r="AC64" s="13">
        <f t="shared" si="2"/>
        <v>660.00000000000045</v>
      </c>
      <c r="AD64" s="13">
        <f t="shared" si="3"/>
        <v>70.234237757159079</v>
      </c>
      <c r="AE64" s="13">
        <f t="shared" si="4"/>
        <v>4.5999024662452034E-3</v>
      </c>
      <c r="AF64" s="13">
        <f t="shared" si="5"/>
        <v>2.1624010218103907E-3</v>
      </c>
      <c r="AG64" s="13">
        <f t="shared" si="6"/>
        <v>2.1624010218103907E-3</v>
      </c>
      <c r="AH64" s="10"/>
      <c r="AI64" s="13">
        <f t="shared" si="0"/>
        <v>2.6282513940485393E-4</v>
      </c>
      <c r="AJ64" s="10"/>
      <c r="AK64" s="18">
        <v>10.411764705882353</v>
      </c>
      <c r="AL64" s="10"/>
      <c r="AM64" s="18">
        <v>0.45288122351306748</v>
      </c>
      <c r="AN64" s="10"/>
    </row>
    <row r="65" spans="19:40">
      <c r="S65" s="10"/>
      <c r="T65" s="12">
        <v>59</v>
      </c>
      <c r="U65" s="13">
        <f t="shared" si="1"/>
        <v>0.19365759696465987</v>
      </c>
      <c r="V65" s="13">
        <f t="shared" si="7"/>
        <v>6.2094682365281283E-2</v>
      </c>
      <c r="W65" s="13">
        <f t="shared" si="8"/>
        <v>6.2094682365281283E-2</v>
      </c>
      <c r="X65" s="13">
        <v>0</v>
      </c>
      <c r="Y65" s="13">
        <v>0</v>
      </c>
      <c r="Z65" s="13">
        <v>0</v>
      </c>
      <c r="AA65" s="13">
        <f t="shared" si="9"/>
        <v>34.080337713924798</v>
      </c>
      <c r="AB65" s="13">
        <f t="shared" si="10"/>
        <v>625.85756760371032</v>
      </c>
      <c r="AC65" s="13">
        <f t="shared" si="2"/>
        <v>660.00000000000045</v>
      </c>
      <c r="AD65" s="13">
        <f t="shared" si="3"/>
        <v>65.594399483021974</v>
      </c>
      <c r="AE65" s="13">
        <f t="shared" si="4"/>
        <v>4.3109131813497551E-3</v>
      </c>
      <c r="AF65" s="13">
        <f t="shared" si="5"/>
        <v>2.0202814878513449E-3</v>
      </c>
      <c r="AG65" s="13">
        <f t="shared" si="6"/>
        <v>2.0202814878513449E-3</v>
      </c>
      <c r="AH65" s="10"/>
      <c r="AI65" s="13">
        <f t="shared" si="0"/>
        <v>2.1667853225172223E-4</v>
      </c>
      <c r="AJ65" s="10"/>
      <c r="AK65" s="18">
        <v>10.588235294117647</v>
      </c>
      <c r="AL65" s="10"/>
      <c r="AM65" s="18">
        <v>0.45322347434923976</v>
      </c>
      <c r="AN65" s="10"/>
    </row>
    <row r="66" spans="19:40">
      <c r="S66" s="10"/>
      <c r="T66" s="12">
        <v>60</v>
      </c>
      <c r="U66" s="13">
        <f t="shared" si="1"/>
        <v>0.1948140046400019</v>
      </c>
      <c r="V66" s="13">
        <f t="shared" si="7"/>
        <v>4.9986880128322767E-2</v>
      </c>
      <c r="W66" s="13">
        <f t="shared" si="8"/>
        <v>4.9986880128322767E-2</v>
      </c>
      <c r="X66" s="13">
        <v>0</v>
      </c>
      <c r="Y66" s="13">
        <v>0</v>
      </c>
      <c r="Z66" s="13">
        <v>0</v>
      </c>
      <c r="AA66" s="13">
        <f t="shared" si="9"/>
        <v>31.94681061243239</v>
      </c>
      <c r="AB66" s="13">
        <f t="shared" si="10"/>
        <v>628.00320250743971</v>
      </c>
      <c r="AC66" s="13">
        <f t="shared" si="2"/>
        <v>660.00000000000045</v>
      </c>
      <c r="AD66" s="13">
        <f t="shared" si="3"/>
        <v>61.263979885800907</v>
      </c>
      <c r="AE66" s="13">
        <f t="shared" si="4"/>
        <v>4.0399996834041274E-3</v>
      </c>
      <c r="AF66" s="13">
        <f t="shared" si="5"/>
        <v>1.8875014835285149E-3</v>
      </c>
      <c r="AG66" s="13">
        <f t="shared" si="6"/>
        <v>1.8875014835285154E-3</v>
      </c>
      <c r="AH66" s="10"/>
      <c r="AI66" s="13">
        <f t="shared" si="0"/>
        <v>1.7842672098646346E-4</v>
      </c>
      <c r="AJ66" s="10"/>
      <c r="AK66" s="18">
        <v>10.764705882352942</v>
      </c>
      <c r="AL66" s="10"/>
      <c r="AM66" s="18">
        <v>0.44898320402806902</v>
      </c>
      <c r="AN66" s="10"/>
    </row>
    <row r="67" spans="19:40">
      <c r="S67" s="10"/>
      <c r="T67" s="12">
        <v>61</v>
      </c>
      <c r="U67" s="13">
        <f t="shared" si="1"/>
        <v>0.19595803214471638</v>
      </c>
      <c r="V67" s="13">
        <f t="shared" si="7"/>
        <v>4.0182784108129213E-2</v>
      </c>
      <c r="W67" s="13">
        <f t="shared" si="8"/>
        <v>4.0182784108129213E-2</v>
      </c>
      <c r="X67" s="13">
        <v>0</v>
      </c>
      <c r="Y67" s="13">
        <v>0</v>
      </c>
      <c r="Z67" s="13">
        <v>0</v>
      </c>
      <c r="AA67" s="13">
        <f t="shared" si="9"/>
        <v>29.945304158604582</v>
      </c>
      <c r="AB67" s="13">
        <f t="shared" si="10"/>
        <v>630.01451305728767</v>
      </c>
      <c r="AC67" s="13">
        <f t="shared" si="2"/>
        <v>660.00000000000034</v>
      </c>
      <c r="AD67" s="13">
        <f t="shared" si="3"/>
        <v>57.221834191084625</v>
      </c>
      <c r="AE67" s="13">
        <f t="shared" si="4"/>
        <v>3.786046331150593E-3</v>
      </c>
      <c r="AF67" s="13">
        <f t="shared" si="5"/>
        <v>1.7634477508276965E-3</v>
      </c>
      <c r="AG67" s="13">
        <f t="shared" si="6"/>
        <v>1.7634477508276967E-3</v>
      </c>
      <c r="AH67" s="10"/>
      <c r="AI67" s="13">
        <f t="shared" si="0"/>
        <v>1.4675887798752278E-4</v>
      </c>
      <c r="AJ67" s="10"/>
      <c r="AK67" s="18">
        <v>10.941176470588236</v>
      </c>
      <c r="AL67" s="10"/>
      <c r="AM67" s="18">
        <v>0.43589600575037724</v>
      </c>
      <c r="AN67" s="10"/>
    </row>
    <row r="68" spans="19:40">
      <c r="S68" s="10"/>
      <c r="T68" s="12">
        <v>62</v>
      </c>
      <c r="U68" s="13">
        <f t="shared" si="1"/>
        <v>0.1970900117611159</v>
      </c>
      <c r="V68" s="13">
        <f t="shared" si="7"/>
        <v>3.2256112537649796E-2</v>
      </c>
      <c r="W68" s="13">
        <f t="shared" si="8"/>
        <v>3.2256112537649796E-2</v>
      </c>
      <c r="X68" s="13">
        <v>0</v>
      </c>
      <c r="Y68" s="13">
        <v>0</v>
      </c>
      <c r="Z68" s="13">
        <v>0</v>
      </c>
      <c r="AA68" s="13">
        <f t="shared" si="9"/>
        <v>28.067932497114008</v>
      </c>
      <c r="AB68" s="13">
        <f t="shared" si="10"/>
        <v>631.89981139034865</v>
      </c>
      <c r="AC68" s="13">
        <f t="shared" si="2"/>
        <v>660.00000000000034</v>
      </c>
      <c r="AD68" s="13">
        <f t="shared" si="3"/>
        <v>53.448347624465242</v>
      </c>
      <c r="AE68" s="13">
        <f t="shared" si="4"/>
        <v>3.5480036123297525E-3</v>
      </c>
      <c r="AF68" s="13">
        <f t="shared" si="5"/>
        <v>1.647547143638062E-3</v>
      </c>
      <c r="AG68" s="13">
        <f t="shared" si="6"/>
        <v>1.647547143638062E-3</v>
      </c>
      <c r="AH68" s="10"/>
      <c r="AI68" s="13">
        <f t="shared" si="0"/>
        <v>1.2057427363495936E-4</v>
      </c>
      <c r="AJ68" s="10"/>
      <c r="AK68" s="18">
        <v>11.117647058823529</v>
      </c>
      <c r="AL68" s="10"/>
      <c r="AM68" s="18">
        <v>0.39759112860230239</v>
      </c>
      <c r="AN68" s="10"/>
    </row>
    <row r="69" spans="19:40">
      <c r="S69" s="10"/>
      <c r="T69" s="12">
        <v>63</v>
      </c>
      <c r="U69" s="13">
        <f t="shared" si="1"/>
        <v>0.19821026166374831</v>
      </c>
      <c r="V69" s="13">
        <f t="shared" si="7"/>
        <v>2.5856963820170244E-2</v>
      </c>
      <c r="W69" s="13">
        <f t="shared" si="8"/>
        <v>2.5856963820170244E-2</v>
      </c>
      <c r="X69" s="13">
        <v>0</v>
      </c>
      <c r="Y69" s="13">
        <v>0</v>
      </c>
      <c r="Z69" s="13">
        <v>0</v>
      </c>
      <c r="AA69" s="13">
        <f t="shared" si="9"/>
        <v>26.307229943530427</v>
      </c>
      <c r="AB69" s="13">
        <f t="shared" si="10"/>
        <v>633.66691309264968</v>
      </c>
      <c r="AC69" s="13">
        <f t="shared" si="2"/>
        <v>660.00000000000023</v>
      </c>
      <c r="AD69" s="13">
        <f t="shared" si="3"/>
        <v>49.925311702841171</v>
      </c>
      <c r="AE69" s="13">
        <f t="shared" si="4"/>
        <v>3.3248847105240647E-3</v>
      </c>
      <c r="AF69" s="13">
        <f t="shared" si="5"/>
        <v>1.5392640451711696E-3</v>
      </c>
      <c r="AG69" s="13">
        <f t="shared" si="6"/>
        <v>1.5392640451711698E-3</v>
      </c>
      <c r="AH69" s="10"/>
      <c r="AI69" s="13">
        <f t="shared" si="0"/>
        <v>9.8950016665562437E-5</v>
      </c>
      <c r="AJ69" s="10"/>
      <c r="AK69" s="18">
        <v>11.294117647058824</v>
      </c>
      <c r="AL69" s="10"/>
      <c r="AM69" s="18">
        <v>0.33777643464943513</v>
      </c>
      <c r="AN69" s="10"/>
    </row>
    <row r="70" spans="19:40">
      <c r="S70" s="10"/>
      <c r="T70" s="12">
        <v>64</v>
      </c>
      <c r="U70" s="13">
        <f t="shared" si="1"/>
        <v>0.19931908673174983</v>
      </c>
      <c r="V70" s="13">
        <f t="shared" si="7"/>
        <v>2.0698643305665242E-2</v>
      </c>
      <c r="W70" s="13">
        <f t="shared" si="8"/>
        <v>2.0698643305665242E-2</v>
      </c>
      <c r="X70" s="13">
        <v>0</v>
      </c>
      <c r="Y70" s="13">
        <v>0</v>
      </c>
      <c r="Z70" s="13">
        <v>0</v>
      </c>
      <c r="AA70" s="13">
        <f t="shared" si="9"/>
        <v>24.656137691104096</v>
      </c>
      <c r="AB70" s="13">
        <f t="shared" si="10"/>
        <v>635.32316366559053</v>
      </c>
      <c r="AC70" s="13">
        <f t="shared" si="2"/>
        <v>660.00000000000034</v>
      </c>
      <c r="AD70" s="13">
        <f t="shared" si="3"/>
        <v>46.635812236384453</v>
      </c>
      <c r="AE70" s="13">
        <f t="shared" si="4"/>
        <v>3.1157621634355739E-3</v>
      </c>
      <c r="AF70" s="13">
        <f t="shared" si="5"/>
        <v>1.4380979419111907E-3</v>
      </c>
      <c r="AG70" s="13">
        <f t="shared" si="6"/>
        <v>1.4380979419111907E-3</v>
      </c>
      <c r="AH70" s="10"/>
      <c r="AI70" s="13">
        <f t="shared" ref="AI70:AI133" si="11">EXP(-lambda_pacl*(T70^gamma_pacl))</f>
        <v>8.1113485249093803E-5</v>
      </c>
      <c r="AJ70" s="10"/>
      <c r="AK70" s="18">
        <v>11.470588235294118</v>
      </c>
      <c r="AL70" s="10"/>
      <c r="AM70" s="18">
        <v>0.33674119775699018</v>
      </c>
      <c r="AN70" s="10"/>
    </row>
    <row r="71" spans="19:40">
      <c r="S71" s="10"/>
      <c r="T71" s="12">
        <v>65</v>
      </c>
      <c r="U71" s="13">
        <f t="shared" ref="U71:U134" si="12">gamma_pacl*lambda_pacl*T71^(gamma_pacl-1)</f>
        <v>0.2004167793025162</v>
      </c>
      <c r="V71" s="13">
        <f t="shared" si="7"/>
        <v>1.6546658305981794E-2</v>
      </c>
      <c r="W71" s="13">
        <f t="shared" si="8"/>
        <v>1.6546658305981794E-2</v>
      </c>
      <c r="X71" s="13">
        <v>0</v>
      </c>
      <c r="Y71" s="13">
        <v>0</v>
      </c>
      <c r="Z71" s="13">
        <v>0</v>
      </c>
      <c r="AA71" s="13">
        <f t="shared" si="9"/>
        <v>23.107989188532326</v>
      </c>
      <c r="AB71" s="13">
        <f t="shared" si="10"/>
        <v>636.87546415316206</v>
      </c>
      <c r="AC71" s="13">
        <f t="shared" ref="AC71:AC134" si="13">V71+AA71+AB71</f>
        <v>660.00000000000034</v>
      </c>
      <c r="AD71" s="13">
        <f t="shared" ref="AD71:AD134" si="14">(V71*cPFS_PALB_after+AA71*cP)/AC71/(1+rdis_Month)^T70</f>
        <v>43.564127766984704</v>
      </c>
      <c r="AE71" s="13">
        <f t="shared" ref="AE71:AE134" si="15">(V71+AA71)/AC71/12</f>
        <v>2.9197646271260473E-3</v>
      </c>
      <c r="AF71" s="13">
        <f t="shared" ref="AF71:AF134" si="16">(V71*uS+AA71*uP)/AC71/12/(1+rdis_Month)^T70</f>
        <v>1.3435811467829169E-3</v>
      </c>
      <c r="AG71" s="13">
        <f t="shared" ref="AG71:AG134" si="17">(W71*uS/12+X71*(uS+duAE1_PALB)/12+Y71*(uS/12+duAE2_PALB)/12+Z71*(uS+duAE3_PALB)/12+AA71*uP/12)/AC71/(1+rdis_Month)^T70</f>
        <v>1.3435811467829167E-3</v>
      </c>
      <c r="AH71" s="10"/>
      <c r="AI71" s="13">
        <f t="shared" si="11"/>
        <v>6.6418815194762388E-5</v>
      </c>
      <c r="AJ71" s="10"/>
      <c r="AK71" s="18">
        <v>11.647058823529411</v>
      </c>
      <c r="AL71" s="10"/>
      <c r="AM71" s="18">
        <v>0.33708467523256158</v>
      </c>
      <c r="AN71" s="10"/>
    </row>
    <row r="72" spans="19:40">
      <c r="S72" s="10"/>
      <c r="T72" s="12">
        <v>66</v>
      </c>
      <c r="U72" s="13">
        <f t="shared" si="12"/>
        <v>0.20150361987176404</v>
      </c>
      <c r="V72" s="13">
        <f t="shared" ref="V72:V135" si="18">SUM(W72:Z72)</f>
        <v>1.3209545251788574E-2</v>
      </c>
      <c r="W72" s="13">
        <f t="shared" ref="W72:W135" si="19">(1-($Q$13+U72))*W71</f>
        <v>1.3209545251788574E-2</v>
      </c>
      <c r="X72" s="13">
        <v>0</v>
      </c>
      <c r="Y72" s="13">
        <v>0</v>
      </c>
      <c r="Z72" s="13">
        <v>0</v>
      </c>
      <c r="AA72" s="13">
        <f t="shared" ref="AA72:AA135" si="20">(1-$Q$17)*AA71+(U72*W71)</f>
        <v>21.656494608098058</v>
      </c>
      <c r="AB72" s="13">
        <f t="shared" ref="AB72:AB135" si="21">(AB71*1)+(AA71*$Q$17)+(W71*$Q$13)</f>
        <v>638.33029584665053</v>
      </c>
      <c r="AC72" s="13">
        <f t="shared" si="13"/>
        <v>660.00000000000034</v>
      </c>
      <c r="AD72" s="13">
        <f t="shared" si="14"/>
        <v>40.695637313664932</v>
      </c>
      <c r="AE72" s="13">
        <f t="shared" si="15"/>
        <v>2.7360737567360903E-3</v>
      </c>
      <c r="AF72" s="13">
        <f t="shared" si="16"/>
        <v>1.2552766640824889E-3</v>
      </c>
      <c r="AG72" s="13">
        <f t="shared" si="17"/>
        <v>1.2552766640824889E-3</v>
      </c>
      <c r="AH72" s="10"/>
      <c r="AI72" s="13">
        <f t="shared" si="11"/>
        <v>5.4326888317350533E-5</v>
      </c>
      <c r="AJ72" s="10"/>
      <c r="AK72" s="18">
        <v>11.823529411764707</v>
      </c>
      <c r="AL72" s="10"/>
      <c r="AM72" s="18">
        <v>0.33828881017304857</v>
      </c>
      <c r="AN72" s="10"/>
    </row>
    <row r="73" spans="19:40">
      <c r="S73" s="10"/>
      <c r="T73" s="12">
        <v>67</v>
      </c>
      <c r="U73" s="13">
        <f t="shared" si="12"/>
        <v>0.20257987774454764</v>
      </c>
      <c r="V73" s="13">
        <f t="shared" si="18"/>
        <v>1.0531240854169758E-2</v>
      </c>
      <c r="W73" s="13">
        <f t="shared" si="19"/>
        <v>1.0531240854169758E-2</v>
      </c>
      <c r="X73" s="13">
        <v>0</v>
      </c>
      <c r="Y73" s="13">
        <v>0</v>
      </c>
      <c r="Z73" s="13">
        <v>0</v>
      </c>
      <c r="AA73" s="13">
        <f t="shared" si="20"/>
        <v>20.295724749264565</v>
      </c>
      <c r="AB73" s="13">
        <f t="shared" si="21"/>
        <v>639.69374400988158</v>
      </c>
      <c r="AC73" s="13">
        <f t="shared" si="13"/>
        <v>660.00000000000034</v>
      </c>
      <c r="AD73" s="13">
        <f t="shared" si="14"/>
        <v>38.016736425467776</v>
      </c>
      <c r="AE73" s="13">
        <f t="shared" si="15"/>
        <v>2.5639212108735762E-3</v>
      </c>
      <c r="AF73" s="13">
        <f t="shared" si="16"/>
        <v>1.1727761887047935E-3</v>
      </c>
      <c r="AG73" s="13">
        <f t="shared" si="17"/>
        <v>1.1727761887047935E-3</v>
      </c>
      <c r="AH73" s="10"/>
      <c r="AI73" s="13">
        <f t="shared" si="11"/>
        <v>4.4388333034476504E-5</v>
      </c>
      <c r="AJ73" s="10"/>
      <c r="AK73" s="18">
        <v>12</v>
      </c>
      <c r="AL73" s="10"/>
      <c r="AM73" s="18">
        <v>0.33835884042666042</v>
      </c>
      <c r="AN73" s="10"/>
    </row>
    <row r="74" spans="19:40">
      <c r="S74" s="10"/>
      <c r="T74" s="12">
        <v>68</v>
      </c>
      <c r="U74" s="13">
        <f t="shared" si="12"/>
        <v>0.20364581164134352</v>
      </c>
      <c r="V74" s="13">
        <f t="shared" si="18"/>
        <v>8.3847510765105576E-3</v>
      </c>
      <c r="W74" s="13">
        <f t="shared" si="19"/>
        <v>8.3847510765105576E-3</v>
      </c>
      <c r="X74" s="13">
        <v>0</v>
      </c>
      <c r="Y74" s="13">
        <v>0</v>
      </c>
      <c r="Z74" s="13">
        <v>0</v>
      </c>
      <c r="AA74" s="13">
        <f t="shared" si="20"/>
        <v>19.020094659192264</v>
      </c>
      <c r="AB74" s="13">
        <f t="shared" si="21"/>
        <v>640.97152058973154</v>
      </c>
      <c r="AC74" s="13">
        <f t="shared" si="13"/>
        <v>660.00000000000034</v>
      </c>
      <c r="AD74" s="13">
        <f t="shared" si="14"/>
        <v>35.514760658511747</v>
      </c>
      <c r="AE74" s="13">
        <f t="shared" si="15"/>
        <v>2.4025857841248437E-3</v>
      </c>
      <c r="AF74" s="13">
        <f t="shared" si="16"/>
        <v>1.0956982322905574E-3</v>
      </c>
      <c r="AG74" s="13">
        <f t="shared" si="17"/>
        <v>1.0956982322905574E-3</v>
      </c>
      <c r="AH74" s="10"/>
      <c r="AI74" s="13">
        <f t="shared" si="11"/>
        <v>3.6229111143889856E-5</v>
      </c>
      <c r="AJ74" s="10"/>
      <c r="AK74" s="18">
        <v>12.176470588235293</v>
      </c>
      <c r="AL74" s="10"/>
      <c r="AM74" s="18">
        <v>0.33834249677412653</v>
      </c>
      <c r="AN74" s="10"/>
    </row>
    <row r="75" spans="19:40">
      <c r="S75" s="10"/>
      <c r="T75" s="12">
        <v>69</v>
      </c>
      <c r="U75" s="13">
        <f t="shared" si="12"/>
        <v>0.20470167026291802</v>
      </c>
      <c r="V75" s="13">
        <f t="shared" si="18"/>
        <v>6.666908233845751E-3</v>
      </c>
      <c r="W75" s="13">
        <f t="shared" si="19"/>
        <v>6.666908233845751E-3</v>
      </c>
      <c r="X75" s="13">
        <v>0</v>
      </c>
      <c r="Y75" s="13">
        <v>0</v>
      </c>
      <c r="Z75" s="13">
        <v>0</v>
      </c>
      <c r="AA75" s="13">
        <f t="shared" si="20"/>
        <v>17.824347197454937</v>
      </c>
      <c r="AB75" s="13">
        <f t="shared" si="21"/>
        <v>642.1689858943115</v>
      </c>
      <c r="AC75" s="13">
        <f t="shared" si="13"/>
        <v>660.00000000000034</v>
      </c>
      <c r="AD75" s="13">
        <f t="shared" si="14"/>
        <v>33.177915697311455</v>
      </c>
      <c r="AE75" s="13">
        <f t="shared" si="15"/>
        <v>2.2513906699101987E-3</v>
      </c>
      <c r="AF75" s="13">
        <f t="shared" si="16"/>
        <v>1.0236863690804936E-3</v>
      </c>
      <c r="AG75" s="13">
        <f t="shared" si="17"/>
        <v>1.0236863690804938E-3</v>
      </c>
      <c r="AH75" s="10"/>
      <c r="AI75" s="13">
        <f t="shared" si="11"/>
        <v>2.9538319911484311E-5</v>
      </c>
      <c r="AJ75" s="10"/>
      <c r="AK75" s="18">
        <v>12.352941176470589</v>
      </c>
      <c r="AL75" s="10"/>
      <c r="AM75" s="18">
        <v>0.33832615312159264</v>
      </c>
      <c r="AN75" s="10"/>
    </row>
    <row r="76" spans="19:40">
      <c r="S76" s="10"/>
      <c r="T76" s="12">
        <v>70</v>
      </c>
      <c r="U76" s="13">
        <f t="shared" si="12"/>
        <v>0.20574769281733388</v>
      </c>
      <c r="V76" s="13">
        <f t="shared" si="18"/>
        <v>5.2940381831069342E-3</v>
      </c>
      <c r="W76" s="13">
        <f t="shared" si="19"/>
        <v>5.2940381831069342E-3</v>
      </c>
      <c r="X76" s="13">
        <v>0</v>
      </c>
      <c r="Y76" s="13">
        <v>0</v>
      </c>
      <c r="Z76" s="13">
        <v>0</v>
      </c>
      <c r="AA76" s="13">
        <f t="shared" si="20"/>
        <v>16.703536726314162</v>
      </c>
      <c r="AB76" s="13">
        <f t="shared" si="21"/>
        <v>643.29116923550293</v>
      </c>
      <c r="AC76" s="13">
        <f t="shared" si="13"/>
        <v>660.00000000000023</v>
      </c>
      <c r="AD76" s="13">
        <f t="shared" si="14"/>
        <v>30.995213432089258</v>
      </c>
      <c r="AE76" s="13">
        <f t="shared" si="15"/>
        <v>2.1097008541031896E-3</v>
      </c>
      <c r="AF76" s="13">
        <f t="shared" si="16"/>
        <v>9.5640759448324534E-4</v>
      </c>
      <c r="AG76" s="13">
        <f t="shared" si="17"/>
        <v>9.5640759448324534E-4</v>
      </c>
      <c r="AH76" s="10"/>
      <c r="AI76" s="13">
        <f t="shared" si="11"/>
        <v>2.4057887586683646E-5</v>
      </c>
      <c r="AJ76" s="10"/>
      <c r="AK76" s="18">
        <v>12.529411764705882</v>
      </c>
      <c r="AL76" s="10"/>
      <c r="AM76" s="18">
        <v>0.33830980946905875</v>
      </c>
      <c r="AN76" s="10"/>
    </row>
    <row r="77" spans="19:40">
      <c r="S77" s="10"/>
      <c r="T77" s="12">
        <v>71</v>
      </c>
      <c r="U77" s="13">
        <f t="shared" si="12"/>
        <v>0.20678410951213613</v>
      </c>
      <c r="V77" s="13">
        <f t="shared" si="18"/>
        <v>4.1983868853860511E-3</v>
      </c>
      <c r="W77" s="13">
        <f t="shared" si="19"/>
        <v>4.1983868853860511E-3</v>
      </c>
      <c r="X77" s="13">
        <v>0</v>
      </c>
      <c r="Y77" s="13">
        <v>0</v>
      </c>
      <c r="Z77" s="13">
        <v>0</v>
      </c>
      <c r="AA77" s="13">
        <f t="shared" si="20"/>
        <v>15.65301306920637</v>
      </c>
      <c r="AB77" s="13">
        <f t="shared" si="21"/>
        <v>644.34278854390845</v>
      </c>
      <c r="AC77" s="13">
        <f t="shared" si="13"/>
        <v>660.00000000000023</v>
      </c>
      <c r="AD77" s="13">
        <f t="shared" si="14"/>
        <v>28.956413384744334</v>
      </c>
      <c r="AE77" s="13">
        <f t="shared" si="15"/>
        <v>1.976920638395423E-3</v>
      </c>
      <c r="AF77" s="13">
        <f t="shared" si="16"/>
        <v>8.9355078962212702E-4</v>
      </c>
      <c r="AG77" s="13">
        <f t="shared" si="17"/>
        <v>8.9355078962212702E-4</v>
      </c>
      <c r="AH77" s="10"/>
      <c r="AI77" s="13">
        <f t="shared" si="11"/>
        <v>1.9573883763502223E-5</v>
      </c>
      <c r="AJ77" s="10"/>
      <c r="AK77" s="18">
        <v>12.705882352941176</v>
      </c>
      <c r="AL77" s="10"/>
      <c r="AM77" s="18">
        <v>0.33829346581652486</v>
      </c>
      <c r="AN77" s="10"/>
    </row>
    <row r="78" spans="19:40">
      <c r="S78" s="10"/>
      <c r="T78" s="12">
        <v>72</v>
      </c>
      <c r="U78" s="13">
        <f t="shared" si="12"/>
        <v>0.20781114201447487</v>
      </c>
      <c r="V78" s="13">
        <f t="shared" si="18"/>
        <v>3.3251791117245417E-3</v>
      </c>
      <c r="W78" s="13">
        <f t="shared" si="19"/>
        <v>3.3251791117245417E-3</v>
      </c>
      <c r="X78" s="13">
        <v>0</v>
      </c>
      <c r="Y78" s="13">
        <v>0</v>
      </c>
      <c r="Z78" s="13">
        <v>0</v>
      </c>
      <c r="AA78" s="13">
        <f t="shared" si="20"/>
        <v>14.668405847651812</v>
      </c>
      <c r="AB78" s="13">
        <f t="shared" si="21"/>
        <v>645.32826897323662</v>
      </c>
      <c r="AC78" s="13">
        <f t="shared" si="13"/>
        <v>660.00000000000011</v>
      </c>
      <c r="AD78" s="13">
        <f t="shared" si="14"/>
        <v>27.051968947429518</v>
      </c>
      <c r="AE78" s="13">
        <f t="shared" si="15"/>
        <v>1.8524912912580218E-3</v>
      </c>
      <c r="AF78" s="13">
        <f t="shared" si="16"/>
        <v>8.348252854098664E-4</v>
      </c>
      <c r="AG78" s="13">
        <f t="shared" si="17"/>
        <v>8.3482528540986662E-4</v>
      </c>
      <c r="AH78" s="10"/>
      <c r="AI78" s="13">
        <f t="shared" si="11"/>
        <v>1.5909204131145834E-5</v>
      </c>
      <c r="AJ78" s="10"/>
      <c r="AK78" s="18">
        <v>12.882352941176471</v>
      </c>
      <c r="AL78" s="10"/>
      <c r="AM78" s="18">
        <v>0.33816394122306942</v>
      </c>
      <c r="AN78" s="10"/>
    </row>
    <row r="79" spans="19:40">
      <c r="S79" s="10"/>
      <c r="T79" s="12">
        <v>73</v>
      </c>
      <c r="U79" s="13">
        <f t="shared" si="12"/>
        <v>0.20882900388166689</v>
      </c>
      <c r="V79" s="13">
        <f t="shared" si="18"/>
        <v>2.6302021894431737E-3</v>
      </c>
      <c r="W79" s="13">
        <f t="shared" si="19"/>
        <v>2.6302021894431737E-3</v>
      </c>
      <c r="X79" s="13">
        <v>0</v>
      </c>
      <c r="Y79" s="13">
        <v>0</v>
      </c>
      <c r="Z79" s="13">
        <v>0</v>
      </c>
      <c r="AA79" s="13">
        <f t="shared" si="20"/>
        <v>13.745609279752919</v>
      </c>
      <c r="AB79" s="13">
        <f t="shared" si="21"/>
        <v>646.25176051805784</v>
      </c>
      <c r="AC79" s="13">
        <f t="shared" si="13"/>
        <v>660.00000000000023</v>
      </c>
      <c r="AD79" s="13">
        <f t="shared" si="14"/>
        <v>25.27297796031673</v>
      </c>
      <c r="AE79" s="13">
        <f t="shared" si="15"/>
        <v>1.7358888234775705E-3</v>
      </c>
      <c r="AF79" s="13">
        <f t="shared" si="16"/>
        <v>7.7995952000045913E-4</v>
      </c>
      <c r="AG79" s="13">
        <f t="shared" si="17"/>
        <v>7.7995952000045902E-4</v>
      </c>
      <c r="AH79" s="10"/>
      <c r="AI79" s="13">
        <f t="shared" si="11"/>
        <v>1.2917422601926925E-5</v>
      </c>
      <c r="AJ79" s="10"/>
      <c r="AK79" s="18">
        <v>13.058823529411764</v>
      </c>
      <c r="AL79" s="10"/>
      <c r="AM79" s="18">
        <v>0.33670246560792494</v>
      </c>
      <c r="AN79" s="10"/>
    </row>
    <row r="80" spans="19:40">
      <c r="S80" s="10"/>
      <c r="T80" s="12">
        <v>74</v>
      </c>
      <c r="U80" s="13">
        <f t="shared" si="12"/>
        <v>0.20983790096447433</v>
      </c>
      <c r="V80" s="13">
        <f t="shared" si="18"/>
        <v>2.0778248686431798E-3</v>
      </c>
      <c r="W80" s="13">
        <f t="shared" si="19"/>
        <v>2.0778248686431798E-3</v>
      </c>
      <c r="X80" s="13">
        <v>0</v>
      </c>
      <c r="Y80" s="13">
        <v>0</v>
      </c>
      <c r="Z80" s="13">
        <v>0</v>
      </c>
      <c r="AA80" s="13">
        <f t="shared" si="20"/>
        <v>12.880767501049707</v>
      </c>
      <c r="AB80" s="13">
        <f t="shared" si="21"/>
        <v>647.1171546740818</v>
      </c>
      <c r="AC80" s="13">
        <f t="shared" si="13"/>
        <v>660.00000000000011</v>
      </c>
      <c r="AD80" s="13">
        <f t="shared" si="14"/>
        <v>23.611137210052995</v>
      </c>
      <c r="AE80" s="13">
        <f t="shared" si="15"/>
        <v>1.6266218845856501E-3</v>
      </c>
      <c r="AF80" s="13">
        <f t="shared" si="16"/>
        <v>7.2869978377494455E-4</v>
      </c>
      <c r="AG80" s="13">
        <f t="shared" si="17"/>
        <v>7.2869978377494444E-4</v>
      </c>
      <c r="AH80" s="10"/>
      <c r="AI80" s="13">
        <f t="shared" si="11"/>
        <v>1.047763303905108E-5</v>
      </c>
      <c r="AJ80" s="10"/>
      <c r="AK80" s="18">
        <v>13.235294117647058</v>
      </c>
      <c r="AL80" s="10"/>
      <c r="AM80" s="18">
        <v>0.33755526621729404</v>
      </c>
      <c r="AN80" s="10"/>
    </row>
    <row r="81" spans="19:40">
      <c r="S81" s="10"/>
      <c r="T81" s="12">
        <v>75</v>
      </c>
      <c r="U81" s="13">
        <f t="shared" si="12"/>
        <v>0.21083803178517094</v>
      </c>
      <c r="V81" s="13">
        <f t="shared" si="18"/>
        <v>1.6393760097956514E-3</v>
      </c>
      <c r="W81" s="13">
        <f t="shared" si="19"/>
        <v>1.6393760097956514E-3</v>
      </c>
      <c r="X81" s="13">
        <v>0</v>
      </c>
      <c r="Y81" s="13">
        <v>0</v>
      </c>
      <c r="Z81" s="13">
        <v>0</v>
      </c>
      <c r="AA81" s="13">
        <f t="shared" si="20"/>
        <v>12.070260450068533</v>
      </c>
      <c r="AB81" s="13">
        <f t="shared" si="21"/>
        <v>647.92810017392185</v>
      </c>
      <c r="AC81" s="13">
        <f t="shared" si="13"/>
        <v>660.00000000000023</v>
      </c>
      <c r="AD81" s="13">
        <f t="shared" si="14"/>
        <v>22.058700478495219</v>
      </c>
      <c r="AE81" s="13">
        <f t="shared" si="15"/>
        <v>1.5242297760199904E-3</v>
      </c>
      <c r="AF81" s="13">
        <f t="shared" si="16"/>
        <v>6.8080904632716714E-4</v>
      </c>
      <c r="AG81" s="13">
        <f t="shared" si="17"/>
        <v>6.8080904632716725E-4</v>
      </c>
      <c r="AH81" s="10"/>
      <c r="AI81" s="13">
        <f t="shared" si="11"/>
        <v>8.4901282780485161E-6</v>
      </c>
      <c r="AJ81" s="10"/>
      <c r="AK81" s="18">
        <v>13.411764705882353</v>
      </c>
      <c r="AL81" s="10"/>
      <c r="AM81" s="18">
        <v>0.33822505743472858</v>
      </c>
      <c r="AN81" s="10"/>
    </row>
    <row r="82" spans="19:40">
      <c r="S82" s="10"/>
      <c r="T82" s="12">
        <v>76</v>
      </c>
      <c r="U82" s="13">
        <f t="shared" si="12"/>
        <v>0.21182958789228917</v>
      </c>
      <c r="V82" s="13">
        <f t="shared" si="18"/>
        <v>1.291820195482797E-3</v>
      </c>
      <c r="W82" s="13">
        <f t="shared" si="19"/>
        <v>1.291820195482797E-3</v>
      </c>
      <c r="X82" s="13">
        <v>0</v>
      </c>
      <c r="Y82" s="13">
        <v>0</v>
      </c>
      <c r="Z82" s="13">
        <v>0</v>
      </c>
      <c r="AA82" s="13">
        <f t="shared" si="20"/>
        <v>11.310690345846197</v>
      </c>
      <c r="AB82" s="13">
        <f t="shared" si="21"/>
        <v>648.6880178339585</v>
      </c>
      <c r="AC82" s="13">
        <f t="shared" si="13"/>
        <v>660.00000000000023</v>
      </c>
      <c r="AD82" s="13">
        <f t="shared" si="14"/>
        <v>20.608439813368346</v>
      </c>
      <c r="AE82" s="13">
        <f t="shared" si="15"/>
        <v>1.4282805765204137E-3</v>
      </c>
      <c r="AF82" s="13">
        <f t="shared" si="16"/>
        <v>6.3606586022180753E-4</v>
      </c>
      <c r="AG82" s="13">
        <f t="shared" si="17"/>
        <v>6.3606586022180753E-4</v>
      </c>
      <c r="AH82" s="10"/>
      <c r="AI82" s="13">
        <f t="shared" si="11"/>
        <v>6.8727862584238955E-6</v>
      </c>
      <c r="AJ82" s="10"/>
      <c r="AK82" s="18">
        <v>13.588235294117647</v>
      </c>
      <c r="AL82" s="10"/>
      <c r="AM82" s="18">
        <v>0.33805378063356806</v>
      </c>
      <c r="AN82" s="10"/>
    </row>
    <row r="83" spans="19:40">
      <c r="S83" s="10"/>
      <c r="T83" s="12">
        <v>77</v>
      </c>
      <c r="U83" s="13">
        <f t="shared" si="12"/>
        <v>0.21281275419376922</v>
      </c>
      <c r="V83" s="13">
        <f t="shared" si="18"/>
        <v>1.0166778570105909E-3</v>
      </c>
      <c r="W83" s="13">
        <f t="shared" si="19"/>
        <v>1.0166778570105909E-3</v>
      </c>
      <c r="X83" s="13">
        <v>0</v>
      </c>
      <c r="Y83" s="13">
        <v>0</v>
      </c>
      <c r="Z83" s="13">
        <v>0</v>
      </c>
      <c r="AA83" s="13">
        <f t="shared" si="20"/>
        <v>10.598868772517111</v>
      </c>
      <c r="AB83" s="13">
        <f t="shared" si="21"/>
        <v>649.4001145496261</v>
      </c>
      <c r="AC83" s="13">
        <f t="shared" si="13"/>
        <v>660.00000000000023</v>
      </c>
      <c r="AD83" s="13">
        <f t="shared" si="14"/>
        <v>19.253609729248733</v>
      </c>
      <c r="AE83" s="13">
        <f t="shared" si="15"/>
        <v>1.3383693750472373E-3</v>
      </c>
      <c r="AF83" s="13">
        <f t="shared" si="16"/>
        <v>5.9426333659660143E-4</v>
      </c>
      <c r="AG83" s="13">
        <f t="shared" si="17"/>
        <v>5.9426333659660133E-4</v>
      </c>
      <c r="AH83" s="10"/>
      <c r="AI83" s="13">
        <f t="shared" si="11"/>
        <v>5.5580522395906914E-6</v>
      </c>
      <c r="AJ83" s="10"/>
      <c r="AK83" s="18">
        <v>13.764705882352942</v>
      </c>
      <c r="AL83" s="10"/>
      <c r="AM83" s="18">
        <v>0.33694670608171629</v>
      </c>
      <c r="AN83" s="10"/>
    </row>
    <row r="84" spans="19:40">
      <c r="S84" s="10"/>
      <c r="T84" s="12">
        <v>78</v>
      </c>
      <c r="U84" s="13">
        <f t="shared" si="12"/>
        <v>0.21378770927009089</v>
      </c>
      <c r="V84" s="13">
        <f t="shared" si="18"/>
        <v>7.9914634922371791E-4</v>
      </c>
      <c r="W84" s="13">
        <f t="shared" si="19"/>
        <v>7.9914634922371791E-4</v>
      </c>
      <c r="X84" s="13">
        <v>0</v>
      </c>
      <c r="Y84" s="13">
        <v>0</v>
      </c>
      <c r="Z84" s="13">
        <v>0</v>
      </c>
      <c r="AA84" s="13">
        <f t="shared" si="20"/>
        <v>9.9318043762679338</v>
      </c>
      <c r="AB84" s="13">
        <f t="shared" si="21"/>
        <v>650.06739647738311</v>
      </c>
      <c r="AC84" s="13">
        <f t="shared" si="13"/>
        <v>660.00000000000023</v>
      </c>
      <c r="AD84" s="13">
        <f t="shared" si="14"/>
        <v>17.987914079391032</v>
      </c>
      <c r="AE84" s="13">
        <f t="shared" si="15"/>
        <v>1.2541166063910548E-3</v>
      </c>
      <c r="AF84" s="13">
        <f t="shared" si="16"/>
        <v>5.552081879712505E-4</v>
      </c>
      <c r="AG84" s="13">
        <f t="shared" si="17"/>
        <v>5.552081879712504E-4</v>
      </c>
      <c r="AH84" s="10"/>
      <c r="AI84" s="13">
        <f t="shared" si="11"/>
        <v>4.4904226177520437E-6</v>
      </c>
      <c r="AJ84" s="10"/>
      <c r="AK84" s="18">
        <v>13.941176470588236</v>
      </c>
      <c r="AL84" s="10"/>
      <c r="AM84" s="18">
        <v>0.16446353185833651</v>
      </c>
      <c r="AN84" s="10"/>
    </row>
    <row r="85" spans="19:40">
      <c r="S85" s="10"/>
      <c r="T85" s="12">
        <v>79</v>
      </c>
      <c r="U85" s="13">
        <f t="shared" si="12"/>
        <v>0.21475462566882961</v>
      </c>
      <c r="V85" s="13">
        <f t="shared" si="18"/>
        <v>6.2738584130705229E-4</v>
      </c>
      <c r="W85" s="13">
        <f t="shared" si="19"/>
        <v>6.2738584130705229E-4</v>
      </c>
      <c r="X85" s="13">
        <v>0</v>
      </c>
      <c r="Y85" s="13">
        <v>0</v>
      </c>
      <c r="Z85" s="13">
        <v>0</v>
      </c>
      <c r="AA85" s="13">
        <f t="shared" si="20"/>
        <v>9.3066911722033741</v>
      </c>
      <c r="AB85" s="13">
        <f t="shared" si="21"/>
        <v>650.69268144195553</v>
      </c>
      <c r="AC85" s="13">
        <f t="shared" si="13"/>
        <v>660.00000000000023</v>
      </c>
      <c r="AD85" s="13">
        <f t="shared" si="14"/>
        <v>16.805475366982197</v>
      </c>
      <c r="AE85" s="13">
        <f t="shared" si="15"/>
        <v>1.1751664846016009E-3</v>
      </c>
      <c r="AF85" s="13">
        <f t="shared" si="16"/>
        <v>5.1871983390527725E-4</v>
      </c>
      <c r="AG85" s="13">
        <f t="shared" si="17"/>
        <v>5.1871983390527725E-4</v>
      </c>
      <c r="AH85" s="10"/>
      <c r="AI85" s="13">
        <f t="shared" si="11"/>
        <v>3.6243501063319158E-6</v>
      </c>
      <c r="AJ85" s="10"/>
      <c r="AK85" s="18">
        <v>14.117647058823529</v>
      </c>
      <c r="AL85" s="10"/>
      <c r="AM85" s="18">
        <v>0.1595916009100645</v>
      </c>
      <c r="AN85" s="10"/>
    </row>
    <row r="86" spans="19:40">
      <c r="S86" s="10"/>
      <c r="T86" s="12">
        <v>80</v>
      </c>
      <c r="U86" s="13">
        <f t="shared" si="12"/>
        <v>0.21571367018195858</v>
      </c>
      <c r="V86" s="13">
        <f t="shared" si="18"/>
        <v>4.9194012477115278E-4</v>
      </c>
      <c r="W86" s="13">
        <f t="shared" si="19"/>
        <v>4.9194012477115278E-4</v>
      </c>
      <c r="X86" s="13">
        <v>0</v>
      </c>
      <c r="Y86" s="13">
        <v>0</v>
      </c>
      <c r="Z86" s="13">
        <v>0</v>
      </c>
      <c r="AA86" s="13">
        <f t="shared" si="20"/>
        <v>8.7208974525943361</v>
      </c>
      <c r="AB86" s="13">
        <f t="shared" si="21"/>
        <v>651.27861060728105</v>
      </c>
      <c r="AC86" s="13">
        <f t="shared" si="13"/>
        <v>660.00000000000011</v>
      </c>
      <c r="AD86" s="13">
        <f t="shared" si="14"/>
        <v>15.700806288942514</v>
      </c>
      <c r="AE86" s="13">
        <f t="shared" si="15"/>
        <v>1.1011855293837254E-3</v>
      </c>
      <c r="AF86" s="13">
        <f t="shared" si="16"/>
        <v>4.8462956541482367E-4</v>
      </c>
      <c r="AG86" s="13">
        <f t="shared" si="17"/>
        <v>4.8462956541482378E-4</v>
      </c>
      <c r="AH86" s="10"/>
      <c r="AI86" s="13">
        <f t="shared" si="11"/>
        <v>2.9225022788050552E-6</v>
      </c>
      <c r="AJ86" s="10"/>
      <c r="AK86" s="18">
        <v>14.294117647058824</v>
      </c>
      <c r="AL86" s="10"/>
      <c r="AM86" s="18">
        <v>0.15957525725753063</v>
      </c>
      <c r="AN86" s="10"/>
    </row>
    <row r="87" spans="19:40">
      <c r="S87" s="10"/>
      <c r="T87" s="12">
        <v>81</v>
      </c>
      <c r="U87" s="13">
        <f t="shared" si="12"/>
        <v>0.21666500410711126</v>
      </c>
      <c r="V87" s="13">
        <f t="shared" si="18"/>
        <v>3.8526765236367215E-4</v>
      </c>
      <c r="W87" s="13">
        <f t="shared" si="19"/>
        <v>3.8526765236367215E-4</v>
      </c>
      <c r="X87" s="13">
        <v>0</v>
      </c>
      <c r="Y87" s="13">
        <v>0</v>
      </c>
      <c r="Z87" s="13">
        <v>0</v>
      </c>
      <c r="AA87" s="13">
        <f t="shared" si="20"/>
        <v>8.171955283309309</v>
      </c>
      <c r="AB87" s="13">
        <f t="shared" si="21"/>
        <v>651.82765944903849</v>
      </c>
      <c r="AC87" s="13">
        <f t="shared" si="13"/>
        <v>660.00000000000011</v>
      </c>
      <c r="AD87" s="13">
        <f t="shared" si="14"/>
        <v>14.668783326864128</v>
      </c>
      <c r="AE87" s="13">
        <f t="shared" si="15"/>
        <v>1.0318611806769786E-3</v>
      </c>
      <c r="AF87" s="13">
        <f t="shared" si="16"/>
        <v>4.5277976431347909E-4</v>
      </c>
      <c r="AG87" s="13">
        <f t="shared" si="17"/>
        <v>4.5277976431347909E-4</v>
      </c>
      <c r="AH87" s="10"/>
      <c r="AI87" s="13">
        <f t="shared" si="11"/>
        <v>2.354315956621324E-6</v>
      </c>
      <c r="AJ87" s="10"/>
      <c r="AK87" s="18">
        <v>14.470588235294118</v>
      </c>
      <c r="AL87" s="10"/>
      <c r="AM87" s="18">
        <v>0.1596836664923631</v>
      </c>
      <c r="AN87" s="10"/>
    </row>
    <row r="88" spans="19:40">
      <c r="S88" s="10"/>
      <c r="T88" s="12">
        <v>82</v>
      </c>
      <c r="U88" s="13">
        <f t="shared" si="12"/>
        <v>0.21760878349391635</v>
      </c>
      <c r="V88" s="13">
        <f t="shared" si="18"/>
        <v>3.0136246931447504E-4</v>
      </c>
      <c r="W88" s="13">
        <f t="shared" si="19"/>
        <v>3.0136246931447504E-4</v>
      </c>
      <c r="X88" s="13">
        <v>0</v>
      </c>
      <c r="Y88" s="13">
        <v>0</v>
      </c>
      <c r="Z88" s="13">
        <v>0</v>
      </c>
      <c r="AA88" s="13">
        <f t="shared" si="20"/>
        <v>7.6575505717175067</v>
      </c>
      <c r="AB88" s="13">
        <f t="shared" si="21"/>
        <v>652.34214806581338</v>
      </c>
      <c r="AC88" s="13">
        <f t="shared" si="13"/>
        <v>660.00000000000023</v>
      </c>
      <c r="AD88" s="13">
        <f t="shared" si="14"/>
        <v>13.704622218488096</v>
      </c>
      <c r="AE88" s="13">
        <f t="shared" si="15"/>
        <v>9.6690049674075988E-4</v>
      </c>
      <c r="AF88" s="13">
        <f t="shared" si="16"/>
        <v>4.23023173884275E-4</v>
      </c>
      <c r="AG88" s="13">
        <f t="shared" si="17"/>
        <v>4.2302317388427505E-4</v>
      </c>
      <c r="AH88" s="10"/>
      <c r="AI88" s="13">
        <f t="shared" si="11"/>
        <v>1.8947988857649499E-6</v>
      </c>
      <c r="AJ88" s="10"/>
      <c r="AK88" s="18">
        <v>14.647058823529411</v>
      </c>
      <c r="AL88" s="10"/>
      <c r="AM88" s="18">
        <v>0.16007812211963615</v>
      </c>
      <c r="AN88" s="10"/>
    </row>
    <row r="89" spans="19:40">
      <c r="S89" s="10"/>
      <c r="T89" s="12">
        <v>83</v>
      </c>
      <c r="U89" s="13">
        <f t="shared" si="12"/>
        <v>0.21854515937643065</v>
      </c>
      <c r="V89" s="13">
        <f t="shared" si="18"/>
        <v>2.3544831556794702E-4</v>
      </c>
      <c r="W89" s="13">
        <f t="shared" si="19"/>
        <v>2.3544831556794702E-4</v>
      </c>
      <c r="X89" s="13">
        <v>0</v>
      </c>
      <c r="Y89" s="13">
        <v>0</v>
      </c>
      <c r="Z89" s="13">
        <v>0</v>
      </c>
      <c r="AA89" s="13">
        <f t="shared" si="20"/>
        <v>7.1755136867907385</v>
      </c>
      <c r="AB89" s="13">
        <f t="shared" si="21"/>
        <v>652.82425086489388</v>
      </c>
      <c r="AC89" s="13">
        <f t="shared" si="13"/>
        <v>660.00000000000023</v>
      </c>
      <c r="AD89" s="13">
        <f t="shared" si="14"/>
        <v>12.803855159626821</v>
      </c>
      <c r="AE89" s="13">
        <f t="shared" si="15"/>
        <v>9.0602893120029094E-4</v>
      </c>
      <c r="AF89" s="13">
        <f t="shared" si="16"/>
        <v>3.9522221751898951E-4</v>
      </c>
      <c r="AG89" s="13">
        <f t="shared" si="17"/>
        <v>3.9522221751898956E-4</v>
      </c>
      <c r="AH89" s="10"/>
      <c r="AI89" s="13">
        <f t="shared" si="11"/>
        <v>1.5235377868424204E-6</v>
      </c>
      <c r="AJ89" s="10"/>
      <c r="AK89" s="10"/>
      <c r="AL89" s="10"/>
      <c r="AM89" s="10"/>
      <c r="AN89" s="10"/>
    </row>
    <row r="90" spans="19:40">
      <c r="S90" s="10"/>
      <c r="T90" s="12">
        <v>84</v>
      </c>
      <c r="U90" s="13">
        <f t="shared" si="12"/>
        <v>0.21947427799261066</v>
      </c>
      <c r="V90" s="13">
        <f t="shared" si="18"/>
        <v>1.8373217989886456E-4</v>
      </c>
      <c r="W90" s="13">
        <f t="shared" si="19"/>
        <v>1.8373217989886456E-4</v>
      </c>
      <c r="X90" s="13">
        <v>0</v>
      </c>
      <c r="Y90" s="13">
        <v>0</v>
      </c>
      <c r="Z90" s="13">
        <v>0</v>
      </c>
      <c r="AA90" s="13">
        <f t="shared" si="20"/>
        <v>6.7238106103450352</v>
      </c>
      <c r="AB90" s="13">
        <f t="shared" si="21"/>
        <v>653.27600565747525</v>
      </c>
      <c r="AC90" s="13">
        <f t="shared" si="13"/>
        <v>660.00000000000023</v>
      </c>
      <c r="AD90" s="13">
        <f t="shared" si="14"/>
        <v>11.962309600949933</v>
      </c>
      <c r="AE90" s="13">
        <f t="shared" si="15"/>
        <v>8.4898918466223881E-4</v>
      </c>
      <c r="AF90" s="13">
        <f t="shared" si="16"/>
        <v>3.6924836217697729E-4</v>
      </c>
      <c r="AG90" s="13">
        <f t="shared" si="17"/>
        <v>3.6924836217697735E-4</v>
      </c>
      <c r="AH90" s="10"/>
      <c r="AI90" s="13">
        <f t="shared" si="11"/>
        <v>1.2238783651850922E-6</v>
      </c>
      <c r="AJ90" s="10"/>
      <c r="AK90" s="10"/>
      <c r="AL90" s="10"/>
      <c r="AM90" s="10"/>
      <c r="AN90" s="10"/>
    </row>
    <row r="91" spans="19:40">
      <c r="S91" s="10"/>
      <c r="T91" s="12">
        <v>85</v>
      </c>
      <c r="U91" s="13">
        <f t="shared" si="12"/>
        <v>0.22039628099169142</v>
      </c>
      <c r="V91" s="13">
        <f t="shared" si="18"/>
        <v>1.4320607273303782E-4</v>
      </c>
      <c r="W91" s="13">
        <f t="shared" si="19"/>
        <v>1.4320607273303782E-4</v>
      </c>
      <c r="X91" s="13">
        <v>0</v>
      </c>
      <c r="Y91" s="13">
        <v>0</v>
      </c>
      <c r="Z91" s="13">
        <v>0</v>
      </c>
      <c r="AA91" s="13">
        <f t="shared" si="20"/>
        <v>6.3005345972053926</v>
      </c>
      <c r="AB91" s="13">
        <f t="shared" si="21"/>
        <v>653.69932219672205</v>
      </c>
      <c r="AC91" s="13">
        <f t="shared" si="13"/>
        <v>660.00000000000023</v>
      </c>
      <c r="AD91" s="13">
        <f t="shared" si="14"/>
        <v>11.176088516836767</v>
      </c>
      <c r="AE91" s="13">
        <f t="shared" si="15"/>
        <v>7.9554012667653066E-4</v>
      </c>
      <c r="AF91" s="13">
        <f t="shared" si="16"/>
        <v>3.4498152371921644E-4</v>
      </c>
      <c r="AG91" s="13">
        <f t="shared" si="17"/>
        <v>3.4498152371921644E-4</v>
      </c>
      <c r="AH91" s="10"/>
      <c r="AI91" s="13">
        <f t="shared" si="11"/>
        <v>9.8224838731513159E-7</v>
      </c>
      <c r="AJ91" s="10"/>
      <c r="AK91" s="10"/>
      <c r="AL91" s="10"/>
      <c r="AM91" s="10"/>
      <c r="AN91" s="10"/>
    </row>
    <row r="92" spans="19:40">
      <c r="S92" s="10"/>
      <c r="T92" s="12">
        <v>86</v>
      </c>
      <c r="U92" s="13">
        <f t="shared" si="12"/>
        <v>0.2213113056302724</v>
      </c>
      <c r="V92" s="13">
        <f t="shared" si="18"/>
        <v>1.1148783816548047E-4</v>
      </c>
      <c r="W92" s="13">
        <f t="shared" si="19"/>
        <v>1.1148783816548047E-4</v>
      </c>
      <c r="X92" s="13">
        <v>0</v>
      </c>
      <c r="Y92" s="13">
        <v>0</v>
      </c>
      <c r="Z92" s="13">
        <v>0</v>
      </c>
      <c r="AA92" s="13">
        <f t="shared" si="20"/>
        <v>5.9038983214239797</v>
      </c>
      <c r="AB92" s="13">
        <f t="shared" si="21"/>
        <v>654.09599019073801</v>
      </c>
      <c r="AC92" s="13">
        <f t="shared" si="13"/>
        <v>660.00000000000011</v>
      </c>
      <c r="AD92" s="13">
        <f t="shared" si="14"/>
        <v>10.441552034790554</v>
      </c>
      <c r="AE92" s="13">
        <f t="shared" si="15"/>
        <v>7.4545578399774553E-4</v>
      </c>
      <c r="AF92" s="13">
        <f t="shared" si="16"/>
        <v>3.223095113645147E-4</v>
      </c>
      <c r="AG92" s="13">
        <f t="shared" si="17"/>
        <v>3.223095113645147E-4</v>
      </c>
      <c r="AH92" s="10"/>
      <c r="AI92" s="13">
        <f t="shared" si="11"/>
        <v>7.8759960668098075E-7</v>
      </c>
      <c r="AJ92" s="10"/>
      <c r="AK92" s="10"/>
      <c r="AL92" s="10"/>
      <c r="AM92" s="10"/>
      <c r="AN92" s="10"/>
    </row>
    <row r="93" spans="19:40">
      <c r="S93" s="10"/>
      <c r="T93" s="12">
        <v>87</v>
      </c>
      <c r="U93" s="13">
        <f t="shared" si="12"/>
        <v>0.22221948495785038</v>
      </c>
      <c r="V93" s="13">
        <f t="shared" si="18"/>
        <v>8.6693518444995246E-5</v>
      </c>
      <c r="W93" s="13">
        <f t="shared" si="19"/>
        <v>8.6693518444995246E-5</v>
      </c>
      <c r="X93" s="13">
        <v>0</v>
      </c>
      <c r="Y93" s="13">
        <v>0</v>
      </c>
      <c r="Z93" s="13">
        <v>0</v>
      </c>
      <c r="AA93" s="13">
        <f t="shared" si="20"/>
        <v>5.5322264854308374</v>
      </c>
      <c r="AB93" s="13">
        <f t="shared" si="21"/>
        <v>654.46768682105085</v>
      </c>
      <c r="AC93" s="13">
        <f t="shared" si="13"/>
        <v>660.00000000000011</v>
      </c>
      <c r="AD93" s="13">
        <f t="shared" si="14"/>
        <v>9.7553003239090668</v>
      </c>
      <c r="AE93" s="13">
        <f t="shared" si="15"/>
        <v>6.9852439128147495E-4</v>
      </c>
      <c r="AF93" s="13">
        <f t="shared" si="16"/>
        <v>3.0112750869436256E-4</v>
      </c>
      <c r="AG93" s="13">
        <f t="shared" si="17"/>
        <v>3.0112750869436256E-4</v>
      </c>
      <c r="AH93" s="10"/>
      <c r="AI93" s="13">
        <f t="shared" si="11"/>
        <v>6.3094827560087179E-7</v>
      </c>
      <c r="AJ93" s="10"/>
      <c r="AK93" s="10"/>
      <c r="AL93" s="10"/>
      <c r="AM93" s="10"/>
      <c r="AN93" s="10"/>
    </row>
    <row r="94" spans="19:40">
      <c r="S94" s="10"/>
      <c r="T94" s="12">
        <v>88</v>
      </c>
      <c r="U94" s="13">
        <f t="shared" si="12"/>
        <v>0.22312094799247936</v>
      </c>
      <c r="V94" s="13">
        <f t="shared" si="18"/>
        <v>6.733517644267253E-5</v>
      </c>
      <c r="W94" s="13">
        <f t="shared" si="19"/>
        <v>6.733517644267253E-5</v>
      </c>
      <c r="X94" s="13">
        <v>0</v>
      </c>
      <c r="Y94" s="13">
        <v>0</v>
      </c>
      <c r="Z94" s="13">
        <v>0</v>
      </c>
      <c r="AA94" s="13">
        <f t="shared" si="20"/>
        <v>5.1839488690607842</v>
      </c>
      <c r="AB94" s="13">
        <f t="shared" si="21"/>
        <v>654.81598379576292</v>
      </c>
      <c r="AC94" s="13">
        <f t="shared" si="13"/>
        <v>660.00000000000011</v>
      </c>
      <c r="AD94" s="13">
        <f t="shared" si="14"/>
        <v>9.1141576497871917</v>
      </c>
      <c r="AE94" s="13">
        <f t="shared" si="15"/>
        <v>6.5454750053500332E-4</v>
      </c>
      <c r="AF94" s="13">
        <f t="shared" si="16"/>
        <v>2.8133758880126035E-4</v>
      </c>
      <c r="AG94" s="13">
        <f t="shared" si="17"/>
        <v>2.8133758880126035E-4</v>
      </c>
      <c r="AH94" s="10"/>
      <c r="AI94" s="13">
        <f t="shared" si="11"/>
        <v>5.0499731689458192E-7</v>
      </c>
      <c r="AJ94" s="10"/>
      <c r="AK94" s="10"/>
      <c r="AL94" s="10"/>
      <c r="AM94" s="10"/>
      <c r="AN94" s="10"/>
    </row>
    <row r="95" spans="19:40">
      <c r="S95" s="10"/>
      <c r="T95" s="12">
        <v>89</v>
      </c>
      <c r="U95" s="13">
        <f t="shared" si="12"/>
        <v>0.2240158198871908</v>
      </c>
      <c r="V95" s="13">
        <f t="shared" si="18"/>
        <v>5.2239224248913485E-5</v>
      </c>
      <c r="W95" s="13">
        <f t="shared" si="19"/>
        <v>5.2239224248913485E-5</v>
      </c>
      <c r="X95" s="13">
        <v>0</v>
      </c>
      <c r="Y95" s="13">
        <v>0</v>
      </c>
      <c r="Z95" s="13">
        <v>0</v>
      </c>
      <c r="AA95" s="13">
        <f t="shared" si="20"/>
        <v>4.8575937957102742</v>
      </c>
      <c r="AB95" s="13">
        <f t="shared" si="21"/>
        <v>655.14235396506558</v>
      </c>
      <c r="AC95" s="13">
        <f t="shared" si="13"/>
        <v>660.00000000000011</v>
      </c>
      <c r="AD95" s="13">
        <f t="shared" si="14"/>
        <v>8.5151575111369127</v>
      </c>
      <c r="AE95" s="13">
        <f t="shared" si="15"/>
        <v>6.1333914582506596E-4</v>
      </c>
      <c r="AF95" s="13">
        <f t="shared" si="16"/>
        <v>2.6284826133304119E-4</v>
      </c>
      <c r="AG95" s="13">
        <f t="shared" si="17"/>
        <v>2.6284826133304113E-4</v>
      </c>
      <c r="AH95" s="10"/>
      <c r="AI95" s="13">
        <f t="shared" si="11"/>
        <v>4.0382603875861092E-7</v>
      </c>
      <c r="AJ95" s="10"/>
      <c r="AK95" s="10"/>
      <c r="AL95" s="10"/>
      <c r="AM95" s="10"/>
      <c r="AN95" s="10"/>
    </row>
    <row r="96" spans="19:40">
      <c r="S96" s="10"/>
      <c r="T96" s="12">
        <v>90</v>
      </c>
      <c r="U96" s="13">
        <f t="shared" si="12"/>
        <v>0.22490422208775815</v>
      </c>
      <c r="V96" s="13">
        <f t="shared" si="18"/>
        <v>4.0481241843899901E-5</v>
      </c>
      <c r="W96" s="13">
        <f t="shared" si="19"/>
        <v>4.0481241843899901E-5</v>
      </c>
      <c r="X96" s="13">
        <v>0</v>
      </c>
      <c r="Y96" s="13">
        <v>0</v>
      </c>
      <c r="Z96" s="13">
        <v>0</v>
      </c>
      <c r="AA96" s="13">
        <f t="shared" si="20"/>
        <v>4.5517819933750738</v>
      </c>
      <c r="AB96" s="13">
        <f t="shared" si="21"/>
        <v>655.44817752538324</v>
      </c>
      <c r="AC96" s="13">
        <f t="shared" si="13"/>
        <v>660.00000000000011</v>
      </c>
      <c r="AD96" s="13">
        <f t="shared" si="14"/>
        <v>7.9555287804781178</v>
      </c>
      <c r="AE96" s="13">
        <f t="shared" si="15"/>
        <v>5.7472505992637842E-4</v>
      </c>
      <c r="AF96" s="13">
        <f t="shared" si="16"/>
        <v>2.4557404933334175E-4</v>
      </c>
      <c r="AG96" s="13">
        <f t="shared" si="17"/>
        <v>2.4557404933334175E-4</v>
      </c>
      <c r="AH96" s="10"/>
      <c r="AI96" s="13">
        <f t="shared" si="11"/>
        <v>3.2263563870033842E-7</v>
      </c>
      <c r="AJ96" s="10"/>
      <c r="AK96" s="10"/>
      <c r="AL96" s="10"/>
      <c r="AM96" s="10"/>
      <c r="AN96" s="10"/>
    </row>
    <row r="97" spans="19:40">
      <c r="S97" s="10"/>
      <c r="T97" s="12">
        <v>91</v>
      </c>
      <c r="U97" s="13">
        <f t="shared" si="12"/>
        <v>0.2257862724823442</v>
      </c>
      <c r="V97" s="13">
        <f t="shared" si="18"/>
        <v>3.1334034628989673E-5</v>
      </c>
      <c r="W97" s="13">
        <f t="shared" si="19"/>
        <v>3.1334034628989673E-5</v>
      </c>
      <c r="X97" s="13">
        <v>0</v>
      </c>
      <c r="Y97" s="13">
        <v>0</v>
      </c>
      <c r="Z97" s="13">
        <v>0</v>
      </c>
      <c r="AA97" s="13">
        <f t="shared" si="20"/>
        <v>4.2652208289562346</v>
      </c>
      <c r="AB97" s="13">
        <f t="shared" si="21"/>
        <v>655.73474783700931</v>
      </c>
      <c r="AC97" s="13">
        <f t="shared" si="13"/>
        <v>660.00000000000023</v>
      </c>
      <c r="AD97" s="13">
        <f t="shared" si="14"/>
        <v>7.4326827775881164</v>
      </c>
      <c r="AE97" s="13">
        <f t="shared" si="15"/>
        <v>5.3854193977157351E-4</v>
      </c>
      <c r="AF97" s="13">
        <f t="shared" si="16"/>
        <v>2.2943509391647215E-4</v>
      </c>
      <c r="AG97" s="13">
        <f t="shared" si="17"/>
        <v>2.2943509391647212E-4</v>
      </c>
      <c r="AH97" s="10"/>
      <c r="AI97" s="13">
        <f t="shared" si="11"/>
        <v>2.5754072453958725E-7</v>
      </c>
      <c r="AJ97" s="10"/>
      <c r="AK97" s="10"/>
      <c r="AL97" s="10"/>
      <c r="AM97" s="10"/>
      <c r="AN97" s="10"/>
    </row>
    <row r="98" spans="19:40">
      <c r="S98" s="10"/>
      <c r="T98" s="12">
        <v>92</v>
      </c>
      <c r="U98" s="13">
        <f t="shared" si="12"/>
        <v>0.22666208554353709</v>
      </c>
      <c r="V98" s="13">
        <f t="shared" si="18"/>
        <v>2.4226302469624235E-5</v>
      </c>
      <c r="W98" s="13">
        <f t="shared" si="19"/>
        <v>2.4226302469624235E-5</v>
      </c>
      <c r="X98" s="13">
        <v>0</v>
      </c>
      <c r="Y98" s="13">
        <v>0</v>
      </c>
      <c r="Z98" s="13">
        <v>0</v>
      </c>
      <c r="AA98" s="13">
        <f t="shared" si="20"/>
        <v>3.9966988949592324</v>
      </c>
      <c r="AB98" s="13">
        <f t="shared" si="21"/>
        <v>656.00327687873846</v>
      </c>
      <c r="AC98" s="13">
        <f t="shared" si="13"/>
        <v>660.00000000000011</v>
      </c>
      <c r="AD98" s="13">
        <f t="shared" si="14"/>
        <v>6.9442012100934782</v>
      </c>
      <c r="AE98" s="13">
        <f t="shared" si="15"/>
        <v>5.0463675773506332E-4</v>
      </c>
      <c r="AF98" s="13">
        <f t="shared" si="16"/>
        <v>2.1435678494408653E-4</v>
      </c>
      <c r="AG98" s="13">
        <f t="shared" si="17"/>
        <v>2.1435678494408653E-4</v>
      </c>
      <c r="AH98" s="10"/>
      <c r="AI98" s="13">
        <f t="shared" si="11"/>
        <v>2.0539874080892804E-7</v>
      </c>
      <c r="AJ98" s="10"/>
      <c r="AK98" s="10"/>
      <c r="AL98" s="10"/>
      <c r="AM98" s="10"/>
      <c r="AN98" s="10"/>
    </row>
    <row r="99" spans="19:40">
      <c r="S99" s="10"/>
      <c r="T99" s="12">
        <v>93</v>
      </c>
      <c r="U99" s="13">
        <f t="shared" si="12"/>
        <v>0.22753177246323686</v>
      </c>
      <c r="V99" s="13">
        <f t="shared" si="18"/>
        <v>1.8709800769881698E-5</v>
      </c>
      <c r="W99" s="13">
        <f t="shared" si="19"/>
        <v>1.8709800769881698E-5</v>
      </c>
      <c r="X99" s="13">
        <v>0</v>
      </c>
      <c r="Y99" s="13">
        <v>0</v>
      </c>
      <c r="Z99" s="13">
        <v>0</v>
      </c>
      <c r="AA99" s="13">
        <f t="shared" si="20"/>
        <v>3.7450809285179814</v>
      </c>
      <c r="AB99" s="13">
        <f t="shared" si="21"/>
        <v>656.25490036168139</v>
      </c>
      <c r="AC99" s="13">
        <f t="shared" si="13"/>
        <v>660.00000000000011</v>
      </c>
      <c r="AD99" s="13">
        <f t="shared" si="14"/>
        <v>6.4878249207246643</v>
      </c>
      <c r="AE99" s="13">
        <f t="shared" si="15"/>
        <v>4.7286611594933716E-4</v>
      </c>
      <c r="AF99" s="13">
        <f t="shared" si="16"/>
        <v>2.0026941599177942E-4</v>
      </c>
      <c r="AG99" s="13">
        <f t="shared" si="17"/>
        <v>2.0026941599177942E-4</v>
      </c>
      <c r="AH99" s="10"/>
      <c r="AI99" s="13">
        <f t="shared" si="11"/>
        <v>1.6367057719274921E-7</v>
      </c>
      <c r="AJ99" s="10"/>
      <c r="AK99" s="10"/>
      <c r="AL99" s="10"/>
      <c r="AM99" s="10"/>
      <c r="AN99" s="10"/>
    </row>
    <row r="100" spans="19:40">
      <c r="S100" s="10"/>
      <c r="T100" s="12">
        <v>94</v>
      </c>
      <c r="U100" s="13">
        <f t="shared" si="12"/>
        <v>0.22839544128082737</v>
      </c>
      <c r="V100" s="13">
        <f t="shared" si="18"/>
        <v>1.4433286744153389E-5</v>
      </c>
      <c r="W100" s="13">
        <f t="shared" si="19"/>
        <v>1.4433286744153389E-5</v>
      </c>
      <c r="X100" s="13">
        <v>0</v>
      </c>
      <c r="Y100" s="13">
        <v>0</v>
      </c>
      <c r="Z100" s="13">
        <v>0</v>
      </c>
      <c r="AA100" s="13">
        <f t="shared" si="20"/>
        <v>3.509303043526621</v>
      </c>
      <c r="AB100" s="13">
        <f t="shared" si="21"/>
        <v>656.49068252318671</v>
      </c>
      <c r="AC100" s="13">
        <f t="shared" si="13"/>
        <v>660.00000000000011</v>
      </c>
      <c r="AD100" s="13">
        <f t="shared" si="14"/>
        <v>6.0614433854010832</v>
      </c>
      <c r="AE100" s="13">
        <f t="shared" si="15"/>
        <v>4.4309564101178842E-4</v>
      </c>
      <c r="AF100" s="13">
        <f t="shared" si="16"/>
        <v>1.8710786200654971E-4</v>
      </c>
      <c r="AG100" s="13">
        <f t="shared" si="17"/>
        <v>1.8710786200654971E-4</v>
      </c>
      <c r="AH100" s="10"/>
      <c r="AI100" s="13">
        <f t="shared" si="11"/>
        <v>1.3030679453840704E-7</v>
      </c>
      <c r="AJ100" s="10"/>
      <c r="AK100" s="10"/>
      <c r="AL100" s="10"/>
      <c r="AM100" s="10"/>
      <c r="AN100" s="10"/>
    </row>
    <row r="101" spans="19:40">
      <c r="S101" s="10"/>
      <c r="T101" s="12">
        <v>95</v>
      </c>
      <c r="U101" s="13">
        <f t="shared" si="12"/>
        <v>0.22925319700503488</v>
      </c>
      <c r="V101" s="13">
        <f t="shared" si="18"/>
        <v>1.1121878692382493E-5</v>
      </c>
      <c r="W101" s="13">
        <f t="shared" si="19"/>
        <v>1.1121878692382493E-5</v>
      </c>
      <c r="X101" s="13">
        <v>0</v>
      </c>
      <c r="Y101" s="13">
        <v>0</v>
      </c>
      <c r="Z101" s="13">
        <v>0</v>
      </c>
      <c r="AA101" s="13">
        <f t="shared" si="20"/>
        <v>3.2883682575374875</v>
      </c>
      <c r="AB101" s="13">
        <f t="shared" si="21"/>
        <v>656.71162062058386</v>
      </c>
      <c r="AC101" s="13">
        <f t="shared" si="13"/>
        <v>660</v>
      </c>
      <c r="AD101" s="13">
        <f t="shared" si="14"/>
        <v>5.6630849105307179</v>
      </c>
      <c r="AE101" s="13">
        <f t="shared" si="15"/>
        <v>4.1519941659295197E-4</v>
      </c>
      <c r="AF101" s="13">
        <f t="shared" si="16"/>
        <v>1.7481127816148324E-4</v>
      </c>
      <c r="AG101" s="13">
        <f t="shared" si="17"/>
        <v>1.7481127816148324E-4</v>
      </c>
      <c r="AH101" s="10"/>
      <c r="AI101" s="13">
        <f t="shared" si="11"/>
        <v>1.036548697604479E-7</v>
      </c>
      <c r="AJ101" s="10"/>
      <c r="AK101" s="10"/>
      <c r="AL101" s="10"/>
      <c r="AM101" s="10"/>
      <c r="AN101" s="10"/>
    </row>
    <row r="102" spans="19:40">
      <c r="S102" s="10"/>
      <c r="T102" s="12">
        <v>96</v>
      </c>
      <c r="U102" s="13">
        <f t="shared" si="12"/>
        <v>0.23010514172984639</v>
      </c>
      <c r="V102" s="13">
        <f t="shared" si="18"/>
        <v>8.5607269630393003E-6</v>
      </c>
      <c r="W102" s="13">
        <f t="shared" si="19"/>
        <v>8.5607269630393003E-6</v>
      </c>
      <c r="X102" s="13">
        <v>0</v>
      </c>
      <c r="Y102" s="13">
        <v>0</v>
      </c>
      <c r="Z102" s="13">
        <v>0</v>
      </c>
      <c r="AA102" s="13">
        <f t="shared" si="20"/>
        <v>3.0813422959678065</v>
      </c>
      <c r="AB102" s="13">
        <f t="shared" si="21"/>
        <v>656.91864914330529</v>
      </c>
      <c r="AC102" s="13">
        <f t="shared" si="13"/>
        <v>660.00000000000011</v>
      </c>
      <c r="AD102" s="13">
        <f t="shared" si="14"/>
        <v>5.2909074817450055</v>
      </c>
      <c r="AE102" s="13">
        <f t="shared" si="15"/>
        <v>3.8905945160287486E-4</v>
      </c>
      <c r="AF102" s="13">
        <f t="shared" si="16"/>
        <v>1.6332281851247718E-4</v>
      </c>
      <c r="AG102" s="13">
        <f t="shared" si="17"/>
        <v>1.6332281851247718E-4</v>
      </c>
      <c r="AH102" s="10"/>
      <c r="AI102" s="13">
        <f t="shared" si="11"/>
        <v>8.2383664514145522E-8</v>
      </c>
      <c r="AJ102" s="10"/>
      <c r="AK102" s="10"/>
      <c r="AL102" s="10"/>
      <c r="AM102" s="10"/>
      <c r="AN102" s="10"/>
    </row>
    <row r="103" spans="19:40">
      <c r="S103" s="10"/>
      <c r="T103" s="12">
        <v>97</v>
      </c>
      <c r="U103" s="13">
        <f t="shared" si="12"/>
        <v>0.23095137474483771</v>
      </c>
      <c r="V103" s="13">
        <f t="shared" si="18"/>
        <v>6.5821141516187798E-6</v>
      </c>
      <c r="W103" s="13">
        <f t="shared" si="19"/>
        <v>6.5821141516187798E-6</v>
      </c>
      <c r="X103" s="13">
        <v>0</v>
      </c>
      <c r="Y103" s="13">
        <v>0</v>
      </c>
      <c r="Z103" s="13">
        <v>0</v>
      </c>
      <c r="AA103" s="13">
        <f t="shared" si="20"/>
        <v>2.887349657038039</v>
      </c>
      <c r="AB103" s="13">
        <f t="shared" si="21"/>
        <v>657.11264376084785</v>
      </c>
      <c r="AC103" s="13">
        <f t="shared" si="13"/>
        <v>660</v>
      </c>
      <c r="AD103" s="13">
        <f t="shared" si="14"/>
        <v>4.9431902197898294</v>
      </c>
      <c r="AE103" s="13">
        <f t="shared" si="15"/>
        <v>3.6456518171113514E-4</v>
      </c>
      <c r="AF103" s="13">
        <f t="shared" si="16"/>
        <v>1.5258937315380702E-4</v>
      </c>
      <c r="AG103" s="13">
        <f t="shared" si="17"/>
        <v>1.5258937315380702E-4</v>
      </c>
      <c r="AH103" s="10"/>
      <c r="AI103" s="13">
        <f t="shared" si="11"/>
        <v>6.5421990029219466E-8</v>
      </c>
      <c r="AJ103" s="10"/>
      <c r="AK103" s="10"/>
      <c r="AL103" s="10"/>
      <c r="AM103" s="10"/>
      <c r="AN103" s="10"/>
    </row>
    <row r="104" spans="19:40">
      <c r="S104" s="10"/>
      <c r="T104" s="12">
        <v>98</v>
      </c>
      <c r="U104" s="13">
        <f t="shared" si="12"/>
        <v>0.23179199264023381</v>
      </c>
      <c r="V104" s="13">
        <f t="shared" si="18"/>
        <v>5.0552786021393494E-6</v>
      </c>
      <c r="W104" s="13">
        <f t="shared" si="19"/>
        <v>5.0552786021393494E-6</v>
      </c>
      <c r="X104" s="13">
        <v>0</v>
      </c>
      <c r="Y104" s="13">
        <v>0</v>
      </c>
      <c r="Z104" s="13">
        <v>0</v>
      </c>
      <c r="AA104" s="13">
        <f t="shared" si="20"/>
        <v>2.7055699217321219</v>
      </c>
      <c r="AB104" s="13">
        <f t="shared" si="21"/>
        <v>657.29442502298923</v>
      </c>
      <c r="AC104" s="13">
        <f t="shared" si="13"/>
        <v>660</v>
      </c>
      <c r="AD104" s="13">
        <f t="shared" si="14"/>
        <v>4.6183254024946416</v>
      </c>
      <c r="AE104" s="13">
        <f t="shared" si="15"/>
        <v>3.416130021478187E-4</v>
      </c>
      <c r="AF104" s="13">
        <f t="shared" si="16"/>
        <v>1.4256132265524538E-4</v>
      </c>
      <c r="AG104" s="13">
        <f t="shared" si="17"/>
        <v>1.4256132265524541E-4</v>
      </c>
      <c r="AH104" s="10"/>
      <c r="AI104" s="13">
        <f t="shared" si="11"/>
        <v>5.1908694138530452E-8</v>
      </c>
      <c r="AJ104" s="10"/>
      <c r="AK104" s="10"/>
      <c r="AL104" s="10"/>
      <c r="AM104" s="10"/>
      <c r="AN104" s="10"/>
    </row>
    <row r="105" spans="19:40">
      <c r="S105" s="10"/>
      <c r="T105" s="12">
        <v>99</v>
      </c>
      <c r="U105" s="13">
        <f t="shared" si="12"/>
        <v>0.23262708940700508</v>
      </c>
      <c r="V105" s="13">
        <f t="shared" si="18"/>
        <v>3.8783973957243597E-6</v>
      </c>
      <c r="W105" s="13">
        <f t="shared" si="19"/>
        <v>3.8783973957243597E-6</v>
      </c>
      <c r="X105" s="13">
        <v>0</v>
      </c>
      <c r="Y105" s="13">
        <v>0</v>
      </c>
      <c r="Z105" s="13">
        <v>0</v>
      </c>
      <c r="AA105" s="13">
        <f t="shared" si="20"/>
        <v>2.5352342939168895</v>
      </c>
      <c r="AB105" s="13">
        <f t="shared" si="21"/>
        <v>657.46476182768561</v>
      </c>
      <c r="AC105" s="13">
        <f t="shared" si="13"/>
        <v>659.99999999999989</v>
      </c>
      <c r="AD105" s="13">
        <f t="shared" si="14"/>
        <v>4.3148110146765593</v>
      </c>
      <c r="AE105" s="13">
        <f t="shared" si="15"/>
        <v>3.2010582983766229E-4</v>
      </c>
      <c r="AF105" s="13">
        <f t="shared" si="16"/>
        <v>1.3319230864367984E-4</v>
      </c>
      <c r="AG105" s="13">
        <f t="shared" si="17"/>
        <v>1.3319230864367984E-4</v>
      </c>
      <c r="AH105" s="10"/>
      <c r="AI105" s="13">
        <f t="shared" si="11"/>
        <v>4.1152155035479527E-8</v>
      </c>
      <c r="AJ105" s="10"/>
      <c r="AK105" s="10"/>
      <c r="AL105" s="10"/>
      <c r="AM105" s="10"/>
      <c r="AN105" s="10"/>
    </row>
    <row r="106" spans="19:40">
      <c r="S106" s="10"/>
      <c r="T106" s="12">
        <v>100</v>
      </c>
      <c r="U106" s="13">
        <f t="shared" si="12"/>
        <v>0.23345675653228154</v>
      </c>
      <c r="V106" s="13">
        <f t="shared" si="18"/>
        <v>2.9722792299513915E-6</v>
      </c>
      <c r="W106" s="13">
        <f t="shared" si="19"/>
        <v>2.9722792299513915E-6</v>
      </c>
      <c r="X106" s="13">
        <v>0</v>
      </c>
      <c r="Y106" s="13">
        <v>0</v>
      </c>
      <c r="Z106" s="13">
        <v>0</v>
      </c>
      <c r="AA106" s="13">
        <f t="shared" si="20"/>
        <v>2.375622356579576</v>
      </c>
      <c r="AB106" s="13">
        <f t="shared" si="21"/>
        <v>657.62437467114103</v>
      </c>
      <c r="AC106" s="13">
        <f t="shared" si="13"/>
        <v>659.99999999999989</v>
      </c>
      <c r="AD106" s="13">
        <f t="shared" si="14"/>
        <v>4.0312437905323009</v>
      </c>
      <c r="AE106" s="13">
        <f t="shared" si="15"/>
        <v>2.9995269303772809E-4</v>
      </c>
      <c r="AF106" s="13">
        <f t="shared" si="16"/>
        <v>1.2443901946710672E-4</v>
      </c>
      <c r="AG106" s="13">
        <f t="shared" si="17"/>
        <v>1.244390194671067E-4</v>
      </c>
      <c r="AH106" s="10"/>
      <c r="AI106" s="13">
        <f t="shared" si="11"/>
        <v>3.2597445431396041E-8</v>
      </c>
      <c r="AJ106" s="10"/>
      <c r="AK106" s="10"/>
      <c r="AL106" s="10"/>
      <c r="AM106" s="10"/>
      <c r="AN106" s="10"/>
    </row>
    <row r="107" spans="19:40">
      <c r="S107" s="10"/>
      <c r="T107" s="12">
        <v>101</v>
      </c>
      <c r="U107" s="13">
        <f t="shared" si="12"/>
        <v>0.23428108309034737</v>
      </c>
      <c r="V107" s="13">
        <f t="shared" si="18"/>
        <v>2.275409234167683E-6</v>
      </c>
      <c r="W107" s="13">
        <f t="shared" si="19"/>
        <v>2.275409234167683E-6</v>
      </c>
      <c r="X107" s="13">
        <v>0</v>
      </c>
      <c r="Y107" s="13">
        <v>0</v>
      </c>
      <c r="Z107" s="13">
        <v>0</v>
      </c>
      <c r="AA107" s="13">
        <f t="shared" si="20"/>
        <v>2.2260590309347248</v>
      </c>
      <c r="AB107" s="13">
        <f t="shared" si="21"/>
        <v>657.77393869365596</v>
      </c>
      <c r="AC107" s="13">
        <f t="shared" si="13"/>
        <v>659.99999999999989</v>
      </c>
      <c r="AD107" s="13">
        <f t="shared" si="14"/>
        <v>3.7663127155527723</v>
      </c>
      <c r="AE107" s="13">
        <f t="shared" si="15"/>
        <v>2.8106834676060096E-4</v>
      </c>
      <c r="AF107" s="13">
        <f t="shared" si="16"/>
        <v>1.1626098994886571E-4</v>
      </c>
      <c r="AG107" s="13">
        <f t="shared" si="17"/>
        <v>1.1626098994886571E-4</v>
      </c>
      <c r="AH107" s="10"/>
      <c r="AI107" s="13">
        <f t="shared" si="11"/>
        <v>2.5799743837339152E-8</v>
      </c>
      <c r="AJ107" s="10"/>
      <c r="AK107" s="10"/>
      <c r="AL107" s="10"/>
      <c r="AM107" s="10"/>
      <c r="AN107" s="10"/>
    </row>
    <row r="108" spans="19:40">
      <c r="S108" s="10"/>
      <c r="T108" s="12">
        <v>102</v>
      </c>
      <c r="U108" s="13">
        <f t="shared" si="12"/>
        <v>0.23510015582946453</v>
      </c>
      <c r="V108" s="13">
        <f t="shared" si="18"/>
        <v>1.7400611684484504E-6</v>
      </c>
      <c r="W108" s="13">
        <f t="shared" si="19"/>
        <v>1.7400611684484504E-6</v>
      </c>
      <c r="X108" s="13">
        <v>0</v>
      </c>
      <c r="Y108" s="13">
        <v>0</v>
      </c>
      <c r="Z108" s="13">
        <v>0</v>
      </c>
      <c r="AA108" s="13">
        <f t="shared" si="20"/>
        <v>2.0859117259126063</v>
      </c>
      <c r="AB108" s="13">
        <f t="shared" si="21"/>
        <v>657.91408653402618</v>
      </c>
      <c r="AC108" s="13">
        <f t="shared" si="13"/>
        <v>660</v>
      </c>
      <c r="AD108" s="13">
        <f t="shared" si="14"/>
        <v>3.5187929572837127</v>
      </c>
      <c r="AE108" s="13">
        <f t="shared" si="15"/>
        <v>2.6337291237042612E-4</v>
      </c>
      <c r="AF108" s="13">
        <f t="shared" si="16"/>
        <v>1.0862041430533391E-4</v>
      </c>
      <c r="AG108" s="13">
        <f t="shared" si="17"/>
        <v>1.0862041430533391E-4</v>
      </c>
      <c r="AH108" s="10"/>
      <c r="AI108" s="13">
        <f t="shared" si="11"/>
        <v>2.0402827809769918E-8</v>
      </c>
      <c r="AJ108" s="10"/>
      <c r="AK108" s="10"/>
      <c r="AL108" s="10"/>
      <c r="AM108" s="10"/>
      <c r="AN108" s="10"/>
    </row>
    <row r="109" spans="19:40">
      <c r="S109" s="10"/>
      <c r="T109" s="12">
        <v>103</v>
      </c>
      <c r="U109" s="13">
        <f t="shared" si="12"/>
        <v>0.23591405925475264</v>
      </c>
      <c r="V109" s="13">
        <f t="shared" si="18"/>
        <v>1.3292511496305314E-6</v>
      </c>
      <c r="W109" s="13">
        <f t="shared" si="19"/>
        <v>1.3292511496305314E-6</v>
      </c>
      <c r="X109" s="13">
        <v>0</v>
      </c>
      <c r="Y109" s="13">
        <v>0</v>
      </c>
      <c r="Z109" s="13">
        <v>0</v>
      </c>
      <c r="AA109" s="13">
        <f t="shared" si="20"/>
        <v>1.9545876662688069</v>
      </c>
      <c r="AB109" s="13">
        <f t="shared" si="21"/>
        <v>658.04541100448</v>
      </c>
      <c r="AC109" s="13">
        <f t="shared" si="13"/>
        <v>660</v>
      </c>
      <c r="AD109" s="13">
        <f t="shared" si="14"/>
        <v>3.2875401963698496</v>
      </c>
      <c r="AE109" s="13">
        <f t="shared" si="15"/>
        <v>2.4679153983837837E-4</v>
      </c>
      <c r="AF109" s="13">
        <f t="shared" si="16"/>
        <v>1.0148197136134164E-4</v>
      </c>
      <c r="AG109" s="13">
        <f t="shared" si="17"/>
        <v>1.0148197136134166E-4</v>
      </c>
      <c r="AH109" s="10"/>
      <c r="AI109" s="13">
        <f t="shared" si="11"/>
        <v>1.6121696516737528E-8</v>
      </c>
      <c r="AJ109" s="10"/>
      <c r="AK109" s="10"/>
      <c r="AL109" s="10"/>
      <c r="AM109" s="10"/>
      <c r="AN109" s="10"/>
    </row>
    <row r="110" spans="19:40">
      <c r="S110" s="10"/>
      <c r="T110" s="12">
        <v>104</v>
      </c>
      <c r="U110" s="13">
        <f t="shared" si="12"/>
        <v>0.2367228757073426</v>
      </c>
      <c r="V110" s="13">
        <f t="shared" si="18"/>
        <v>1.0143539065683767E-6</v>
      </c>
      <c r="W110" s="13">
        <f t="shared" si="19"/>
        <v>1.0143539065683767E-6</v>
      </c>
      <c r="X110" s="13">
        <v>0</v>
      </c>
      <c r="Y110" s="13">
        <v>0</v>
      </c>
      <c r="Z110" s="13">
        <v>0</v>
      </c>
      <c r="AA110" s="13">
        <f t="shared" si="20"/>
        <v>1.8315313882482356</v>
      </c>
      <c r="AB110" s="13">
        <f t="shared" si="21"/>
        <v>658.16846759739781</v>
      </c>
      <c r="AC110" s="13">
        <f t="shared" si="13"/>
        <v>660</v>
      </c>
      <c r="AD110" s="13">
        <f t="shared" si="14"/>
        <v>3.0714853312753951</v>
      </c>
      <c r="AE110" s="13">
        <f t="shared" si="15"/>
        <v>2.3125409123764422E-4</v>
      </c>
      <c r="AF110" s="13">
        <f t="shared" si="16"/>
        <v>9.4812661254579575E-5</v>
      </c>
      <c r="AG110" s="13">
        <f t="shared" si="17"/>
        <v>9.4812661254579575E-5</v>
      </c>
      <c r="AH110" s="10"/>
      <c r="AI110" s="13">
        <f t="shared" si="11"/>
        <v>1.2728544712256666E-8</v>
      </c>
      <c r="AJ110" s="10"/>
      <c r="AK110" s="10"/>
      <c r="AL110" s="10"/>
      <c r="AM110" s="10"/>
      <c r="AN110" s="10"/>
    </row>
    <row r="111" spans="19:40">
      <c r="S111" s="10"/>
      <c r="T111" s="12">
        <v>105</v>
      </c>
      <c r="U111" s="13">
        <f t="shared" si="12"/>
        <v>0.23752668544000544</v>
      </c>
      <c r="V111" s="13">
        <f t="shared" si="18"/>
        <v>7.7323991511916019E-7</v>
      </c>
      <c r="W111" s="13">
        <f t="shared" si="19"/>
        <v>7.7323991511916019E-7</v>
      </c>
      <c r="X111" s="13">
        <v>0</v>
      </c>
      <c r="Y111" s="13">
        <v>0</v>
      </c>
      <c r="Z111" s="13">
        <v>0</v>
      </c>
      <c r="AA111" s="13">
        <f t="shared" si="20"/>
        <v>1.7162223923962239</v>
      </c>
      <c r="AB111" s="13">
        <f t="shared" si="21"/>
        <v>658.28377683436383</v>
      </c>
      <c r="AC111" s="13">
        <f t="shared" si="13"/>
        <v>660</v>
      </c>
      <c r="AD111" s="13">
        <f t="shared" si="14"/>
        <v>2.8696295318848533</v>
      </c>
      <c r="AE111" s="13">
        <f t="shared" si="15"/>
        <v>2.1669484414597718E-4</v>
      </c>
      <c r="AF111" s="13">
        <f t="shared" si="16"/>
        <v>8.8581652873511165E-5</v>
      </c>
      <c r="AG111" s="13">
        <f t="shared" si="17"/>
        <v>8.8581652873511165E-5</v>
      </c>
      <c r="AH111" s="10"/>
      <c r="AI111" s="13">
        <f t="shared" si="11"/>
        <v>1.0041453673542196E-8</v>
      </c>
      <c r="AJ111" s="10"/>
      <c r="AK111" s="10"/>
      <c r="AL111" s="10"/>
      <c r="AM111" s="10"/>
      <c r="AN111" s="10"/>
    </row>
    <row r="112" spans="19:40">
      <c r="S112" s="10"/>
      <c r="T112" s="12">
        <v>106</v>
      </c>
      <c r="U112" s="13">
        <f t="shared" si="12"/>
        <v>0.2383255666894443</v>
      </c>
      <c r="V112" s="13">
        <f t="shared" si="18"/>
        <v>5.8882148410195755E-7</v>
      </c>
      <c r="W112" s="13">
        <f t="shared" si="19"/>
        <v>5.8882148410195755E-7</v>
      </c>
      <c r="X112" s="13">
        <v>0</v>
      </c>
      <c r="Y112" s="13">
        <v>0</v>
      </c>
      <c r="Z112" s="13">
        <v>0</v>
      </c>
      <c r="AA112" s="13">
        <f t="shared" si="20"/>
        <v>1.6081729437349144</v>
      </c>
      <c r="AB112" s="13">
        <f t="shared" si="21"/>
        <v>658.39182646744359</v>
      </c>
      <c r="AC112" s="13">
        <f t="shared" si="13"/>
        <v>660</v>
      </c>
      <c r="AD112" s="13">
        <f t="shared" si="14"/>
        <v>2.6810396188675174</v>
      </c>
      <c r="AE112" s="13">
        <f t="shared" si="15"/>
        <v>2.0305221370661597E-4</v>
      </c>
      <c r="AF112" s="13">
        <f t="shared" si="16"/>
        <v>8.276014132303391E-5</v>
      </c>
      <c r="AG112" s="13">
        <f t="shared" si="17"/>
        <v>8.2760141323033924E-5</v>
      </c>
      <c r="AH112" s="10"/>
      <c r="AI112" s="13">
        <f t="shared" si="11"/>
        <v>7.9152822942018269E-9</v>
      </c>
      <c r="AJ112" s="10"/>
      <c r="AK112" s="10"/>
      <c r="AL112" s="10"/>
      <c r="AM112" s="10"/>
      <c r="AN112" s="10"/>
    </row>
    <row r="113" spans="19:40">
      <c r="S113" s="10"/>
      <c r="T113" s="12">
        <v>107</v>
      </c>
      <c r="U113" s="13">
        <f t="shared" si="12"/>
        <v>0.23911959574542813</v>
      </c>
      <c r="V113" s="13">
        <f t="shared" si="18"/>
        <v>4.4791947715166354E-7</v>
      </c>
      <c r="W113" s="13">
        <f t="shared" si="19"/>
        <v>4.4791947715166354E-7</v>
      </c>
      <c r="X113" s="13">
        <v>0</v>
      </c>
      <c r="Y113" s="13">
        <v>0</v>
      </c>
      <c r="Z113" s="13">
        <v>0</v>
      </c>
      <c r="AA113" s="13">
        <f t="shared" si="20"/>
        <v>1.5069260101153825</v>
      </c>
      <c r="AB113" s="13">
        <f t="shared" si="21"/>
        <v>658.49307354196515</v>
      </c>
      <c r="AC113" s="13">
        <f t="shared" si="13"/>
        <v>660</v>
      </c>
      <c r="AD113" s="13">
        <f t="shared" si="14"/>
        <v>2.5048437472478629</v>
      </c>
      <c r="AE113" s="13">
        <f t="shared" si="15"/>
        <v>1.9026849217611863E-4</v>
      </c>
      <c r="AF113" s="13">
        <f t="shared" si="16"/>
        <v>7.7321214758581023E-5</v>
      </c>
      <c r="AG113" s="13">
        <f t="shared" si="17"/>
        <v>7.7321214758581036E-5</v>
      </c>
      <c r="AH113" s="10"/>
      <c r="AI113" s="13">
        <f t="shared" si="11"/>
        <v>6.2343378585225659E-9</v>
      </c>
      <c r="AJ113" s="10"/>
      <c r="AK113" s="10"/>
      <c r="AL113" s="10"/>
      <c r="AM113" s="10"/>
      <c r="AN113" s="10"/>
    </row>
    <row r="114" spans="19:40">
      <c r="S114" s="10"/>
      <c r="T114" s="12">
        <v>108</v>
      </c>
      <c r="U114" s="13">
        <f t="shared" si="12"/>
        <v>0.23990884701693205</v>
      </c>
      <c r="V114" s="13">
        <f t="shared" si="18"/>
        <v>3.4038108773778815E-7</v>
      </c>
      <c r="W114" s="13">
        <f t="shared" si="19"/>
        <v>3.4038108773778815E-7</v>
      </c>
      <c r="X114" s="13">
        <v>0</v>
      </c>
      <c r="Y114" s="13">
        <v>0</v>
      </c>
      <c r="Z114" s="13">
        <v>0</v>
      </c>
      <c r="AA114" s="13">
        <f t="shared" si="20"/>
        <v>1.4120533301157752</v>
      </c>
      <c r="AB114" s="13">
        <f t="shared" si="21"/>
        <v>658.58794632950321</v>
      </c>
      <c r="AC114" s="13">
        <f t="shared" si="13"/>
        <v>660.00000000000011</v>
      </c>
      <c r="AD114" s="13">
        <f t="shared" si="14"/>
        <v>2.3402273740723056</v>
      </c>
      <c r="AE114" s="13">
        <f t="shared" si="15"/>
        <v>1.7828960486071499E-4</v>
      </c>
      <c r="AF114" s="13">
        <f t="shared" si="16"/>
        <v>7.2239729972738761E-5</v>
      </c>
      <c r="AG114" s="13">
        <f t="shared" si="17"/>
        <v>7.2239729972738774E-5</v>
      </c>
      <c r="AH114" s="10"/>
      <c r="AI114" s="13">
        <f t="shared" si="11"/>
        <v>4.906484803807328E-9</v>
      </c>
      <c r="AJ114" s="10"/>
      <c r="AK114" s="10"/>
      <c r="AL114" s="10"/>
      <c r="AM114" s="10"/>
      <c r="AN114" s="10"/>
    </row>
    <row r="115" spans="19:40">
      <c r="S115" s="10"/>
      <c r="T115" s="12">
        <v>109</v>
      </c>
      <c r="U115" s="13">
        <f t="shared" si="12"/>
        <v>0.24069339309544097</v>
      </c>
      <c r="V115" s="13">
        <f t="shared" si="18"/>
        <v>2.5839392188665472E-7</v>
      </c>
      <c r="W115" s="13">
        <f t="shared" si="19"/>
        <v>2.5839392188665472E-7</v>
      </c>
      <c r="X115" s="13">
        <v>0</v>
      </c>
      <c r="Y115" s="13">
        <v>0</v>
      </c>
      <c r="Z115" s="13">
        <v>0</v>
      </c>
      <c r="AA115" s="13">
        <f t="shared" si="20"/>
        <v>1.3231536023842327</v>
      </c>
      <c r="AB115" s="13">
        <f t="shared" si="21"/>
        <v>658.67684613922188</v>
      </c>
      <c r="AC115" s="13">
        <f t="shared" si="13"/>
        <v>660</v>
      </c>
      <c r="AD115" s="13">
        <f t="shared" si="14"/>
        <v>2.1864294914093581</v>
      </c>
      <c r="AE115" s="13">
        <f t="shared" si="15"/>
        <v>1.6706488141138317E-4</v>
      </c>
      <c r="AF115" s="13">
        <f t="shared" si="16"/>
        <v>6.749219615897895E-5</v>
      </c>
      <c r="AG115" s="13">
        <f t="shared" si="17"/>
        <v>6.7492196158978963E-5</v>
      </c>
      <c r="AH115" s="10"/>
      <c r="AI115" s="13">
        <f t="shared" si="11"/>
        <v>3.8584141239069476E-9</v>
      </c>
      <c r="AJ115" s="10"/>
      <c r="AK115" s="10"/>
      <c r="AL115" s="10"/>
      <c r="AM115" s="10"/>
      <c r="AN115" s="10"/>
    </row>
    <row r="116" spans="19:40">
      <c r="S116" s="10"/>
      <c r="T116" s="12">
        <v>110</v>
      </c>
      <c r="U116" s="13">
        <f t="shared" si="12"/>
        <v>0.24147330481556376</v>
      </c>
      <c r="V116" s="13">
        <f t="shared" si="18"/>
        <v>1.9595337743471226E-7</v>
      </c>
      <c r="W116" s="13">
        <f t="shared" si="19"/>
        <v>1.9595337743471226E-7</v>
      </c>
      <c r="X116" s="13">
        <v>0</v>
      </c>
      <c r="Y116" s="13">
        <v>0</v>
      </c>
      <c r="Z116" s="13">
        <v>0</v>
      </c>
      <c r="AA116" s="13">
        <f t="shared" si="20"/>
        <v>1.2398507888236683</v>
      </c>
      <c r="AB116" s="13">
        <f t="shared" si="21"/>
        <v>658.76014901522308</v>
      </c>
      <c r="AC116" s="13">
        <f t="shared" si="13"/>
        <v>660.00000000000011</v>
      </c>
      <c r="AD116" s="13">
        <f t="shared" si="14"/>
        <v>2.0427391071730088</v>
      </c>
      <c r="AE116" s="13">
        <f t="shared" si="15"/>
        <v>1.5654684151225322E-4</v>
      </c>
      <c r="AF116" s="13">
        <f t="shared" si="16"/>
        <v>6.305666631495658E-5</v>
      </c>
      <c r="AG116" s="13">
        <f t="shared" si="17"/>
        <v>6.305666631495658E-5</v>
      </c>
      <c r="AH116" s="10"/>
      <c r="AI116" s="13">
        <f t="shared" si="11"/>
        <v>3.0318485562934585E-9</v>
      </c>
      <c r="AJ116" s="10"/>
      <c r="AK116" s="10"/>
      <c r="AL116" s="10"/>
      <c r="AM116" s="10"/>
      <c r="AN116" s="10"/>
    </row>
    <row r="117" spans="19:40">
      <c r="S117" s="10"/>
      <c r="T117" s="12">
        <v>111</v>
      </c>
      <c r="U117" s="13">
        <f t="shared" si="12"/>
        <v>0.24224865131309303</v>
      </c>
      <c r="V117" s="13">
        <f t="shared" si="18"/>
        <v>1.4844957498772806E-7</v>
      </c>
      <c r="W117" s="13">
        <f t="shared" si="19"/>
        <v>1.4844957498772806E-7</v>
      </c>
      <c r="X117" s="13">
        <v>0</v>
      </c>
      <c r="Y117" s="13">
        <v>0</v>
      </c>
      <c r="Z117" s="13">
        <v>0</v>
      </c>
      <c r="AA117" s="13">
        <f t="shared" si="20"/>
        <v>1.1617925244848903</v>
      </c>
      <c r="AB117" s="13">
        <f t="shared" si="21"/>
        <v>658.83820732706567</v>
      </c>
      <c r="AC117" s="13">
        <f t="shared" si="13"/>
        <v>660.00000000000011</v>
      </c>
      <c r="AD117" s="13">
        <f t="shared" si="14"/>
        <v>1.9084919574256165</v>
      </c>
      <c r="AE117" s="13">
        <f t="shared" si="15"/>
        <v>1.4669099405738197E-4</v>
      </c>
      <c r="AF117" s="13">
        <f t="shared" si="16"/>
        <v>5.8912635783181921E-5</v>
      </c>
      <c r="AG117" s="13">
        <f t="shared" si="17"/>
        <v>5.8912635783181921E-5</v>
      </c>
      <c r="AH117" s="10"/>
      <c r="AI117" s="13">
        <f t="shared" si="11"/>
        <v>2.3805014586888514E-9</v>
      </c>
      <c r="AJ117" s="10"/>
      <c r="AK117" s="10"/>
      <c r="AL117" s="10"/>
      <c r="AM117" s="10"/>
      <c r="AN117" s="10"/>
    </row>
    <row r="118" spans="19:40">
      <c r="S118" s="10"/>
      <c r="T118" s="12">
        <v>112</v>
      </c>
      <c r="U118" s="13">
        <f t="shared" si="12"/>
        <v>0.24301950008064391</v>
      </c>
      <c r="V118" s="13">
        <f t="shared" si="18"/>
        <v>1.12347402385532E-7</v>
      </c>
      <c r="W118" s="13">
        <f t="shared" si="19"/>
        <v>1.12347402385532E-7</v>
      </c>
      <c r="X118" s="13">
        <v>0</v>
      </c>
      <c r="Y118" s="13">
        <v>0</v>
      </c>
      <c r="Z118" s="13">
        <v>0</v>
      </c>
      <c r="AA118" s="13">
        <f t="shared" si="20"/>
        <v>1.0886486274763567</v>
      </c>
      <c r="AB118" s="13">
        <f t="shared" si="21"/>
        <v>658.91135126017639</v>
      </c>
      <c r="AC118" s="13">
        <f t="shared" si="13"/>
        <v>660.00000000000011</v>
      </c>
      <c r="AD118" s="13">
        <f t="shared" si="14"/>
        <v>1.7830674349029436</v>
      </c>
      <c r="AE118" s="13">
        <f t="shared" si="15"/>
        <v>1.3745564896764634E-4</v>
      </c>
      <c r="AF118" s="13">
        <f t="shared" si="16"/>
        <v>5.50409474599033E-5</v>
      </c>
      <c r="AG118" s="13">
        <f t="shared" si="17"/>
        <v>5.50409474599033E-5</v>
      </c>
      <c r="AH118" s="10"/>
      <c r="AI118" s="13">
        <f t="shared" si="11"/>
        <v>1.8676420785581416E-9</v>
      </c>
      <c r="AJ118" s="10"/>
      <c r="AK118" s="10"/>
      <c r="AL118" s="10"/>
      <c r="AM118" s="10"/>
      <c r="AN118" s="10"/>
    </row>
    <row r="119" spans="19:40">
      <c r="S119" s="10"/>
      <c r="T119" s="12">
        <v>113</v>
      </c>
      <c r="U119" s="13">
        <f t="shared" si="12"/>
        <v>0.24378591702098973</v>
      </c>
      <c r="V119" s="13">
        <f t="shared" si="18"/>
        <v>8.4938987398462135E-8</v>
      </c>
      <c r="W119" s="13">
        <f t="shared" si="19"/>
        <v>8.4938987398462135E-8</v>
      </c>
      <c r="X119" s="13">
        <v>0</v>
      </c>
      <c r="Y119" s="13">
        <v>0</v>
      </c>
      <c r="Z119" s="13">
        <v>0</v>
      </c>
      <c r="AA119" s="13">
        <f t="shared" si="20"/>
        <v>1.0201097026144021</v>
      </c>
      <c r="AB119" s="13">
        <f t="shared" si="21"/>
        <v>658.97989021244678</v>
      </c>
      <c r="AC119" s="13">
        <f t="shared" si="13"/>
        <v>660.00000000000011</v>
      </c>
      <c r="AD119" s="13">
        <f t="shared" si="14"/>
        <v>1.6658857195164389</v>
      </c>
      <c r="AE119" s="13">
        <f t="shared" si="15"/>
        <v>1.2880174085270067E-4</v>
      </c>
      <c r="AF119" s="13">
        <f t="shared" si="16"/>
        <v>5.1423703233890823E-5</v>
      </c>
      <c r="AG119" s="13">
        <f t="shared" si="17"/>
        <v>5.1423703233890817E-5</v>
      </c>
      <c r="AH119" s="10"/>
      <c r="AI119" s="13">
        <f t="shared" si="11"/>
        <v>1.4641481994017044E-9</v>
      </c>
      <c r="AJ119" s="10"/>
      <c r="AK119" s="10"/>
      <c r="AL119" s="10"/>
      <c r="AM119" s="10"/>
      <c r="AN119" s="10"/>
    </row>
    <row r="120" spans="19:40">
      <c r="S120" s="10"/>
      <c r="T120" s="12">
        <v>114</v>
      </c>
      <c r="U120" s="13">
        <f t="shared" si="12"/>
        <v>0.24454796649821195</v>
      </c>
      <c r="V120" s="13">
        <f t="shared" si="18"/>
        <v>6.4152436434235554E-8</v>
      </c>
      <c r="W120" s="13">
        <f t="shared" si="19"/>
        <v>6.4152436434235554E-8</v>
      </c>
      <c r="X120" s="13">
        <v>0</v>
      </c>
      <c r="Y120" s="13">
        <v>0</v>
      </c>
      <c r="Z120" s="13">
        <v>0</v>
      </c>
      <c r="AA120" s="13">
        <f t="shared" si="20"/>
        <v>0.95588583292839047</v>
      </c>
      <c r="AB120" s="13">
        <f t="shared" si="21"/>
        <v>659.04411410291937</v>
      </c>
      <c r="AC120" s="13">
        <f t="shared" si="13"/>
        <v>660.00000000000023</v>
      </c>
      <c r="AD120" s="13">
        <f t="shared" si="14"/>
        <v>1.556405097531639</v>
      </c>
      <c r="AE120" s="13">
        <f t="shared" si="15"/>
        <v>1.2069266377283165E-4</v>
      </c>
      <c r="AF120" s="13">
        <f t="shared" si="16"/>
        <v>4.804418124563239E-5</v>
      </c>
      <c r="AG120" s="13">
        <f t="shared" si="17"/>
        <v>4.8044181245632397E-5</v>
      </c>
      <c r="AH120" s="10"/>
      <c r="AI120" s="13">
        <f t="shared" si="11"/>
        <v>1.1469501046301088E-9</v>
      </c>
      <c r="AJ120" s="10"/>
      <c r="AK120" s="10"/>
      <c r="AL120" s="10"/>
      <c r="AM120" s="10"/>
      <c r="AN120" s="10"/>
    </row>
    <row r="121" spans="19:40">
      <c r="S121" s="10"/>
      <c r="T121" s="12">
        <v>115</v>
      </c>
      <c r="U121" s="13">
        <f t="shared" si="12"/>
        <v>0.24530571138677126</v>
      </c>
      <c r="V121" s="13">
        <f t="shared" si="18"/>
        <v>4.8404228045341165E-8</v>
      </c>
      <c r="W121" s="13">
        <f t="shared" si="19"/>
        <v>4.8404228045341165E-8</v>
      </c>
      <c r="X121" s="13">
        <v>0</v>
      </c>
      <c r="Y121" s="13">
        <v>0</v>
      </c>
      <c r="Z121" s="13">
        <v>0</v>
      </c>
      <c r="AA121" s="13">
        <f t="shared" si="20"/>
        <v>0.89570535350223723</v>
      </c>
      <c r="AB121" s="13">
        <f t="shared" si="21"/>
        <v>659.1042945980937</v>
      </c>
      <c r="AC121" s="13">
        <f t="shared" si="13"/>
        <v>660.00000000000011</v>
      </c>
      <c r="AD121" s="13">
        <f t="shared" si="14"/>
        <v>1.4541194570017255</v>
      </c>
      <c r="AE121" s="13">
        <f t="shared" si="15"/>
        <v>1.1309411640233146E-4</v>
      </c>
      <c r="AF121" s="13">
        <f t="shared" si="16"/>
        <v>4.4886758584378212E-5</v>
      </c>
      <c r="AG121" s="13">
        <f t="shared" si="17"/>
        <v>4.4886758584378212E-5</v>
      </c>
      <c r="AH121" s="10"/>
      <c r="AI121" s="13">
        <f t="shared" si="11"/>
        <v>8.9778841306803834E-10</v>
      </c>
      <c r="AJ121" s="10"/>
      <c r="AK121" s="10"/>
      <c r="AL121" s="10"/>
      <c r="AM121" s="10"/>
      <c r="AN121" s="10"/>
    </row>
    <row r="122" spans="19:40">
      <c r="S122" s="10"/>
      <c r="T122" s="12">
        <v>116</v>
      </c>
      <c r="U122" s="13">
        <f t="shared" si="12"/>
        <v>0.24605921311860149</v>
      </c>
      <c r="V122" s="13">
        <f t="shared" si="18"/>
        <v>3.6485433946735324E-8</v>
      </c>
      <c r="W122" s="13">
        <f t="shared" si="19"/>
        <v>3.6485433946735324E-8</v>
      </c>
      <c r="X122" s="13">
        <v>0</v>
      </c>
      <c r="Y122" s="13">
        <v>0</v>
      </c>
      <c r="Z122" s="13">
        <v>0</v>
      </c>
      <c r="AA122" s="13">
        <f t="shared" si="20"/>
        <v>0.83931370247840587</v>
      </c>
      <c r="AB122" s="13">
        <f t="shared" si="21"/>
        <v>659.1606862610364</v>
      </c>
      <c r="AC122" s="13">
        <f t="shared" si="13"/>
        <v>660.00000000000023</v>
      </c>
      <c r="AD122" s="13">
        <f t="shared" si="14"/>
        <v>1.358555947856263</v>
      </c>
      <c r="AE122" s="13">
        <f t="shared" si="15"/>
        <v>1.0597395693987872E-4</v>
      </c>
      <c r="AF122" s="13">
        <f t="shared" si="16"/>
        <v>4.1936839065621494E-5</v>
      </c>
      <c r="AG122" s="13">
        <f t="shared" si="17"/>
        <v>4.1936839065621494E-5</v>
      </c>
      <c r="AH122" s="10"/>
      <c r="AI122" s="13">
        <f t="shared" si="11"/>
        <v>7.0222341404644552E-10</v>
      </c>
      <c r="AJ122" s="10"/>
      <c r="AK122" s="10"/>
      <c r="AL122" s="10"/>
      <c r="AM122" s="10"/>
      <c r="AN122" s="10"/>
    </row>
    <row r="123" spans="19:40">
      <c r="S123" s="10"/>
      <c r="T123" s="12">
        <v>117</v>
      </c>
      <c r="U123" s="13">
        <f t="shared" si="12"/>
        <v>0.24680853172832309</v>
      </c>
      <c r="V123" s="13">
        <f t="shared" si="18"/>
        <v>2.7474119728876986E-8</v>
      </c>
      <c r="W123" s="13">
        <f t="shared" si="19"/>
        <v>2.7474119728876986E-8</v>
      </c>
      <c r="X123" s="13">
        <v>0</v>
      </c>
      <c r="Y123" s="13">
        <v>0</v>
      </c>
      <c r="Z123" s="13">
        <v>0</v>
      </c>
      <c r="AA123" s="13">
        <f t="shared" si="20"/>
        <v>0.78647234437403524</v>
      </c>
      <c r="AB123" s="13">
        <f t="shared" si="21"/>
        <v>659.21352762815206</v>
      </c>
      <c r="AC123" s="13">
        <f t="shared" si="13"/>
        <v>660.00000000000023</v>
      </c>
      <c r="AD123" s="13">
        <f t="shared" si="14"/>
        <v>1.2692727958111834</v>
      </c>
      <c r="AE123" s="13">
        <f t="shared" si="15"/>
        <v>9.9302067152544802E-5</v>
      </c>
      <c r="AF123" s="13">
        <f t="shared" si="16"/>
        <v>3.9180785755101522E-5</v>
      </c>
      <c r="AG123" s="13">
        <f t="shared" si="17"/>
        <v>3.9180785755101529E-5</v>
      </c>
      <c r="AH123" s="10"/>
      <c r="AI123" s="13">
        <f t="shared" si="11"/>
        <v>5.4884572356207844E-10</v>
      </c>
      <c r="AJ123" s="10"/>
      <c r="AK123" s="10"/>
      <c r="AL123" s="10"/>
      <c r="AM123" s="10"/>
      <c r="AN123" s="10"/>
    </row>
    <row r="124" spans="19:40">
      <c r="S124" s="10"/>
      <c r="T124" s="12">
        <v>118</v>
      </c>
      <c r="U124" s="13">
        <f t="shared" si="12"/>
        <v>0.24755372589666538</v>
      </c>
      <c r="V124" s="13">
        <f t="shared" si="18"/>
        <v>2.0667981350657152E-8</v>
      </c>
      <c r="W124" s="13">
        <f t="shared" si="19"/>
        <v>2.0667981350657152E-8</v>
      </c>
      <c r="X124" s="13">
        <v>0</v>
      </c>
      <c r="Y124" s="13">
        <v>0</v>
      </c>
      <c r="Z124" s="13">
        <v>0</v>
      </c>
      <c r="AA124" s="13">
        <f t="shared" si="20"/>
        <v>0.73695776116252443</v>
      </c>
      <c r="AB124" s="13">
        <f t="shared" si="21"/>
        <v>659.26304221816963</v>
      </c>
      <c r="AC124" s="13">
        <f t="shared" si="13"/>
        <v>660.00000000000011</v>
      </c>
      <c r="AD124" s="13">
        <f t="shared" si="14"/>
        <v>1.1858572599809505</v>
      </c>
      <c r="AE124" s="13">
        <f t="shared" si="15"/>
        <v>9.3050224978599198E-5</v>
      </c>
      <c r="AF124" s="13">
        <f t="shared" si="16"/>
        <v>3.6605857927365549E-5</v>
      </c>
      <c r="AG124" s="13">
        <f t="shared" si="17"/>
        <v>3.6605857927365549E-5</v>
      </c>
      <c r="AH124" s="10"/>
      <c r="AI124" s="13">
        <f t="shared" si="11"/>
        <v>4.2864793530040694E-10</v>
      </c>
      <c r="AJ124" s="10"/>
      <c r="AK124" s="10"/>
      <c r="AL124" s="10"/>
      <c r="AM124" s="10"/>
      <c r="AN124" s="10"/>
    </row>
    <row r="125" spans="19:40">
      <c r="S125" s="10"/>
      <c r="T125" s="12">
        <v>119</v>
      </c>
      <c r="U125" s="13">
        <f t="shared" si="12"/>
        <v>0.2482948529921844</v>
      </c>
      <c r="V125" s="13">
        <f t="shared" si="18"/>
        <v>1.5532603763790679E-8</v>
      </c>
      <c r="W125" s="13">
        <f t="shared" si="19"/>
        <v>1.5532603763790679E-8</v>
      </c>
      <c r="X125" s="13">
        <v>0</v>
      </c>
      <c r="Y125" s="13">
        <v>0</v>
      </c>
      <c r="Z125" s="13">
        <v>0</v>
      </c>
      <c r="AA125" s="13">
        <f t="shared" si="20"/>
        <v>0.69056050685881765</v>
      </c>
      <c r="AB125" s="13">
        <f t="shared" si="21"/>
        <v>659.30943947760875</v>
      </c>
      <c r="AC125" s="13">
        <f t="shared" si="13"/>
        <v>660.00000000000011</v>
      </c>
      <c r="AD125" s="13">
        <f t="shared" si="14"/>
        <v>1.1079237247411111</v>
      </c>
      <c r="AE125" s="13">
        <f t="shared" si="15"/>
        <v>8.7191985150431974E-5</v>
      </c>
      <c r="AF125" s="13">
        <f t="shared" si="16"/>
        <v>3.4200152167433491E-5</v>
      </c>
      <c r="AG125" s="13">
        <f t="shared" si="17"/>
        <v>3.4200152167433491E-5</v>
      </c>
      <c r="AH125" s="10"/>
      <c r="AI125" s="13">
        <f t="shared" si="11"/>
        <v>3.3452489200267552E-10</v>
      </c>
      <c r="AJ125" s="10"/>
      <c r="AK125" s="10"/>
      <c r="AL125" s="10"/>
      <c r="AM125" s="10"/>
      <c r="AN125" s="10"/>
    </row>
    <row r="126" spans="19:40">
      <c r="S126" s="10"/>
      <c r="T126" s="12">
        <v>120</v>
      </c>
      <c r="U126" s="13">
        <f t="shared" si="12"/>
        <v>0.24903196911135653</v>
      </c>
      <c r="V126" s="13">
        <f t="shared" si="18"/>
        <v>1.1661765171975141E-8</v>
      </c>
      <c r="W126" s="13">
        <f t="shared" si="19"/>
        <v>1.1661765171975141E-8</v>
      </c>
      <c r="X126" s="13">
        <v>0</v>
      </c>
      <c r="Y126" s="13">
        <v>0</v>
      </c>
      <c r="Z126" s="13">
        <v>0</v>
      </c>
      <c r="AA126" s="13">
        <f t="shared" si="20"/>
        <v>0.64708432161391038</v>
      </c>
      <c r="AB126" s="13">
        <f t="shared" si="21"/>
        <v>659.35291566672447</v>
      </c>
      <c r="AC126" s="13">
        <f t="shared" si="13"/>
        <v>660.00000000000011</v>
      </c>
      <c r="AD126" s="13">
        <f t="shared" si="14"/>
        <v>1.0351119170123739</v>
      </c>
      <c r="AE126" s="13">
        <f t="shared" si="15"/>
        <v>8.1702567332787314E-5</v>
      </c>
      <c r="AF126" s="13">
        <f t="shared" si="16"/>
        <v>3.1952547343269017E-5</v>
      </c>
      <c r="AG126" s="13">
        <f t="shared" si="17"/>
        <v>3.1952547343269011E-5</v>
      </c>
      <c r="AH126" s="10"/>
      <c r="AI126" s="13">
        <f t="shared" si="11"/>
        <v>2.608766132456953E-10</v>
      </c>
      <c r="AJ126" s="10"/>
      <c r="AK126" s="10"/>
      <c r="AL126" s="10"/>
      <c r="AM126" s="10"/>
      <c r="AN126" s="10"/>
    </row>
    <row r="127" spans="19:40">
      <c r="S127" s="10"/>
      <c r="T127" s="12">
        <v>121</v>
      </c>
      <c r="U127" s="13">
        <f t="shared" si="12"/>
        <v>0.24976512911712359</v>
      </c>
      <c r="V127" s="13">
        <f t="shared" si="18"/>
        <v>8.7470179607347087E-9</v>
      </c>
      <c r="W127" s="13">
        <f t="shared" si="19"/>
        <v>8.7470179607347087E-9</v>
      </c>
      <c r="X127" s="13">
        <v>0</v>
      </c>
      <c r="Y127" s="13">
        <v>0</v>
      </c>
      <c r="Z127" s="13">
        <v>0</v>
      </c>
      <c r="AA127" s="13">
        <f t="shared" si="20"/>
        <v>0.60634530157476918</v>
      </c>
      <c r="AB127" s="13">
        <f t="shared" si="21"/>
        <v>659.39365468967833</v>
      </c>
      <c r="AC127" s="13">
        <f t="shared" si="13"/>
        <v>660.00000000000011</v>
      </c>
      <c r="AD127" s="13">
        <f t="shared" si="14"/>
        <v>0.96708524071891067</v>
      </c>
      <c r="AE127" s="13">
        <f t="shared" si="15"/>
        <v>7.6558751303255944E-5</v>
      </c>
      <c r="AF127" s="13">
        <f t="shared" si="16"/>
        <v>2.9852653194657317E-5</v>
      </c>
      <c r="AG127" s="13">
        <f t="shared" si="17"/>
        <v>2.9852653194657317E-5</v>
      </c>
      <c r="AH127" s="10"/>
      <c r="AI127" s="13">
        <f t="shared" si="11"/>
        <v>2.0329307819752234E-10</v>
      </c>
      <c r="AJ127" s="10"/>
      <c r="AK127" s="10"/>
      <c r="AL127" s="10"/>
      <c r="AM127" s="10"/>
      <c r="AN127" s="10"/>
    </row>
    <row r="128" spans="19:40">
      <c r="S128" s="10"/>
      <c r="T128" s="12">
        <v>122</v>
      </c>
      <c r="U128" s="13">
        <f t="shared" si="12"/>
        <v>0.25049438667596174</v>
      </c>
      <c r="V128" s="13">
        <f t="shared" si="18"/>
        <v>6.5544052442110547E-9</v>
      </c>
      <c r="W128" s="13">
        <f t="shared" si="19"/>
        <v>6.5544052442110547E-9</v>
      </c>
      <c r="X128" s="13">
        <v>0</v>
      </c>
      <c r="Y128" s="13">
        <v>0</v>
      </c>
      <c r="Z128" s="13">
        <v>0</v>
      </c>
      <c r="AA128" s="13">
        <f t="shared" si="20"/>
        <v>0.56817112100093836</v>
      </c>
      <c r="AB128" s="13">
        <f t="shared" si="21"/>
        <v>659.43182887244473</v>
      </c>
      <c r="AC128" s="13">
        <f t="shared" si="13"/>
        <v>660.00000000000011</v>
      </c>
      <c r="AD128" s="13">
        <f t="shared" si="14"/>
        <v>0.90352922071669595</v>
      </c>
      <c r="AE128" s="13">
        <f t="shared" si="15"/>
        <v>7.1738778731735288E-5</v>
      </c>
      <c r="AF128" s="13">
        <f t="shared" si="16"/>
        <v>2.7890762300813224E-5</v>
      </c>
      <c r="AG128" s="13">
        <f t="shared" si="17"/>
        <v>2.7890762300813224E-5</v>
      </c>
      <c r="AH128" s="10"/>
      <c r="AI128" s="13">
        <f t="shared" si="11"/>
        <v>1.5830421479985142E-10</v>
      </c>
      <c r="AJ128" s="10"/>
      <c r="AK128" s="10"/>
      <c r="AL128" s="10"/>
      <c r="AM128" s="10"/>
      <c r="AN128" s="10"/>
    </row>
    <row r="129" spans="19:40">
      <c r="S129" s="10"/>
      <c r="T129" s="12">
        <v>123</v>
      </c>
      <c r="U129" s="13">
        <f t="shared" si="12"/>
        <v>0.25121979429354302</v>
      </c>
      <c r="V129" s="13">
        <f t="shared" si="18"/>
        <v>4.9066595713979684E-9</v>
      </c>
      <c r="W129" s="13">
        <f t="shared" si="19"/>
        <v>4.9066595713979684E-9</v>
      </c>
      <c r="X129" s="13">
        <v>0</v>
      </c>
      <c r="Y129" s="13">
        <v>0</v>
      </c>
      <c r="Z129" s="13">
        <v>0</v>
      </c>
      <c r="AA129" s="13">
        <f t="shared" si="20"/>
        <v>0.53240030334951649</v>
      </c>
      <c r="AB129" s="13">
        <f t="shared" si="21"/>
        <v>659.46759969174389</v>
      </c>
      <c r="AC129" s="13">
        <f t="shared" si="13"/>
        <v>660.00000000000011</v>
      </c>
      <c r="AD129" s="13">
        <f t="shared" si="14"/>
        <v>0.84415004899479429</v>
      </c>
      <c r="AE129" s="13">
        <f t="shared" si="15"/>
        <v>6.7222261143456565E-5</v>
      </c>
      <c r="AF129" s="13">
        <f t="shared" si="16"/>
        <v>2.6057805204664319E-5</v>
      </c>
      <c r="AG129" s="13">
        <f t="shared" si="17"/>
        <v>2.6057805204664322E-5</v>
      </c>
      <c r="AH129" s="10"/>
      <c r="AI129" s="13">
        <f t="shared" si="11"/>
        <v>1.2318178396875644E-10</v>
      </c>
      <c r="AJ129" s="10"/>
      <c r="AK129" s="10"/>
      <c r="AL129" s="10"/>
      <c r="AM129" s="10"/>
      <c r="AN129" s="10"/>
    </row>
    <row r="130" spans="19:40">
      <c r="S130" s="10"/>
      <c r="T130" s="12">
        <v>124</v>
      </c>
      <c r="U130" s="13">
        <f t="shared" si="12"/>
        <v>0.25194140334905363</v>
      </c>
      <c r="V130" s="13">
        <f t="shared" si="18"/>
        <v>3.6696084749821941E-9</v>
      </c>
      <c r="W130" s="13">
        <f t="shared" si="19"/>
        <v>3.6696084749821941E-9</v>
      </c>
      <c r="X130" s="13">
        <v>0</v>
      </c>
      <c r="Y130" s="13">
        <v>0</v>
      </c>
      <c r="Z130" s="13">
        <v>0</v>
      </c>
      <c r="AA130" s="13">
        <f t="shared" si="20"/>
        <v>0.49888153824683479</v>
      </c>
      <c r="AB130" s="13">
        <f t="shared" si="21"/>
        <v>659.50111845808362</v>
      </c>
      <c r="AC130" s="13">
        <f t="shared" si="13"/>
        <v>660.00000000000011</v>
      </c>
      <c r="AD130" s="13">
        <f t="shared" si="14"/>
        <v>0.78867322642615034</v>
      </c>
      <c r="AE130" s="13">
        <f t="shared" si="15"/>
        <v>6.2990093676318579E-5</v>
      </c>
      <c r="AF130" s="13">
        <f t="shared" si="16"/>
        <v>2.434530848634888E-5</v>
      </c>
      <c r="AG130" s="13">
        <f t="shared" si="17"/>
        <v>2.434530848634888E-5</v>
      </c>
      <c r="AH130" s="10"/>
      <c r="AI130" s="13">
        <f t="shared" si="11"/>
        <v>9.5782526192506773E-11</v>
      </c>
      <c r="AJ130" s="10"/>
      <c r="AK130" s="10"/>
      <c r="AL130" s="10"/>
      <c r="AM130" s="10"/>
      <c r="AN130" s="10"/>
    </row>
    <row r="131" spans="19:40">
      <c r="S131" s="10"/>
      <c r="T131" s="12">
        <v>125</v>
      </c>
      <c r="U131" s="13">
        <f t="shared" si="12"/>
        <v>0.25265926412822809</v>
      </c>
      <c r="V131" s="13">
        <f t="shared" si="18"/>
        <v>2.7418044206267808E-9</v>
      </c>
      <c r="W131" s="13">
        <f t="shared" si="19"/>
        <v>2.7418044206267808E-9</v>
      </c>
      <c r="X131" s="13">
        <v>0</v>
      </c>
      <c r="Y131" s="13">
        <v>0</v>
      </c>
      <c r="Z131" s="13">
        <v>0</v>
      </c>
      <c r="AA131" s="13">
        <f t="shared" si="20"/>
        <v>0.4674730414588934</v>
      </c>
      <c r="AB131" s="13">
        <f t="shared" si="21"/>
        <v>659.53252695579943</v>
      </c>
      <c r="AC131" s="13">
        <f t="shared" si="13"/>
        <v>660.00000000000011</v>
      </c>
      <c r="AD131" s="13">
        <f t="shared" si="14"/>
        <v>0.736842293786798</v>
      </c>
      <c r="AE131" s="13">
        <f t="shared" si="15"/>
        <v>5.9024374267764861E-5</v>
      </c>
      <c r="AF131" s="13">
        <f t="shared" si="16"/>
        <v>2.2745355592104244E-5</v>
      </c>
      <c r="AG131" s="13">
        <f t="shared" si="17"/>
        <v>2.2745355592104244E-5</v>
      </c>
      <c r="AH131" s="10"/>
      <c r="AI131" s="13">
        <f t="shared" si="11"/>
        <v>7.4424085961276425E-11</v>
      </c>
      <c r="AJ131" s="10"/>
      <c r="AK131" s="10"/>
      <c r="AL131" s="10"/>
      <c r="AM131" s="10"/>
      <c r="AN131" s="10"/>
    </row>
    <row r="132" spans="19:40">
      <c r="S132" s="10"/>
      <c r="T132" s="12">
        <v>126</v>
      </c>
      <c r="U132" s="13">
        <f t="shared" si="12"/>
        <v>0.25337342585516076</v>
      </c>
      <c r="V132" s="13">
        <f t="shared" si="18"/>
        <v>2.0466232574892105E-9</v>
      </c>
      <c r="W132" s="13">
        <f t="shared" si="19"/>
        <v>2.0466232574892105E-9</v>
      </c>
      <c r="X132" s="13">
        <v>0</v>
      </c>
      <c r="Y132" s="13">
        <v>0</v>
      </c>
      <c r="Z132" s="13">
        <v>0</v>
      </c>
      <c r="AA132" s="13">
        <f t="shared" si="20"/>
        <v>0.43804195515420113</v>
      </c>
      <c r="AB132" s="13">
        <f t="shared" si="21"/>
        <v>659.56195804279923</v>
      </c>
      <c r="AC132" s="13">
        <f t="shared" si="13"/>
        <v>660.00000000000011</v>
      </c>
      <c r="AD132" s="13">
        <f t="shared" si="14"/>
        <v>0.68841764617555967</v>
      </c>
      <c r="AE132" s="13">
        <f t="shared" si="15"/>
        <v>5.5308327929397016E-5</v>
      </c>
      <c r="AF132" s="13">
        <f t="shared" si="16"/>
        <v>2.1250550237459933E-5</v>
      </c>
      <c r="AG132" s="13">
        <f t="shared" si="17"/>
        <v>2.1250550237459933E-5</v>
      </c>
      <c r="AH132" s="10"/>
      <c r="AI132" s="13">
        <f t="shared" si="11"/>
        <v>5.778695015164629E-11</v>
      </c>
      <c r="AJ132" s="10"/>
      <c r="AK132" s="10"/>
      <c r="AL132" s="10"/>
      <c r="AM132" s="10"/>
      <c r="AN132" s="10"/>
    </row>
    <row r="133" spans="19:40">
      <c r="S133" s="10"/>
      <c r="T133" s="12">
        <v>127</v>
      </c>
      <c r="U133" s="13">
        <f t="shared" si="12"/>
        <v>0.2540839367229466</v>
      </c>
      <c r="V133" s="13">
        <f t="shared" si="18"/>
        <v>1.526250281390083E-9</v>
      </c>
      <c r="W133" s="13">
        <f t="shared" si="19"/>
        <v>1.526250281390083E-9</v>
      </c>
      <c r="X133" s="13">
        <v>0</v>
      </c>
      <c r="Y133" s="13">
        <v>0</v>
      </c>
      <c r="Z133" s="13">
        <v>0</v>
      </c>
      <c r="AA133" s="13">
        <f t="shared" si="20"/>
        <v>0.41046378592287786</v>
      </c>
      <c r="AB133" s="13">
        <f t="shared" si="21"/>
        <v>659.58953621255091</v>
      </c>
      <c r="AC133" s="13">
        <f t="shared" si="13"/>
        <v>660</v>
      </c>
      <c r="AD133" s="13">
        <f t="shared" si="14"/>
        <v>0.64317542535224947</v>
      </c>
      <c r="AE133" s="13">
        <f t="shared" si="15"/>
        <v>5.1826235789031334E-5</v>
      </c>
      <c r="AF133" s="13">
        <f t="shared" si="16"/>
        <v>1.9853982215551356E-5</v>
      </c>
      <c r="AG133" s="13">
        <f t="shared" si="17"/>
        <v>1.9853982215551356E-5</v>
      </c>
      <c r="AH133" s="10"/>
      <c r="AI133" s="13">
        <f t="shared" si="11"/>
        <v>4.4837013419799943E-11</v>
      </c>
      <c r="AJ133" s="10"/>
      <c r="AK133" s="10"/>
      <c r="AL133" s="10"/>
      <c r="AM133" s="10"/>
      <c r="AN133" s="10"/>
    </row>
    <row r="134" spans="19:40">
      <c r="S134" s="10"/>
      <c r="T134" s="12">
        <v>128</v>
      </c>
      <c r="U134" s="13">
        <f t="shared" si="12"/>
        <v>0.25479084392320328</v>
      </c>
      <c r="V134" s="13">
        <f t="shared" si="18"/>
        <v>1.1371080513528523E-9</v>
      </c>
      <c r="W134" s="13">
        <f t="shared" si="19"/>
        <v>1.1371080513528523E-9</v>
      </c>
      <c r="X134" s="13">
        <v>0</v>
      </c>
      <c r="Y134" s="13">
        <v>0</v>
      </c>
      <c r="Z134" s="13">
        <v>0</v>
      </c>
      <c r="AA134" s="13">
        <f t="shared" si="20"/>
        <v>0.38462187817541221</v>
      </c>
      <c r="AB134" s="13">
        <f t="shared" si="21"/>
        <v>659.61537812068752</v>
      </c>
      <c r="AC134" s="13">
        <f t="shared" si="13"/>
        <v>660</v>
      </c>
      <c r="AD134" s="13">
        <f t="shared" si="14"/>
        <v>0.60090648487288956</v>
      </c>
      <c r="AE134" s="13">
        <f t="shared" si="15"/>
        <v>4.8563368600065695E-5</v>
      </c>
      <c r="AF134" s="13">
        <f t="shared" si="16"/>
        <v>1.8549195452489667E-5</v>
      </c>
      <c r="AG134" s="13">
        <f t="shared" si="17"/>
        <v>1.8549195452489667E-5</v>
      </c>
      <c r="AH134" s="10"/>
      <c r="AI134" s="13">
        <f t="shared" ref="AI134:AI197" si="22">EXP(-lambda_pacl*(T134^gamma_pacl))</f>
        <v>3.4764484385991336E-11</v>
      </c>
      <c r="AJ134" s="10"/>
      <c r="AK134" s="10"/>
      <c r="AL134" s="10"/>
      <c r="AM134" s="10"/>
      <c r="AN134" s="10"/>
    </row>
    <row r="135" spans="19:40">
      <c r="S135" s="10"/>
      <c r="T135" s="12">
        <v>129</v>
      </c>
      <c r="U135" s="13">
        <f t="shared" ref="U135:U198" si="23">gamma_pacl*lambda_pacl*T135^(gamma_pacl-1)</f>
        <v>0.25549419367452525</v>
      </c>
      <c r="V135" s="13">
        <f t="shared" si="18"/>
        <v>8.463841511660244E-10</v>
      </c>
      <c r="W135" s="13">
        <f t="shared" si="19"/>
        <v>8.463841511660244E-10</v>
      </c>
      <c r="X135" s="13">
        <v>0</v>
      </c>
      <c r="Y135" s="13">
        <v>0</v>
      </c>
      <c r="Z135" s="13">
        <v>0</v>
      </c>
      <c r="AA135" s="13">
        <f t="shared" si="20"/>
        <v>0.3604069206939905</v>
      </c>
      <c r="AB135" s="13">
        <f t="shared" si="21"/>
        <v>659.63959307845971</v>
      </c>
      <c r="AC135" s="13">
        <f t="shared" ref="AC135:AC198" si="24">V135+AA135+AB135</f>
        <v>660.00000000000011</v>
      </c>
      <c r="AD135" s="13">
        <f t="shared" ref="AD135:AD198" si="25">(V135*cPFS_PALB_after+AA135*cP)/AC135/(1+rdis_Month)^T134</f>
        <v>0.56141542323720584</v>
      </c>
      <c r="AE135" s="13">
        <f t="shared" ref="AE135:AE198" si="26">(V135+AA135)/AC135/12</f>
        <v>4.5505924436915979E-5</v>
      </c>
      <c r="AF135" s="13">
        <f t="shared" ref="AF135:AF198" si="27">(V135*uS+AA135*uP)/AC135/12/(1+rdis_Month)^T134</f>
        <v>1.7330158162111133E-5</v>
      </c>
      <c r="AG135" s="13">
        <f t="shared" ref="AG135:AG198" si="28">(W135*uS/12+X135*(uS+duAE1_PALB)/12+Y135*(uS/12+duAE2_PALB)/12+Z135*(uS+duAE3_PALB)/12+AA135*uP/12)/AC135/(1+rdis_Month)^T134</f>
        <v>1.7330158162111129E-5</v>
      </c>
      <c r="AH135" s="10"/>
      <c r="AI135" s="13">
        <f t="shared" si="22"/>
        <v>2.6935725437869146E-11</v>
      </c>
      <c r="AJ135" s="10"/>
      <c r="AK135" s="10"/>
      <c r="AL135" s="10"/>
      <c r="AM135" s="10"/>
      <c r="AN135" s="10"/>
    </row>
    <row r="136" spans="19:40">
      <c r="S136" s="10"/>
      <c r="T136" s="12">
        <v>130</v>
      </c>
      <c r="U136" s="13">
        <f t="shared" si="23"/>
        <v>0.25619403124991524</v>
      </c>
      <c r="V136" s="13">
        <f t="shared" ref="V136:V199" si="29">SUM(W136:Z136)</f>
        <v>6.2939716736059139E-10</v>
      </c>
      <c r="W136" s="13">
        <f t="shared" ref="W136:W199" si="30">(1-($Q$13+U136))*W135</f>
        <v>6.2939716736059139E-10</v>
      </c>
      <c r="X136" s="13">
        <v>0</v>
      </c>
      <c r="Y136" s="13">
        <v>0</v>
      </c>
      <c r="Z136" s="13">
        <v>0</v>
      </c>
      <c r="AA136" s="13">
        <f t="shared" ref="AA136:AA199" si="31">(1-$Q$17)*AA135+(U136*W135)</f>
        <v>0.337716484249444</v>
      </c>
      <c r="AB136" s="13">
        <f t="shared" ref="AB136:AB199" si="32">(AB135*1)+(AA135*$Q$17)+(W135*$Q$13)</f>
        <v>659.6622835151212</v>
      </c>
      <c r="AC136" s="13">
        <f t="shared" si="24"/>
        <v>660</v>
      </c>
      <c r="AD136" s="13">
        <f t="shared" si="25"/>
        <v>0.52451968057825449</v>
      </c>
      <c r="AE136" s="13">
        <f t="shared" si="26"/>
        <v>4.2640970312984995E-5</v>
      </c>
      <c r="AF136" s="13">
        <f t="shared" si="27"/>
        <v>1.6191234962135541E-5</v>
      </c>
      <c r="AG136" s="13">
        <f t="shared" si="28"/>
        <v>1.6191234962135544E-5</v>
      </c>
      <c r="AH136" s="10"/>
      <c r="AI136" s="13">
        <f t="shared" si="22"/>
        <v>2.0855320288272527E-11</v>
      </c>
      <c r="AJ136" s="10"/>
      <c r="AK136" s="10"/>
      <c r="AL136" s="10"/>
      <c r="AM136" s="10"/>
      <c r="AN136" s="10"/>
    </row>
    <row r="137" spans="19:40">
      <c r="S137" s="10"/>
      <c r="T137" s="12">
        <v>131</v>
      </c>
      <c r="U137" s="13">
        <f t="shared" si="23"/>
        <v>0.25689040100323801</v>
      </c>
      <c r="V137" s="13">
        <f t="shared" si="29"/>
        <v>4.6760070986729611E-10</v>
      </c>
      <c r="W137" s="13">
        <f t="shared" si="30"/>
        <v>4.6760070986729611E-10</v>
      </c>
      <c r="X137" s="13">
        <v>0</v>
      </c>
      <c r="Y137" s="13">
        <v>0</v>
      </c>
      <c r="Z137" s="13">
        <v>0</v>
      </c>
      <c r="AA137" s="13">
        <f t="shared" si="31"/>
        <v>0.31645458832819118</v>
      </c>
      <c r="AB137" s="13">
        <f t="shared" si="32"/>
        <v>659.68354541120425</v>
      </c>
      <c r="AC137" s="13">
        <f t="shared" si="24"/>
        <v>660</v>
      </c>
      <c r="AD137" s="13">
        <f t="shared" si="25"/>
        <v>0.49004869471790335</v>
      </c>
      <c r="AE137" s="13">
        <f t="shared" si="26"/>
        <v>3.9956387474216153E-5</v>
      </c>
      <c r="AF137" s="13">
        <f t="shared" si="27"/>
        <v>1.5127160822830189E-5</v>
      </c>
      <c r="AG137" s="13">
        <f t="shared" si="28"/>
        <v>1.5127160822830189E-5</v>
      </c>
      <c r="AH137" s="10"/>
      <c r="AI137" s="13">
        <f t="shared" si="22"/>
        <v>1.6136222379115104E-11</v>
      </c>
      <c r="AJ137" s="10"/>
      <c r="AK137" s="10"/>
      <c r="AL137" s="10"/>
      <c r="AM137" s="10"/>
      <c r="AN137" s="10"/>
    </row>
    <row r="138" spans="19:40">
      <c r="S138" s="10"/>
      <c r="T138" s="12">
        <v>132</v>
      </c>
      <c r="U138" s="13">
        <f t="shared" si="23"/>
        <v>0.2575833463947379</v>
      </c>
      <c r="V138" s="13">
        <f t="shared" si="29"/>
        <v>3.4707255898285788E-10</v>
      </c>
      <c r="W138" s="13">
        <f t="shared" si="30"/>
        <v>3.4707255898285788E-10</v>
      </c>
      <c r="X138" s="13">
        <v>0</v>
      </c>
      <c r="Y138" s="13">
        <v>0</v>
      </c>
      <c r="Z138" s="13">
        <v>0</v>
      </c>
      <c r="AA138" s="13">
        <f t="shared" si="31"/>
        <v>0.29653129513662513</v>
      </c>
      <c r="AB138" s="13">
        <f t="shared" si="32"/>
        <v>659.70346870451635</v>
      </c>
      <c r="AC138" s="13">
        <f t="shared" si="24"/>
        <v>660</v>
      </c>
      <c r="AD138" s="13">
        <f t="shared" si="25"/>
        <v>0.45784311268644257</v>
      </c>
      <c r="AE138" s="13">
        <f t="shared" si="26"/>
        <v>3.7440820136830513E-5</v>
      </c>
      <c r="AF138" s="13">
        <f t="shared" si="27"/>
        <v>1.4133016727748152E-5</v>
      </c>
      <c r="AG138" s="13">
        <f t="shared" si="28"/>
        <v>1.4133016727748152E-5</v>
      </c>
      <c r="AH138" s="10"/>
      <c r="AI138" s="13">
        <f t="shared" si="22"/>
        <v>1.2476282286269323E-11</v>
      </c>
      <c r="AJ138" s="10"/>
      <c r="AK138" s="10"/>
      <c r="AL138" s="10"/>
      <c r="AM138" s="10"/>
      <c r="AN138" s="10"/>
    </row>
    <row r="139" spans="19:40">
      <c r="S139" s="10"/>
      <c r="T139" s="12">
        <v>133</v>
      </c>
      <c r="U139" s="13">
        <f t="shared" si="23"/>
        <v>0.25827291001566088</v>
      </c>
      <c r="V139" s="13">
        <f t="shared" si="29"/>
        <v>2.5737225891916316E-10</v>
      </c>
      <c r="W139" s="13">
        <f t="shared" si="30"/>
        <v>2.5737225891916316E-10</v>
      </c>
      <c r="X139" s="13">
        <v>0</v>
      </c>
      <c r="Y139" s="13">
        <v>0</v>
      </c>
      <c r="Z139" s="13">
        <v>0</v>
      </c>
      <c r="AA139" s="13">
        <f t="shared" si="31"/>
        <v>0.27786232916573506</v>
      </c>
      <c r="AB139" s="13">
        <f t="shared" si="32"/>
        <v>659.72213767057701</v>
      </c>
      <c r="AC139" s="13">
        <f t="shared" si="24"/>
        <v>660.00000000000011</v>
      </c>
      <c r="AD139" s="13">
        <f t="shared" si="25"/>
        <v>0.42775405406107014</v>
      </c>
      <c r="AE139" s="13">
        <f t="shared" si="26"/>
        <v>3.5083627452412533E-5</v>
      </c>
      <c r="AF139" s="13">
        <f t="shared" si="27"/>
        <v>1.3204206934024071E-5</v>
      </c>
      <c r="AG139" s="13">
        <f t="shared" si="28"/>
        <v>1.3204206934024067E-5</v>
      </c>
      <c r="AH139" s="10"/>
      <c r="AI139" s="13">
        <f t="shared" si="22"/>
        <v>9.6398063145256548E-12</v>
      </c>
      <c r="AJ139" s="10"/>
      <c r="AK139" s="10"/>
      <c r="AL139" s="10"/>
      <c r="AM139" s="10"/>
      <c r="AN139" s="10"/>
    </row>
    <row r="140" spans="19:40">
      <c r="S140" s="10"/>
      <c r="T140" s="12">
        <v>134</v>
      </c>
      <c r="U140" s="13">
        <f t="shared" si="23"/>
        <v>0.25895913361201817</v>
      </c>
      <c r="V140" s="13">
        <f t="shared" si="29"/>
        <v>1.9067823069579714E-10</v>
      </c>
      <c r="W140" s="13">
        <f t="shared" si="30"/>
        <v>1.9067823069579714E-10</v>
      </c>
      <c r="X140" s="13">
        <v>0</v>
      </c>
      <c r="Y140" s="13">
        <v>0</v>
      </c>
      <c r="Z140" s="13">
        <v>0</v>
      </c>
      <c r="AA140" s="13">
        <f t="shared" si="31"/>
        <v>0.26036872070683281</v>
      </c>
      <c r="AB140" s="13">
        <f t="shared" si="32"/>
        <v>659.73963127910258</v>
      </c>
      <c r="AC140" s="13">
        <f t="shared" si="24"/>
        <v>660.00000000000011</v>
      </c>
      <c r="AD140" s="13">
        <f t="shared" si="25"/>
        <v>0.39964242271761097</v>
      </c>
      <c r="AE140" s="13">
        <f t="shared" si="26"/>
        <v>3.2874838497160482E-5</v>
      </c>
      <c r="AF140" s="13">
        <f t="shared" si="27"/>
        <v>1.2336437727105408E-5</v>
      </c>
      <c r="AG140" s="13">
        <f t="shared" si="28"/>
        <v>1.2336437727105408E-5</v>
      </c>
      <c r="AH140" s="10"/>
      <c r="AI140" s="13">
        <f t="shared" si="22"/>
        <v>7.4430798247943266E-12</v>
      </c>
      <c r="AJ140" s="10"/>
      <c r="AK140" s="10"/>
      <c r="AL140" s="10"/>
      <c r="AM140" s="10"/>
      <c r="AN140" s="10"/>
    </row>
    <row r="141" spans="19:40">
      <c r="S141" s="10"/>
      <c r="T141" s="12">
        <v>135</v>
      </c>
      <c r="U141" s="13">
        <f t="shared" si="23"/>
        <v>0.25964205810752816</v>
      </c>
      <c r="V141" s="13">
        <f t="shared" si="29"/>
        <v>1.4113670641208814E-10</v>
      </c>
      <c r="W141" s="13">
        <f t="shared" si="30"/>
        <v>1.4113670641208814E-10</v>
      </c>
      <c r="X141" s="13">
        <v>0</v>
      </c>
      <c r="Y141" s="13">
        <v>0</v>
      </c>
      <c r="Z141" s="13">
        <v>0</v>
      </c>
      <c r="AA141" s="13">
        <f t="shared" si="31"/>
        <v>0.24397647181054327</v>
      </c>
      <c r="AB141" s="13">
        <f t="shared" si="32"/>
        <v>659.75602352804833</v>
      </c>
      <c r="AC141" s="13">
        <f t="shared" si="24"/>
        <v>660</v>
      </c>
      <c r="AD141" s="13">
        <f t="shared" si="25"/>
        <v>0.37337826381367983</v>
      </c>
      <c r="AE141" s="13">
        <f t="shared" si="26"/>
        <v>3.0805110094909088E-5</v>
      </c>
      <c r="AF141" s="13">
        <f t="shared" si="27"/>
        <v>1.1525697571705879E-5</v>
      </c>
      <c r="AG141" s="13">
        <f t="shared" si="28"/>
        <v>1.1525697571705879E-5</v>
      </c>
      <c r="AH141" s="10"/>
      <c r="AI141" s="13">
        <f t="shared" si="22"/>
        <v>5.7430122162448149E-12</v>
      </c>
      <c r="AJ141" s="10"/>
      <c r="AK141" s="10"/>
      <c r="AL141" s="10"/>
      <c r="AM141" s="10"/>
      <c r="AN141" s="10"/>
    </row>
    <row r="142" spans="19:40">
      <c r="S142" s="10"/>
      <c r="T142" s="12">
        <v>136</v>
      </c>
      <c r="U142" s="13">
        <f t="shared" si="23"/>
        <v>0.26032172362577077</v>
      </c>
      <c r="V142" s="13">
        <f t="shared" si="29"/>
        <v>1.0437100696511946E-10</v>
      </c>
      <c r="W142" s="13">
        <f t="shared" si="30"/>
        <v>1.0437100696511946E-10</v>
      </c>
      <c r="X142" s="13">
        <v>0</v>
      </c>
      <c r="Y142" s="13">
        <v>0</v>
      </c>
      <c r="Z142" s="13">
        <v>0</v>
      </c>
      <c r="AA142" s="13">
        <f t="shared" si="31"/>
        <v>0.22861624327613062</v>
      </c>
      <c r="AB142" s="13">
        <f t="shared" si="32"/>
        <v>659.77138375661946</v>
      </c>
      <c r="AC142" s="13">
        <f t="shared" si="24"/>
        <v>660</v>
      </c>
      <c r="AD142" s="13">
        <f t="shared" si="25"/>
        <v>0.34884016303062998</v>
      </c>
      <c r="AE142" s="13">
        <f t="shared" si="26"/>
        <v>2.8865687295517881E-5</v>
      </c>
      <c r="AF142" s="13">
        <f t="shared" si="27"/>
        <v>1.0768238567222092E-5</v>
      </c>
      <c r="AG142" s="13">
        <f t="shared" si="28"/>
        <v>1.0768238567222092E-5</v>
      </c>
      <c r="AH142" s="10"/>
      <c r="AI142" s="13">
        <f t="shared" si="22"/>
        <v>4.4282376721509355E-12</v>
      </c>
      <c r="AJ142" s="10"/>
      <c r="AK142" s="10"/>
      <c r="AL142" s="10"/>
      <c r="AM142" s="10"/>
      <c r="AN142" s="10"/>
    </row>
    <row r="143" spans="19:40">
      <c r="S143" s="10"/>
      <c r="T143" s="12">
        <v>137</v>
      </c>
      <c r="U143" s="13">
        <f t="shared" si="23"/>
        <v>0.26099816951158644</v>
      </c>
      <c r="V143" s="13">
        <f t="shared" si="29"/>
        <v>7.7112063411666608E-11</v>
      </c>
      <c r="W143" s="13">
        <f t="shared" si="30"/>
        <v>7.7112063411666608E-11</v>
      </c>
      <c r="X143" s="13">
        <v>0</v>
      </c>
      <c r="Y143" s="13">
        <v>0</v>
      </c>
      <c r="Z143" s="13">
        <v>0</v>
      </c>
      <c r="AA143" s="13">
        <f t="shared" si="31"/>
        <v>0.21422306134717548</v>
      </c>
      <c r="AB143" s="13">
        <f t="shared" si="32"/>
        <v>659.78577693857562</v>
      </c>
      <c r="AC143" s="13">
        <f t="shared" si="24"/>
        <v>659.99999999999989</v>
      </c>
      <c r="AD143" s="13">
        <f t="shared" si="25"/>
        <v>0.32591468529701062</v>
      </c>
      <c r="AE143" s="13">
        <f t="shared" si="26"/>
        <v>2.704836634145045E-5</v>
      </c>
      <c r="AF143" s="13">
        <f t="shared" si="27"/>
        <v>1.006055912188514E-5</v>
      </c>
      <c r="AG143" s="13">
        <f t="shared" si="28"/>
        <v>1.0060559121885139E-5</v>
      </c>
      <c r="AH143" s="10"/>
      <c r="AI143" s="13">
        <f t="shared" si="22"/>
        <v>3.4121461914837281E-12</v>
      </c>
      <c r="AJ143" s="10"/>
      <c r="AK143" s="10"/>
      <c r="AL143" s="10"/>
      <c r="AM143" s="10"/>
      <c r="AN143" s="10"/>
    </row>
    <row r="144" spans="19:40">
      <c r="S144" s="10"/>
      <c r="T144" s="12">
        <v>138</v>
      </c>
      <c r="U144" s="13">
        <f t="shared" si="23"/>
        <v>0.26167143435175166</v>
      </c>
      <c r="V144" s="13">
        <f t="shared" si="29"/>
        <v>5.6920517329220724E-11</v>
      </c>
      <c r="W144" s="13">
        <f t="shared" si="30"/>
        <v>5.6920517329220724E-11</v>
      </c>
      <c r="X144" s="13">
        <v>0</v>
      </c>
      <c r="Y144" s="13">
        <v>0</v>
      </c>
      <c r="Z144" s="13">
        <v>0</v>
      </c>
      <c r="AA144" s="13">
        <f t="shared" si="31"/>
        <v>0.20073604287296326</v>
      </c>
      <c r="AB144" s="13">
        <f t="shared" si="32"/>
        <v>659.79926395707002</v>
      </c>
      <c r="AC144" s="13">
        <f t="shared" si="24"/>
        <v>659.99999999999989</v>
      </c>
      <c r="AD144" s="13">
        <f t="shared" si="25"/>
        <v>0.30449585039879146</v>
      </c>
      <c r="AE144" s="13">
        <f t="shared" si="26"/>
        <v>2.5345459965894419E-5</v>
      </c>
      <c r="AF144" s="13">
        <f t="shared" si="27"/>
        <v>9.3993877655526362E-6</v>
      </c>
      <c r="AG144" s="13">
        <f t="shared" si="28"/>
        <v>9.3993877655526345E-6</v>
      </c>
      <c r="AH144" s="10"/>
      <c r="AI144" s="13">
        <f t="shared" si="22"/>
        <v>2.6274305975666913E-12</v>
      </c>
      <c r="AJ144" s="10"/>
      <c r="AK144" s="10"/>
      <c r="AL144" s="10"/>
      <c r="AM144" s="10"/>
      <c r="AN144" s="10"/>
    </row>
    <row r="145" spans="19:40">
      <c r="S145" s="10"/>
      <c r="T145" s="12">
        <v>139</v>
      </c>
      <c r="U145" s="13">
        <f t="shared" si="23"/>
        <v>0.2623415559949594</v>
      </c>
      <c r="V145" s="13">
        <f t="shared" si="29"/>
        <v>4.1977919052674946E-11</v>
      </c>
      <c r="W145" s="13">
        <f t="shared" si="30"/>
        <v>4.1977919052674946E-11</v>
      </c>
      <c r="X145" s="13">
        <v>0</v>
      </c>
      <c r="Y145" s="13">
        <v>0</v>
      </c>
      <c r="Z145" s="13">
        <v>0</v>
      </c>
      <c r="AA145" s="13">
        <f t="shared" si="31"/>
        <v>0.18809813777304554</v>
      </c>
      <c r="AB145" s="13">
        <f t="shared" si="32"/>
        <v>659.81190186218487</v>
      </c>
      <c r="AC145" s="13">
        <f t="shared" si="24"/>
        <v>659.99999999999989</v>
      </c>
      <c r="AD145" s="13">
        <f t="shared" si="25"/>
        <v>0.28448464305215232</v>
      </c>
      <c r="AE145" s="13">
        <f t="shared" si="26"/>
        <v>2.3749764875634281E-5</v>
      </c>
      <c r="AF145" s="13">
        <f t="shared" si="27"/>
        <v>8.7816680263106764E-6</v>
      </c>
      <c r="AG145" s="13">
        <f t="shared" si="28"/>
        <v>8.7816680263106747E-6</v>
      </c>
      <c r="AH145" s="10"/>
      <c r="AI145" s="13">
        <f t="shared" si="22"/>
        <v>2.0218231502836633E-12</v>
      </c>
      <c r="AJ145" s="10"/>
      <c r="AK145" s="10"/>
      <c r="AL145" s="10"/>
      <c r="AM145" s="10"/>
      <c r="AN145" s="10"/>
    </row>
    <row r="146" spans="19:40">
      <c r="S146" s="10"/>
      <c r="T146" s="12">
        <v>140</v>
      </c>
      <c r="U146" s="13">
        <f t="shared" si="23"/>
        <v>0.26300857157113389</v>
      </c>
      <c r="V146" s="13">
        <f t="shared" si="29"/>
        <v>3.0930005564510242E-11</v>
      </c>
      <c r="W146" s="13">
        <f t="shared" si="30"/>
        <v>3.0930005564510242E-11</v>
      </c>
      <c r="X146" s="13">
        <v>0</v>
      </c>
      <c r="Y146" s="13">
        <v>0</v>
      </c>
      <c r="Z146" s="13">
        <v>0</v>
      </c>
      <c r="AA146" s="13">
        <f t="shared" si="31"/>
        <v>0.17625588771562084</v>
      </c>
      <c r="AB146" s="13">
        <f t="shared" si="32"/>
        <v>659.82374411225328</v>
      </c>
      <c r="AC146" s="13">
        <f t="shared" si="24"/>
        <v>659.99999999999989</v>
      </c>
      <c r="AD146" s="13">
        <f t="shared" si="25"/>
        <v>0.26578855517395544</v>
      </c>
      <c r="AE146" s="13">
        <f t="shared" si="26"/>
        <v>2.2254531281130164E-5</v>
      </c>
      <c r="AF146" s="13">
        <f t="shared" si="27"/>
        <v>8.2045443009728607E-6</v>
      </c>
      <c r="AG146" s="13">
        <f t="shared" si="28"/>
        <v>8.204544300972859E-6</v>
      </c>
      <c r="AH146" s="10"/>
      <c r="AI146" s="13">
        <f t="shared" si="22"/>
        <v>1.5547648819984915E-12</v>
      </c>
      <c r="AJ146" s="10"/>
      <c r="AK146" s="10"/>
      <c r="AL146" s="10"/>
      <c r="AM146" s="10"/>
      <c r="AN146" s="10"/>
    </row>
    <row r="147" spans="19:40">
      <c r="S147" s="10"/>
      <c r="T147" s="12">
        <v>141</v>
      </c>
      <c r="U147" s="13">
        <f t="shared" si="23"/>
        <v>0.26367251751010579</v>
      </c>
      <c r="V147" s="13">
        <f t="shared" si="29"/>
        <v>2.2769189456620626E-11</v>
      </c>
      <c r="W147" s="13">
        <f t="shared" si="30"/>
        <v>2.2769189456620626E-11</v>
      </c>
      <c r="X147" s="13">
        <v>0</v>
      </c>
      <c r="Y147" s="13">
        <v>0</v>
      </c>
      <c r="Z147" s="13">
        <v>0</v>
      </c>
      <c r="AA147" s="13">
        <f t="shared" si="31"/>
        <v>0.16515919998896111</v>
      </c>
      <c r="AB147" s="13">
        <f t="shared" si="32"/>
        <v>659.83484079998811</v>
      </c>
      <c r="AC147" s="13">
        <f t="shared" si="24"/>
        <v>659.99999999999989</v>
      </c>
      <c r="AD147" s="13">
        <f t="shared" si="25"/>
        <v>0.24832115823387818</v>
      </c>
      <c r="AE147" s="13">
        <f t="shared" si="26"/>
        <v>2.0853434344915447E-5</v>
      </c>
      <c r="AF147" s="13">
        <f t="shared" si="27"/>
        <v>7.6653486541583196E-6</v>
      </c>
      <c r="AG147" s="13">
        <f t="shared" si="28"/>
        <v>7.6653486541583213E-6</v>
      </c>
      <c r="AH147" s="10"/>
      <c r="AI147" s="13">
        <f t="shared" si="22"/>
        <v>1.1948056474843117E-12</v>
      </c>
      <c r="AJ147" s="10"/>
      <c r="AK147" s="10"/>
      <c r="AL147" s="10"/>
      <c r="AM147" s="10"/>
      <c r="AN147" s="10"/>
    </row>
    <row r="148" spans="19:40">
      <c r="S148" s="10"/>
      <c r="T148" s="12">
        <v>142</v>
      </c>
      <c r="U148" s="13">
        <f t="shared" si="23"/>
        <v>0.26433342955967259</v>
      </c>
      <c r="V148" s="13">
        <f t="shared" si="29"/>
        <v>1.6746538870025329E-11</v>
      </c>
      <c r="W148" s="13">
        <f t="shared" si="30"/>
        <v>1.6746538870025329E-11</v>
      </c>
      <c r="X148" s="13">
        <v>0</v>
      </c>
      <c r="Y148" s="13">
        <v>0</v>
      </c>
      <c r="Z148" s="13">
        <v>0</v>
      </c>
      <c r="AA148" s="13">
        <f t="shared" si="31"/>
        <v>0.15476113560937257</v>
      </c>
      <c r="AB148" s="13">
        <f t="shared" si="32"/>
        <v>659.84523886437375</v>
      </c>
      <c r="AC148" s="13">
        <f t="shared" si="24"/>
        <v>659.99999999999989</v>
      </c>
      <c r="AD148" s="13">
        <f t="shared" si="25"/>
        <v>0.23200170371124737</v>
      </c>
      <c r="AE148" s="13">
        <f t="shared" si="26"/>
        <v>1.9540547427540296E-5</v>
      </c>
      <c r="AF148" s="13">
        <f t="shared" si="27"/>
        <v>7.1615884849232468E-6</v>
      </c>
      <c r="AG148" s="13">
        <f t="shared" si="28"/>
        <v>7.1615884849232476E-6</v>
      </c>
      <c r="AH148" s="10"/>
      <c r="AI148" s="13">
        <f t="shared" si="22"/>
        <v>9.1757616321597311E-13</v>
      </c>
      <c r="AJ148" s="10"/>
      <c r="AK148" s="10"/>
      <c r="AL148" s="10"/>
      <c r="AM148" s="10"/>
      <c r="AN148" s="10"/>
    </row>
    <row r="149" spans="19:40">
      <c r="S149" s="10"/>
      <c r="T149" s="12">
        <v>143</v>
      </c>
      <c r="U149" s="13">
        <f t="shared" si="23"/>
        <v>0.26499134280307085</v>
      </c>
      <c r="V149" s="13">
        <f t="shared" si="29"/>
        <v>1.2305914489109052E-11</v>
      </c>
      <c r="W149" s="13">
        <f t="shared" si="30"/>
        <v>1.2305914489109052E-11</v>
      </c>
      <c r="X149" s="13">
        <v>0</v>
      </c>
      <c r="Y149" s="13">
        <v>0</v>
      </c>
      <c r="Z149" s="13">
        <v>0</v>
      </c>
      <c r="AA149" s="13">
        <f t="shared" si="31"/>
        <v>0.14501771076939651</v>
      </c>
      <c r="AB149" s="13">
        <f t="shared" si="32"/>
        <v>659.85498228921813</v>
      </c>
      <c r="AC149" s="13">
        <f t="shared" si="24"/>
        <v>659.99999999999989</v>
      </c>
      <c r="AD149" s="13">
        <f t="shared" si="25"/>
        <v>0.21675474980954507</v>
      </c>
      <c r="AE149" s="13">
        <f t="shared" si="26"/>
        <v>1.8310317017891724E-5</v>
      </c>
      <c r="AF149" s="13">
        <f t="shared" si="27"/>
        <v>6.6909350039309568E-6</v>
      </c>
      <c r="AG149" s="13">
        <f t="shared" si="28"/>
        <v>6.6909350039309568E-6</v>
      </c>
      <c r="AH149" s="10"/>
      <c r="AI149" s="13">
        <f t="shared" si="22"/>
        <v>7.0420742709905836E-13</v>
      </c>
      <c r="AJ149" s="10"/>
      <c r="AK149" s="10"/>
      <c r="AL149" s="10"/>
      <c r="AM149" s="10"/>
      <c r="AN149" s="10"/>
    </row>
    <row r="150" spans="19:40">
      <c r="S150" s="10"/>
      <c r="T150" s="12">
        <v>144</v>
      </c>
      <c r="U150" s="13">
        <f t="shared" si="23"/>
        <v>0.26564629167588133</v>
      </c>
      <c r="V150" s="13">
        <f t="shared" si="29"/>
        <v>9.0347360584524939E-12</v>
      </c>
      <c r="W150" s="13">
        <f t="shared" si="30"/>
        <v>9.0347360584524939E-12</v>
      </c>
      <c r="X150" s="13">
        <v>0</v>
      </c>
      <c r="Y150" s="13">
        <v>0</v>
      </c>
      <c r="Z150" s="13">
        <v>0</v>
      </c>
      <c r="AA150" s="13">
        <f t="shared" si="31"/>
        <v>0.13588771078638362</v>
      </c>
      <c r="AB150" s="13">
        <f t="shared" si="32"/>
        <v>659.8641122892044</v>
      </c>
      <c r="AC150" s="13">
        <f t="shared" si="24"/>
        <v>659.99999999999977</v>
      </c>
      <c r="AD150" s="13">
        <f t="shared" si="25"/>
        <v>0.20250981270294696</v>
      </c>
      <c r="AE150" s="13">
        <f t="shared" si="26"/>
        <v>1.7157539241845758E-5</v>
      </c>
      <c r="AF150" s="13">
        <f t="shared" si="27"/>
        <v>6.251212467892644E-6</v>
      </c>
      <c r="AG150" s="13">
        <f t="shared" si="28"/>
        <v>6.251212467892644E-6</v>
      </c>
      <c r="AH150" s="10"/>
      <c r="AI150" s="13">
        <f t="shared" si="22"/>
        <v>5.4009977481859043E-13</v>
      </c>
      <c r="AJ150" s="10"/>
      <c r="AK150" s="10"/>
      <c r="AL150" s="10"/>
      <c r="AM150" s="10"/>
      <c r="AN150" s="10"/>
    </row>
    <row r="151" spans="19:40">
      <c r="S151" s="10"/>
      <c r="T151" s="12">
        <v>145</v>
      </c>
      <c r="U151" s="13">
        <f t="shared" si="23"/>
        <v>0.26629830998238935</v>
      </c>
      <c r="V151" s="13">
        <f t="shared" si="29"/>
        <v>6.6272168454673506E-12</v>
      </c>
      <c r="W151" s="13">
        <f t="shared" si="30"/>
        <v>6.6272168454673506E-12</v>
      </c>
      <c r="X151" s="13">
        <v>0</v>
      </c>
      <c r="Y151" s="13">
        <v>0</v>
      </c>
      <c r="Z151" s="13">
        <v>0</v>
      </c>
      <c r="AA151" s="13">
        <f t="shared" si="31"/>
        <v>0.12733251576444923</v>
      </c>
      <c r="AB151" s="13">
        <f t="shared" si="32"/>
        <v>659.87266748422871</v>
      </c>
      <c r="AC151" s="13">
        <f t="shared" si="24"/>
        <v>659.99999999999977</v>
      </c>
      <c r="AD151" s="13">
        <f t="shared" si="25"/>
        <v>0.18920104070266075</v>
      </c>
      <c r="AE151" s="13">
        <f t="shared" si="26"/>
        <v>1.6077337849883397E-5</v>
      </c>
      <c r="AF151" s="13">
        <f t="shared" si="27"/>
        <v>5.8403881215115474E-6</v>
      </c>
      <c r="AG151" s="13">
        <f t="shared" si="28"/>
        <v>5.8403881215115482E-6</v>
      </c>
      <c r="AH151" s="10"/>
      <c r="AI151" s="13">
        <f t="shared" si="22"/>
        <v>4.1396496598606668E-13</v>
      </c>
      <c r="AJ151" s="10"/>
      <c r="AK151" s="10"/>
      <c r="AL151" s="10"/>
      <c r="AM151" s="10"/>
      <c r="AN151" s="10"/>
    </row>
    <row r="152" spans="19:40">
      <c r="S152" s="10"/>
      <c r="T152" s="12">
        <v>146</v>
      </c>
      <c r="U152" s="13">
        <f t="shared" si="23"/>
        <v>0.26694743091142342</v>
      </c>
      <c r="V152" s="13">
        <f t="shared" si="29"/>
        <v>4.8569362310869882E-12</v>
      </c>
      <c r="W152" s="13">
        <f t="shared" si="30"/>
        <v>4.8569362310869882E-12</v>
      </c>
      <c r="X152" s="13">
        <v>0</v>
      </c>
      <c r="Y152" s="13">
        <v>0</v>
      </c>
      <c r="Z152" s="13">
        <v>0</v>
      </c>
      <c r="AA152" s="13">
        <f t="shared" si="31"/>
        <v>0.11931593723236385</v>
      </c>
      <c r="AB152" s="13">
        <f t="shared" si="32"/>
        <v>659.88068406276261</v>
      </c>
      <c r="AC152" s="13">
        <f t="shared" si="24"/>
        <v>659.99999999999989</v>
      </c>
      <c r="AD152" s="13">
        <f t="shared" si="25"/>
        <v>0.17676690983679</v>
      </c>
      <c r="AE152" s="13">
        <f t="shared" si="26"/>
        <v>1.5065143590558183E-5</v>
      </c>
      <c r="AF152" s="13">
        <f t="shared" si="27"/>
        <v>5.4565628004340266E-6</v>
      </c>
      <c r="AG152" s="13">
        <f t="shared" si="28"/>
        <v>5.4565628004340258E-6</v>
      </c>
      <c r="AH152" s="10"/>
      <c r="AI152" s="13">
        <f t="shared" si="22"/>
        <v>3.1708130907554855E-13</v>
      </c>
      <c r="AJ152" s="10"/>
      <c r="AK152" s="10"/>
      <c r="AL152" s="10"/>
      <c r="AM152" s="10"/>
      <c r="AN152" s="10"/>
    </row>
    <row r="153" spans="19:40">
      <c r="S153" s="10"/>
      <c r="T153" s="12">
        <v>147</v>
      </c>
      <c r="U153" s="13">
        <f t="shared" si="23"/>
        <v>0.2675936870516899</v>
      </c>
      <c r="V153" s="13">
        <f t="shared" si="29"/>
        <v>3.5563990781384335E-12</v>
      </c>
      <c r="W153" s="13">
        <f t="shared" si="30"/>
        <v>3.5563990781384335E-12</v>
      </c>
      <c r="X153" s="13">
        <v>0</v>
      </c>
      <c r="Y153" s="13">
        <v>0</v>
      </c>
      <c r="Z153" s="13">
        <v>0</v>
      </c>
      <c r="AA153" s="13">
        <f t="shared" si="31"/>
        <v>0.11180406506636004</v>
      </c>
      <c r="AB153" s="13">
        <f t="shared" si="32"/>
        <v>659.88819593492997</v>
      </c>
      <c r="AC153" s="13">
        <f t="shared" si="24"/>
        <v>659.99999999999989</v>
      </c>
      <c r="AD153" s="13">
        <f t="shared" si="25"/>
        <v>0.16514993943644091</v>
      </c>
      <c r="AE153" s="13">
        <f t="shared" si="26"/>
        <v>1.4116674882565209E-5</v>
      </c>
      <c r="AF153" s="13">
        <f t="shared" si="27"/>
        <v>5.0979621517667069E-6</v>
      </c>
      <c r="AG153" s="13">
        <f t="shared" si="28"/>
        <v>5.0979621517667069E-6</v>
      </c>
      <c r="AH153" s="10"/>
      <c r="AI153" s="13">
        <f t="shared" si="22"/>
        <v>2.4271488461401195E-13</v>
      </c>
      <c r="AJ153" s="10"/>
      <c r="AK153" s="10"/>
      <c r="AL153" s="10"/>
      <c r="AM153" s="10"/>
      <c r="AN153" s="10"/>
    </row>
    <row r="154" spans="19:40">
      <c r="S154" s="10"/>
      <c r="T154" s="12">
        <v>148</v>
      </c>
      <c r="U154" s="13">
        <f t="shared" si="23"/>
        <v>0.26823711040662446</v>
      </c>
      <c r="V154" s="13">
        <f t="shared" si="29"/>
        <v>2.6018172401631297E-12</v>
      </c>
      <c r="W154" s="13">
        <f t="shared" si="30"/>
        <v>2.6018172401631297E-12</v>
      </c>
      <c r="X154" s="13">
        <v>0</v>
      </c>
      <c r="Y154" s="13">
        <v>0</v>
      </c>
      <c r="Z154" s="13">
        <v>0</v>
      </c>
      <c r="AA154" s="13">
        <f t="shared" si="31"/>
        <v>0.10476512405034169</v>
      </c>
      <c r="AB154" s="13">
        <f t="shared" si="32"/>
        <v>659.89523487594693</v>
      </c>
      <c r="AC154" s="13">
        <f t="shared" si="24"/>
        <v>659.99999999999989</v>
      </c>
      <c r="AD154" s="13">
        <f t="shared" si="25"/>
        <v>0.15429642641327609</v>
      </c>
      <c r="AE154" s="13">
        <f t="shared" si="26"/>
        <v>1.3227919703654487E-5</v>
      </c>
      <c r="AF154" s="13">
        <f t="shared" si="27"/>
        <v>4.7629284315737709E-6</v>
      </c>
      <c r="AG154" s="13">
        <f t="shared" si="28"/>
        <v>4.7629284315737717E-6</v>
      </c>
      <c r="AH154" s="10"/>
      <c r="AI154" s="13">
        <f t="shared" si="22"/>
        <v>1.8567016751657917E-13</v>
      </c>
      <c r="AJ154" s="10"/>
      <c r="AK154" s="10"/>
      <c r="AL154" s="10"/>
      <c r="AM154" s="10"/>
      <c r="AN154" s="10"/>
    </row>
    <row r="155" spans="19:40">
      <c r="S155" s="10"/>
      <c r="T155" s="12">
        <v>149</v>
      </c>
      <c r="U155" s="13">
        <f t="shared" si="23"/>
        <v>0.2688777324087786</v>
      </c>
      <c r="V155" s="13">
        <f t="shared" si="29"/>
        <v>1.9017902836213686E-12</v>
      </c>
      <c r="W155" s="13">
        <f t="shared" si="30"/>
        <v>1.9017902836213686E-12</v>
      </c>
      <c r="X155" s="13">
        <v>0</v>
      </c>
      <c r="Y155" s="13">
        <v>0</v>
      </c>
      <c r="Z155" s="13">
        <v>0</v>
      </c>
      <c r="AA155" s="13">
        <f t="shared" si="31"/>
        <v>9.8169339466746899E-2</v>
      </c>
      <c r="AB155" s="13">
        <f t="shared" si="32"/>
        <v>659.90183066053123</v>
      </c>
      <c r="AC155" s="13">
        <f t="shared" si="24"/>
        <v>659.99999999999989</v>
      </c>
      <c r="AD155" s="13">
        <f t="shared" si="25"/>
        <v>0.14415619700012702</v>
      </c>
      <c r="AE155" s="13">
        <f t="shared" si="26"/>
        <v>1.2395118619778876E-5</v>
      </c>
      <c r="AF155" s="13">
        <f t="shared" si="27"/>
        <v>4.4499128414357542E-6</v>
      </c>
      <c r="AG155" s="13">
        <f t="shared" si="28"/>
        <v>4.4499128414357534E-6</v>
      </c>
      <c r="AH155" s="10"/>
      <c r="AI155" s="13">
        <f t="shared" si="22"/>
        <v>1.4194137966219053E-13</v>
      </c>
      <c r="AJ155" s="10"/>
      <c r="AK155" s="10"/>
      <c r="AL155" s="10"/>
      <c r="AM155" s="10"/>
      <c r="AN155" s="10"/>
    </row>
    <row r="156" spans="19:40">
      <c r="S156" s="10"/>
      <c r="T156" s="12">
        <v>150</v>
      </c>
      <c r="U156" s="13">
        <f t="shared" si="23"/>
        <v>0.26951558393375774</v>
      </c>
      <c r="V156" s="13">
        <f t="shared" si="29"/>
        <v>1.3888946798831541E-12</v>
      </c>
      <c r="W156" s="13">
        <f t="shared" si="30"/>
        <v>1.3888946798831541E-12</v>
      </c>
      <c r="X156" s="13">
        <v>0</v>
      </c>
      <c r="Y156" s="13">
        <v>0</v>
      </c>
      <c r="Z156" s="13">
        <v>0</v>
      </c>
      <c r="AA156" s="13">
        <f t="shared" si="31"/>
        <v>9.1988811149515182E-2</v>
      </c>
      <c r="AB156" s="13">
        <f t="shared" si="32"/>
        <v>659.90801118884895</v>
      </c>
      <c r="AC156" s="13">
        <f t="shared" si="24"/>
        <v>659.99999999999989</v>
      </c>
      <c r="AD156" s="13">
        <f t="shared" si="25"/>
        <v>0.13468237480700618</v>
      </c>
      <c r="AE156" s="13">
        <f t="shared" si="26"/>
        <v>1.1614748882689911E-5</v>
      </c>
      <c r="AF156" s="13">
        <f t="shared" si="27"/>
        <v>4.1574683686431742E-6</v>
      </c>
      <c r="AG156" s="13">
        <f t="shared" si="28"/>
        <v>4.157468368643175E-6</v>
      </c>
      <c r="AH156" s="10"/>
      <c r="AI156" s="13">
        <f t="shared" si="22"/>
        <v>1.0844219492207266E-13</v>
      </c>
      <c r="AJ156" s="10"/>
      <c r="AK156" s="10"/>
      <c r="AL156" s="10"/>
      <c r="AM156" s="10"/>
      <c r="AN156" s="10"/>
    </row>
    <row r="157" spans="19:40">
      <c r="S157" s="10"/>
      <c r="T157" s="12">
        <v>151</v>
      </c>
      <c r="U157" s="13">
        <f t="shared" si="23"/>
        <v>0.27015069531372998</v>
      </c>
      <c r="V157" s="13">
        <f t="shared" si="29"/>
        <v>1.0134402693295855E-12</v>
      </c>
      <c r="W157" s="13">
        <f t="shared" si="30"/>
        <v>1.0134402693295855E-12</v>
      </c>
      <c r="X157" s="13">
        <v>0</v>
      </c>
      <c r="Y157" s="13">
        <v>0</v>
      </c>
      <c r="Z157" s="13">
        <v>0</v>
      </c>
      <c r="AA157" s="13">
        <f t="shared" si="31"/>
        <v>8.6197395466404092E-2</v>
      </c>
      <c r="AB157" s="13">
        <f t="shared" si="32"/>
        <v>659.91380260453241</v>
      </c>
      <c r="AC157" s="13">
        <f t="shared" si="24"/>
        <v>659.99999999999977</v>
      </c>
      <c r="AD157" s="13">
        <f t="shared" si="25"/>
        <v>0.12583116412028378</v>
      </c>
      <c r="AE157" s="13">
        <f t="shared" si="26"/>
        <v>1.0883509528714338E-5</v>
      </c>
      <c r="AF157" s="13">
        <f t="shared" si="27"/>
        <v>3.8842430969265309E-6</v>
      </c>
      <c r="AG157" s="13">
        <f t="shared" si="28"/>
        <v>3.8842430969265317E-6</v>
      </c>
      <c r="AH157" s="10"/>
      <c r="AI157" s="13">
        <f t="shared" si="22"/>
        <v>8.2796343401285294E-14</v>
      </c>
      <c r="AJ157" s="10"/>
      <c r="AK157" s="10"/>
      <c r="AL157" s="10"/>
      <c r="AM157" s="10"/>
      <c r="AN157" s="10"/>
    </row>
    <row r="158" spans="19:40">
      <c r="S158" s="10"/>
      <c r="T158" s="12">
        <v>152</v>
      </c>
      <c r="U158" s="13">
        <f t="shared" si="23"/>
        <v>0.27078309635051828</v>
      </c>
      <c r="V158" s="13">
        <f t="shared" si="29"/>
        <v>7.3884006528448144E-13</v>
      </c>
      <c r="W158" s="13">
        <f t="shared" si="30"/>
        <v>7.3884006528448144E-13</v>
      </c>
      <c r="X158" s="13">
        <v>0</v>
      </c>
      <c r="Y158" s="13">
        <v>0</v>
      </c>
      <c r="Z158" s="13">
        <v>0</v>
      </c>
      <c r="AA158" s="13">
        <f t="shared" si="31"/>
        <v>8.0770594731441103E-2</v>
      </c>
      <c r="AB158" s="13">
        <f t="shared" si="32"/>
        <v>659.91922940526763</v>
      </c>
      <c r="AC158" s="13">
        <f t="shared" si="24"/>
        <v>659.99999999999977</v>
      </c>
      <c r="AD158" s="13">
        <f t="shared" si="25"/>
        <v>0.11756164744325995</v>
      </c>
      <c r="AE158" s="13">
        <f t="shared" si="26"/>
        <v>1.0198307415679289E-5</v>
      </c>
      <c r="AF158" s="13">
        <f t="shared" si="27"/>
        <v>3.6289739567994266E-6</v>
      </c>
      <c r="AG158" s="13">
        <f t="shared" si="28"/>
        <v>3.6289739567994266E-6</v>
      </c>
      <c r="AH158" s="10"/>
      <c r="AI158" s="13">
        <f t="shared" si="22"/>
        <v>6.3175513289830913E-14</v>
      </c>
      <c r="AJ158" s="10"/>
      <c r="AK158" s="10"/>
      <c r="AL158" s="10"/>
      <c r="AM158" s="10"/>
      <c r="AN158" s="10"/>
    </row>
    <row r="159" spans="19:40">
      <c r="S159" s="10"/>
      <c r="T159" s="12">
        <v>153</v>
      </c>
      <c r="U159" s="13">
        <f t="shared" si="23"/>
        <v>0.27141281632829495</v>
      </c>
      <c r="V159" s="13">
        <f t="shared" si="29"/>
        <v>5.3817984441214561E-13</v>
      </c>
      <c r="W159" s="13">
        <f t="shared" si="30"/>
        <v>5.3817984441214561E-13</v>
      </c>
      <c r="X159" s="13">
        <v>0</v>
      </c>
      <c r="Y159" s="13">
        <v>0</v>
      </c>
      <c r="Z159" s="13">
        <v>0</v>
      </c>
      <c r="AA159" s="13">
        <f t="shared" si="31"/>
        <v>7.5685453579726114E-2</v>
      </c>
      <c r="AB159" s="13">
        <f t="shared" si="32"/>
        <v>659.92431454641951</v>
      </c>
      <c r="AC159" s="13">
        <f t="shared" si="24"/>
        <v>659.99999999999977</v>
      </c>
      <c r="AD159" s="13">
        <f t="shared" si="25"/>
        <v>0.10983559634220014</v>
      </c>
      <c r="AE159" s="13">
        <f t="shared" si="26"/>
        <v>9.5562441389222638E-6</v>
      </c>
      <c r="AF159" s="13">
        <f t="shared" si="27"/>
        <v>3.3904808866238176E-6</v>
      </c>
      <c r="AG159" s="13">
        <f t="shared" si="28"/>
        <v>3.3904808866238176E-6</v>
      </c>
      <c r="AH159" s="10"/>
      <c r="AI159" s="13">
        <f t="shared" si="22"/>
        <v>4.8173958721880479E-14</v>
      </c>
      <c r="AJ159" s="10"/>
      <c r="AK159" s="10"/>
      <c r="AL159" s="10"/>
      <c r="AM159" s="10"/>
      <c r="AN159" s="10"/>
    </row>
    <row r="160" spans="19:40">
      <c r="S160" s="10"/>
      <c r="T160" s="12">
        <v>154</v>
      </c>
      <c r="U160" s="13">
        <f t="shared" si="23"/>
        <v>0.27203988402589069</v>
      </c>
      <c r="V160" s="13">
        <f t="shared" si="29"/>
        <v>3.9167909041893184E-13</v>
      </c>
      <c r="W160" s="13">
        <f t="shared" si="30"/>
        <v>3.9167909041893184E-13</v>
      </c>
      <c r="X160" s="13">
        <v>0</v>
      </c>
      <c r="Y160" s="13">
        <v>0</v>
      </c>
      <c r="Z160" s="13">
        <v>0</v>
      </c>
      <c r="AA160" s="13">
        <f t="shared" si="31"/>
        <v>7.0920461866250284E-2</v>
      </c>
      <c r="AB160" s="13">
        <f t="shared" si="32"/>
        <v>659.92907953813312</v>
      </c>
      <c r="AC160" s="13">
        <f t="shared" si="24"/>
        <v>659.99999999999977</v>
      </c>
      <c r="AD160" s="13">
        <f t="shared" si="25"/>
        <v>0.10261729472340834</v>
      </c>
      <c r="AE160" s="13">
        <f t="shared" si="26"/>
        <v>8.9546037710406551E-6</v>
      </c>
      <c r="AF160" s="13">
        <f t="shared" si="27"/>
        <v>3.1676613774050725E-6</v>
      </c>
      <c r="AG160" s="13">
        <f t="shared" si="28"/>
        <v>3.1676613774050725E-6</v>
      </c>
      <c r="AH160" s="10"/>
      <c r="AI160" s="13">
        <f t="shared" si="22"/>
        <v>3.6711572398315198E-14</v>
      </c>
      <c r="AJ160" s="10"/>
      <c r="AK160" s="10"/>
      <c r="AL160" s="10"/>
      <c r="AM160" s="10"/>
      <c r="AN160" s="10"/>
    </row>
    <row r="161" spans="19:40">
      <c r="S161" s="10"/>
      <c r="T161" s="12">
        <v>155</v>
      </c>
      <c r="U161" s="13">
        <f t="shared" si="23"/>
        <v>0.27266432772873278</v>
      </c>
      <c r="V161" s="13">
        <f t="shared" si="29"/>
        <v>2.8481349237977281E-13</v>
      </c>
      <c r="W161" s="13">
        <f t="shared" si="30"/>
        <v>2.8481349237977281E-13</v>
      </c>
      <c r="X161" s="13">
        <v>0</v>
      </c>
      <c r="Y161" s="13">
        <v>0</v>
      </c>
      <c r="Z161" s="13">
        <v>0</v>
      </c>
      <c r="AA161" s="13">
        <f t="shared" si="31"/>
        <v>6.6455463677993612E-2</v>
      </c>
      <c r="AB161" s="13">
        <f t="shared" si="32"/>
        <v>659.93354453632151</v>
      </c>
      <c r="AC161" s="13">
        <f t="shared" si="24"/>
        <v>659.99999999999977</v>
      </c>
      <c r="AD161" s="13">
        <f t="shared" si="25"/>
        <v>9.5873373724382052E-2</v>
      </c>
      <c r="AE161" s="13">
        <f t="shared" si="26"/>
        <v>8.3908413735200065E-6</v>
      </c>
      <c r="AF161" s="13">
        <f t="shared" si="27"/>
        <v>2.9594853760984435E-6</v>
      </c>
      <c r="AG161" s="13">
        <f t="shared" si="28"/>
        <v>2.9594853760984435E-6</v>
      </c>
      <c r="AH161" s="10"/>
      <c r="AI161" s="13">
        <f t="shared" si="22"/>
        <v>2.7959015512675186E-14</v>
      </c>
      <c r="AJ161" s="10"/>
      <c r="AK161" s="10"/>
      <c r="AL161" s="10"/>
      <c r="AM161" s="10"/>
      <c r="AN161" s="10"/>
    </row>
    <row r="162" spans="19:40">
      <c r="S162" s="10"/>
      <c r="T162" s="12">
        <v>156</v>
      </c>
      <c r="U162" s="13">
        <f t="shared" si="23"/>
        <v>0.2732861752404272</v>
      </c>
      <c r="V162" s="13">
        <f t="shared" si="29"/>
        <v>2.0692795944565032E-13</v>
      </c>
      <c r="W162" s="13">
        <f t="shared" si="30"/>
        <v>2.0692795944565032E-13</v>
      </c>
      <c r="X162" s="13">
        <v>0</v>
      </c>
      <c r="Y162" s="13">
        <v>0</v>
      </c>
      <c r="Z162" s="13">
        <v>0</v>
      </c>
      <c r="AA162" s="13">
        <f t="shared" si="31"/>
        <v>6.2271572074422694E-2</v>
      </c>
      <c r="AB162" s="13">
        <f t="shared" si="32"/>
        <v>659.93772842792521</v>
      </c>
      <c r="AC162" s="13">
        <f t="shared" si="24"/>
        <v>659.99999999999989</v>
      </c>
      <c r="AD162" s="13">
        <f t="shared" si="25"/>
        <v>8.9572657455779442E-2</v>
      </c>
      <c r="AE162" s="13">
        <f t="shared" si="26"/>
        <v>7.8625722316451558E-6</v>
      </c>
      <c r="AF162" s="13">
        <f t="shared" si="27"/>
        <v>2.7649905238658924E-6</v>
      </c>
      <c r="AG162" s="13">
        <f t="shared" si="28"/>
        <v>2.7649905238658924E-6</v>
      </c>
      <c r="AH162" s="10"/>
      <c r="AI162" s="13">
        <f t="shared" si="22"/>
        <v>2.1279927116592789E-14</v>
      </c>
      <c r="AJ162" s="10"/>
      <c r="AK162" s="10"/>
      <c r="AL162" s="10"/>
      <c r="AM162" s="10"/>
      <c r="AN162" s="10"/>
    </row>
    <row r="163" spans="19:40">
      <c r="S163" s="10"/>
      <c r="T163" s="12">
        <v>157</v>
      </c>
      <c r="U163" s="13">
        <f t="shared" si="23"/>
        <v>0.27390545389399529</v>
      </c>
      <c r="V163" s="13">
        <f t="shared" si="29"/>
        <v>1.5021297731955916E-13</v>
      </c>
      <c r="W163" s="13">
        <f t="shared" si="30"/>
        <v>1.5021297731955916E-13</v>
      </c>
      <c r="X163" s="13">
        <v>0</v>
      </c>
      <c r="Y163" s="13">
        <v>0</v>
      </c>
      <c r="Z163" s="13">
        <v>0</v>
      </c>
      <c r="AA163" s="13">
        <f t="shared" si="31"/>
        <v>5.8351089195741133E-2</v>
      </c>
      <c r="AB163" s="13">
        <f t="shared" si="32"/>
        <v>659.94164891080391</v>
      </c>
      <c r="AC163" s="13">
        <f t="shared" si="24"/>
        <v>659.99999999999977</v>
      </c>
      <c r="AD163" s="13">
        <f t="shared" si="25"/>
        <v>8.3686018881094365E-2</v>
      </c>
      <c r="AE163" s="13">
        <f t="shared" si="26"/>
        <v>7.3675617671580008E-6</v>
      </c>
      <c r="AF163" s="13">
        <f t="shared" si="27"/>
        <v>2.5832777072706135E-6</v>
      </c>
      <c r="AG163" s="13">
        <f t="shared" si="28"/>
        <v>2.5832777072706135E-6</v>
      </c>
      <c r="AH163" s="10"/>
      <c r="AI163" s="13">
        <f t="shared" si="22"/>
        <v>1.618634866492246E-14</v>
      </c>
      <c r="AJ163" s="10"/>
      <c r="AK163" s="10"/>
      <c r="AL163" s="10"/>
      <c r="AM163" s="10"/>
      <c r="AN163" s="10"/>
    </row>
    <row r="164" spans="19:40">
      <c r="S164" s="10"/>
      <c r="T164" s="12">
        <v>158</v>
      </c>
      <c r="U164" s="13">
        <f t="shared" si="23"/>
        <v>0.27452219056278004</v>
      </c>
      <c r="V164" s="13">
        <f t="shared" si="29"/>
        <v>1.0894984141517791E-13</v>
      </c>
      <c r="W164" s="13">
        <f t="shared" si="30"/>
        <v>1.0894984141517791E-13</v>
      </c>
      <c r="X164" s="13">
        <v>0</v>
      </c>
      <c r="Y164" s="13">
        <v>0</v>
      </c>
      <c r="Z164" s="13">
        <v>0</v>
      </c>
      <c r="AA164" s="13">
        <f t="shared" si="31"/>
        <v>5.4677431400950605E-2</v>
      </c>
      <c r="AB164" s="13">
        <f t="shared" si="32"/>
        <v>659.94532256859873</v>
      </c>
      <c r="AC164" s="13">
        <f t="shared" si="24"/>
        <v>659.99999999999977</v>
      </c>
      <c r="AD164" s="13">
        <f t="shared" si="25"/>
        <v>7.8186245167795695E-2</v>
      </c>
      <c r="AE164" s="13">
        <f t="shared" si="26"/>
        <v>6.9037160859923705E-6</v>
      </c>
      <c r="AF164" s="13">
        <f t="shared" si="27"/>
        <v>2.4135069018432567E-6</v>
      </c>
      <c r="AG164" s="13">
        <f t="shared" si="28"/>
        <v>2.4135069018432567E-6</v>
      </c>
      <c r="AH164" s="10"/>
      <c r="AI164" s="13">
        <f t="shared" si="22"/>
        <v>1.2304366249605166E-14</v>
      </c>
      <c r="AJ164" s="10"/>
      <c r="AK164" s="10"/>
      <c r="AL164" s="10"/>
      <c r="AM164" s="10"/>
      <c r="AN164" s="10"/>
    </row>
    <row r="165" spans="19:40">
      <c r="S165" s="10"/>
      <c r="T165" s="12">
        <v>159</v>
      </c>
      <c r="U165" s="13">
        <f t="shared" si="23"/>
        <v>0.27513641167103042</v>
      </c>
      <c r="V165" s="13">
        <f t="shared" si="29"/>
        <v>7.8954668297530376E-14</v>
      </c>
      <c r="W165" s="13">
        <f t="shared" si="30"/>
        <v>7.8954668297530376E-14</v>
      </c>
      <c r="X165" s="13">
        <v>0</v>
      </c>
      <c r="Y165" s="13">
        <v>0</v>
      </c>
      <c r="Z165" s="13">
        <v>0</v>
      </c>
      <c r="AA165" s="13">
        <f t="shared" si="31"/>
        <v>5.1235059119056799E-2</v>
      </c>
      <c r="AB165" s="13">
        <f t="shared" si="32"/>
        <v>659.94876494088066</v>
      </c>
      <c r="AC165" s="13">
        <f t="shared" si="24"/>
        <v>659.99999999999977</v>
      </c>
      <c r="AD165" s="13">
        <f t="shared" si="25"/>
        <v>7.3047911887475475E-2</v>
      </c>
      <c r="AE165" s="13">
        <f t="shared" si="26"/>
        <v>6.4690731211030016E-6</v>
      </c>
      <c r="AF165" s="13">
        <f t="shared" si="27"/>
        <v>2.2548932888054292E-6</v>
      </c>
      <c r="AG165" s="13">
        <f t="shared" si="28"/>
        <v>2.2548932888054297E-6</v>
      </c>
      <c r="AH165" s="10"/>
      <c r="AI165" s="13">
        <f t="shared" si="22"/>
        <v>9.347647144866625E-15</v>
      </c>
      <c r="AJ165" s="10"/>
      <c r="AK165" s="10"/>
      <c r="AL165" s="10"/>
      <c r="AM165" s="10"/>
      <c r="AN165" s="10"/>
    </row>
    <row r="166" spans="19:40">
      <c r="S166" s="10"/>
      <c r="T166" s="12">
        <v>160</v>
      </c>
      <c r="U166" s="13">
        <f t="shared" si="23"/>
        <v>0.27574814320417912</v>
      </c>
      <c r="V166" s="13">
        <f t="shared" si="29"/>
        <v>5.7169220166910484E-14</v>
      </c>
      <c r="W166" s="13">
        <f t="shared" si="30"/>
        <v>5.7169220166910484E-14</v>
      </c>
      <c r="X166" s="13">
        <v>0</v>
      </c>
      <c r="Y166" s="13">
        <v>0</v>
      </c>
      <c r="Z166" s="13">
        <v>0</v>
      </c>
      <c r="AA166" s="13">
        <f t="shared" si="31"/>
        <v>4.8009411116690867E-2</v>
      </c>
      <c r="AB166" s="13">
        <f t="shared" si="32"/>
        <v>659.95199058888306</v>
      </c>
      <c r="AC166" s="13">
        <f t="shared" si="24"/>
        <v>659.99999999999977</v>
      </c>
      <c r="AD166" s="13">
        <f t="shared" si="25"/>
        <v>6.8247265483456318E-2</v>
      </c>
      <c r="AE166" s="13">
        <f t="shared" si="26"/>
        <v>6.0617943329227335E-6</v>
      </c>
      <c r="AF166" s="13">
        <f t="shared" si="27"/>
        <v>2.1067036269988173E-6</v>
      </c>
      <c r="AG166" s="13">
        <f t="shared" si="28"/>
        <v>2.1067036269988178E-6</v>
      </c>
      <c r="AH166" s="10"/>
      <c r="AI166" s="13">
        <f t="shared" si="22"/>
        <v>7.0970711548747239E-15</v>
      </c>
      <c r="AJ166" s="10"/>
      <c r="AK166" s="10"/>
      <c r="AL166" s="10"/>
      <c r="AM166" s="10"/>
      <c r="AN166" s="10"/>
    </row>
    <row r="167" spans="19:40">
      <c r="S167" s="10"/>
      <c r="T167" s="12">
        <v>161</v>
      </c>
      <c r="U167" s="13">
        <f t="shared" si="23"/>
        <v>0.27635741071882119</v>
      </c>
      <c r="V167" s="13">
        <f t="shared" si="29"/>
        <v>4.1360057705581411E-14</v>
      </c>
      <c r="W167" s="13">
        <f t="shared" si="30"/>
        <v>4.1360057705581411E-14</v>
      </c>
      <c r="X167" s="13">
        <v>0</v>
      </c>
      <c r="Y167" s="13">
        <v>0</v>
      </c>
      <c r="Z167" s="13">
        <v>0</v>
      </c>
      <c r="AA167" s="13">
        <f t="shared" si="31"/>
        <v>4.4986842904098441E-2</v>
      </c>
      <c r="AB167" s="13">
        <f t="shared" si="32"/>
        <v>659.95501315709566</v>
      </c>
      <c r="AC167" s="13">
        <f t="shared" si="24"/>
        <v>659.99999999999977</v>
      </c>
      <c r="AD167" s="13">
        <f t="shared" si="25"/>
        <v>6.3762113462527081E-2</v>
      </c>
      <c r="AE167" s="13">
        <f t="shared" si="26"/>
        <v>5.680156932340887E-6</v>
      </c>
      <c r="AF167" s="13">
        <f t="shared" si="27"/>
        <v>1.9682528632480236E-6</v>
      </c>
      <c r="AG167" s="13">
        <f t="shared" si="28"/>
        <v>1.9682528632480236E-6</v>
      </c>
      <c r="AH167" s="10"/>
      <c r="AI167" s="13">
        <f t="shared" si="22"/>
        <v>5.3850640479083322E-15</v>
      </c>
      <c r="AJ167" s="10"/>
      <c r="AK167" s="10"/>
      <c r="AL167" s="10"/>
      <c r="AM167" s="10"/>
      <c r="AN167" s="10"/>
    </row>
    <row r="168" spans="19:40">
      <c r="S168" s="10"/>
      <c r="T168" s="12">
        <v>162</v>
      </c>
      <c r="U168" s="13">
        <f t="shared" si="23"/>
        <v>0.27696423935240516</v>
      </c>
      <c r="V168" s="13">
        <f t="shared" si="29"/>
        <v>2.9897548166928733E-14</v>
      </c>
      <c r="W168" s="13">
        <f t="shared" si="30"/>
        <v>2.9897548166928733E-14</v>
      </c>
      <c r="X168" s="13">
        <v>0</v>
      </c>
      <c r="Y168" s="13">
        <v>0</v>
      </c>
      <c r="Z168" s="13">
        <v>0</v>
      </c>
      <c r="AA168" s="13">
        <f t="shared" si="31"/>
        <v>4.2154569018953772E-2</v>
      </c>
      <c r="AB168" s="13">
        <f t="shared" si="32"/>
        <v>659.9578454309808</v>
      </c>
      <c r="AC168" s="13">
        <f t="shared" si="24"/>
        <v>659.99999999999977</v>
      </c>
      <c r="AD168" s="13">
        <f t="shared" si="25"/>
        <v>5.9571721803184458E-2</v>
      </c>
      <c r="AE168" s="13">
        <f t="shared" si="26"/>
        <v>5.3225465933060214E-6</v>
      </c>
      <c r="AF168" s="13">
        <f t="shared" si="27"/>
        <v>1.8389009654874748E-6</v>
      </c>
      <c r="AG168" s="13">
        <f t="shared" si="28"/>
        <v>1.8389009654874748E-6</v>
      </c>
      <c r="AH168" s="10"/>
      <c r="AI168" s="13">
        <f t="shared" si="22"/>
        <v>4.083555998416882E-15</v>
      </c>
      <c r="AJ168" s="10"/>
      <c r="AK168" s="10"/>
      <c r="AL168" s="10"/>
      <c r="AM168" s="10"/>
      <c r="AN168" s="10"/>
    </row>
    <row r="169" spans="19:40">
      <c r="S169" s="10"/>
      <c r="T169" s="12">
        <v>163</v>
      </c>
      <c r="U169" s="13">
        <f t="shared" si="23"/>
        <v>0.27756865383264812</v>
      </c>
      <c r="V169" s="13">
        <f t="shared" si="29"/>
        <v>2.159368333990714E-14</v>
      </c>
      <c r="W169" s="13">
        <f t="shared" si="30"/>
        <v>2.159368333990714E-14</v>
      </c>
      <c r="X169" s="13">
        <v>0</v>
      </c>
      <c r="Y169" s="13">
        <v>0</v>
      </c>
      <c r="Z169" s="13">
        <v>0</v>
      </c>
      <c r="AA169" s="13">
        <f t="shared" si="31"/>
        <v>3.9500608943859379E-2</v>
      </c>
      <c r="AB169" s="13">
        <f t="shared" si="32"/>
        <v>659.96049939105592</v>
      </c>
      <c r="AC169" s="13">
        <f t="shared" si="24"/>
        <v>659.99999999999977</v>
      </c>
      <c r="AD169" s="13">
        <f t="shared" si="25"/>
        <v>5.565671910611724E-2</v>
      </c>
      <c r="AE169" s="13">
        <f t="shared" si="26"/>
        <v>4.9874506242273976E-6</v>
      </c>
      <c r="AF169" s="13">
        <f t="shared" si="27"/>
        <v>1.7180499640125165E-6</v>
      </c>
      <c r="AG169" s="13">
        <f t="shared" si="28"/>
        <v>1.7180499640125165E-6</v>
      </c>
      <c r="AH169" s="10"/>
      <c r="AI169" s="13">
        <f t="shared" si="22"/>
        <v>3.0947326783562083E-15</v>
      </c>
      <c r="AJ169" s="10"/>
      <c r="AK169" s="10"/>
      <c r="AL169" s="10"/>
      <c r="AM169" s="10"/>
      <c r="AN169" s="10"/>
    </row>
    <row r="170" spans="19:40">
      <c r="S170" s="10"/>
      <c r="T170" s="12">
        <v>164</v>
      </c>
      <c r="U170" s="13">
        <f t="shared" si="23"/>
        <v>0.27817067848668148</v>
      </c>
      <c r="V170" s="13">
        <f t="shared" si="29"/>
        <v>1.5583167273693359E-14</v>
      </c>
      <c r="W170" s="13">
        <f t="shared" si="30"/>
        <v>1.5583167273693359E-14</v>
      </c>
      <c r="X170" s="13">
        <v>0</v>
      </c>
      <c r="Y170" s="13">
        <v>0</v>
      </c>
      <c r="Z170" s="13">
        <v>0</v>
      </c>
      <c r="AA170" s="13">
        <f t="shared" si="31"/>
        <v>3.701373642876242E-2</v>
      </c>
      <c r="AB170" s="13">
        <f t="shared" si="32"/>
        <v>659.962986263571</v>
      </c>
      <c r="AC170" s="13">
        <f t="shared" si="24"/>
        <v>659.99999999999977</v>
      </c>
      <c r="AD170" s="13">
        <f t="shared" si="25"/>
        <v>5.199900704383887E-2</v>
      </c>
      <c r="AE170" s="13">
        <f t="shared" si="26"/>
        <v>4.6734515692901539E-6</v>
      </c>
      <c r="AF170" s="13">
        <f t="shared" si="27"/>
        <v>1.6051411871769641E-6</v>
      </c>
      <c r="AG170" s="13">
        <f t="shared" si="28"/>
        <v>1.6051411871769641E-6</v>
      </c>
      <c r="AH170" s="10"/>
      <c r="AI170" s="13">
        <f t="shared" si="22"/>
        <v>2.3439362306708133E-15</v>
      </c>
      <c r="AJ170" s="10"/>
      <c r="AK170" s="10"/>
      <c r="AL170" s="10"/>
      <c r="AM170" s="10"/>
      <c r="AN170" s="10"/>
    </row>
    <row r="171" spans="19:40">
      <c r="S171" s="10"/>
      <c r="T171" s="12">
        <v>165</v>
      </c>
      <c r="U171" s="13">
        <f t="shared" si="23"/>
        <v>0.27877033724993872</v>
      </c>
      <c r="V171" s="13">
        <f t="shared" si="29"/>
        <v>1.1236309919820332E-14</v>
      </c>
      <c r="W171" s="13">
        <f t="shared" si="30"/>
        <v>1.1236309919820332E-14</v>
      </c>
      <c r="X171" s="13">
        <v>0</v>
      </c>
      <c r="Y171" s="13">
        <v>0</v>
      </c>
      <c r="Z171" s="13">
        <v>0</v>
      </c>
      <c r="AA171" s="13">
        <f t="shared" si="31"/>
        <v>3.4683432003921578E-2</v>
      </c>
      <c r="AB171" s="13">
        <f t="shared" si="32"/>
        <v>659.96531656799584</v>
      </c>
      <c r="AC171" s="13">
        <f t="shared" si="24"/>
        <v>659.99999999999977</v>
      </c>
      <c r="AD171" s="13">
        <f t="shared" si="25"/>
        <v>4.8581676695494083E-2</v>
      </c>
      <c r="AE171" s="13">
        <f t="shared" si="26"/>
        <v>4.3792212126177807E-6</v>
      </c>
      <c r="AF171" s="13">
        <f t="shared" si="27"/>
        <v>1.4996526787582515E-6</v>
      </c>
      <c r="AG171" s="13">
        <f t="shared" si="28"/>
        <v>1.4996526787582515E-6</v>
      </c>
      <c r="AH171" s="10"/>
      <c r="AI171" s="13">
        <f t="shared" si="22"/>
        <v>1.7742201281584447E-15</v>
      </c>
      <c r="AJ171" s="10"/>
      <c r="AK171" s="10"/>
      <c r="AL171" s="10"/>
      <c r="AM171" s="10"/>
      <c r="AN171" s="10"/>
    </row>
    <row r="172" spans="19:40">
      <c r="S172" s="10"/>
      <c r="T172" s="12">
        <v>166</v>
      </c>
      <c r="U172" s="13">
        <f t="shared" si="23"/>
        <v>0.27936765367479405</v>
      </c>
      <c r="V172" s="13">
        <f t="shared" si="29"/>
        <v>8.0952780591500651E-15</v>
      </c>
      <c r="W172" s="13">
        <f t="shared" si="30"/>
        <v>8.0952780591500651E-15</v>
      </c>
      <c r="X172" s="13">
        <v>0</v>
      </c>
      <c r="Y172" s="13">
        <v>0</v>
      </c>
      <c r="Z172" s="13">
        <v>0</v>
      </c>
      <c r="AA172" s="13">
        <f t="shared" si="31"/>
        <v>3.2499838482554361E-2</v>
      </c>
      <c r="AB172" s="13">
        <f t="shared" si="32"/>
        <v>659.96750016151725</v>
      </c>
      <c r="AC172" s="13">
        <f t="shared" si="24"/>
        <v>659.99999999999977</v>
      </c>
      <c r="AD172" s="13">
        <f t="shared" si="25"/>
        <v>4.5388930380070303E-2</v>
      </c>
      <c r="AE172" s="13">
        <f t="shared" si="26"/>
        <v>4.1035149599195037E-6</v>
      </c>
      <c r="AF172" s="13">
        <f t="shared" si="27"/>
        <v>1.401096785051137E-6</v>
      </c>
      <c r="AG172" s="13">
        <f t="shared" si="28"/>
        <v>1.401096785051137E-6</v>
      </c>
      <c r="AH172" s="10"/>
      <c r="AI172" s="13">
        <f t="shared" si="22"/>
        <v>1.3421754561282725E-15</v>
      </c>
      <c r="AJ172" s="10"/>
      <c r="AK172" s="10"/>
      <c r="AL172" s="10"/>
      <c r="AM172" s="10"/>
      <c r="AN172" s="10"/>
    </row>
    <row r="173" spans="19:40">
      <c r="S173" s="10"/>
      <c r="T173" s="12">
        <v>167</v>
      </c>
      <c r="U173" s="13">
        <f t="shared" si="23"/>
        <v>0.27996265093895839</v>
      </c>
      <c r="V173" s="13">
        <f t="shared" si="29"/>
        <v>5.8274830210653275E-15</v>
      </c>
      <c r="W173" s="13">
        <f t="shared" si="30"/>
        <v>5.8274830210653275E-15</v>
      </c>
      <c r="X173" s="13">
        <v>0</v>
      </c>
      <c r="Y173" s="13">
        <v>0</v>
      </c>
      <c r="Z173" s="13">
        <v>0</v>
      </c>
      <c r="AA173" s="13">
        <f t="shared" si="31"/>
        <v>3.0453719264941004E-2</v>
      </c>
      <c r="AB173" s="13">
        <f t="shared" si="32"/>
        <v>659.9695462807349</v>
      </c>
      <c r="AC173" s="13">
        <f t="shared" si="24"/>
        <v>659.99999999999989</v>
      </c>
      <c r="AD173" s="13">
        <f t="shared" si="25"/>
        <v>4.2406008626663903E-2</v>
      </c>
      <c r="AE173" s="13">
        <f t="shared" si="26"/>
        <v>3.8451665738569236E-6</v>
      </c>
      <c r="AF173" s="13">
        <f t="shared" si="27"/>
        <v>1.3090179005355487E-6</v>
      </c>
      <c r="AG173" s="13">
        <f t="shared" si="28"/>
        <v>1.3090179005355487E-6</v>
      </c>
      <c r="AH173" s="10"/>
      <c r="AI173" s="13">
        <f t="shared" si="22"/>
        <v>1.0147339172773569E-15</v>
      </c>
      <c r="AJ173" s="10"/>
      <c r="AK173" s="10"/>
      <c r="AL173" s="10"/>
      <c r="AM173" s="10"/>
      <c r="AN173" s="10"/>
    </row>
    <row r="174" spans="19:40">
      <c r="S174" s="10"/>
      <c r="T174" s="12">
        <v>168</v>
      </c>
      <c r="U174" s="13">
        <f t="shared" si="23"/>
        <v>0.28055535185364361</v>
      </c>
      <c r="V174" s="13">
        <f t="shared" si="29"/>
        <v>4.1915296041294058E-15</v>
      </c>
      <c r="W174" s="13">
        <f t="shared" si="30"/>
        <v>4.1915296041294058E-15</v>
      </c>
      <c r="X174" s="13">
        <v>0</v>
      </c>
      <c r="Y174" s="13">
        <v>0</v>
      </c>
      <c r="Z174" s="13">
        <v>0</v>
      </c>
      <c r="AA174" s="13">
        <f t="shared" si="31"/>
        <v>2.8536419267611409E-2</v>
      </c>
      <c r="AB174" s="13">
        <f t="shared" si="32"/>
        <v>659.97146358073223</v>
      </c>
      <c r="AC174" s="13">
        <f t="shared" si="24"/>
        <v>659.99999999999989</v>
      </c>
      <c r="AD174" s="13">
        <f t="shared" si="25"/>
        <v>3.9619121944198206E-2</v>
      </c>
      <c r="AE174" s="13">
        <f t="shared" si="26"/>
        <v>3.6030832408605559E-6</v>
      </c>
      <c r="AF174" s="13">
        <f t="shared" si="27"/>
        <v>1.2229903616972191E-6</v>
      </c>
      <c r="AG174" s="13">
        <f t="shared" si="28"/>
        <v>1.2229903616972191E-6</v>
      </c>
      <c r="AH174" s="10"/>
      <c r="AI174" s="13">
        <f t="shared" si="22"/>
        <v>7.6672064310815057E-16</v>
      </c>
      <c r="AJ174" s="10"/>
      <c r="AK174" s="10"/>
      <c r="AL174" s="10"/>
      <c r="AM174" s="10"/>
      <c r="AN174" s="10"/>
    </row>
    <row r="175" spans="19:40">
      <c r="S175" s="10"/>
      <c r="T175" s="12">
        <v>169</v>
      </c>
      <c r="U175" s="13">
        <f t="shared" si="23"/>
        <v>0.28114577887150061</v>
      </c>
      <c r="V175" s="13">
        <f t="shared" si="29"/>
        <v>3.0123637509685623E-15</v>
      </c>
      <c r="W175" s="13">
        <f t="shared" si="30"/>
        <v>3.0123637509685623E-15</v>
      </c>
      <c r="X175" s="13">
        <v>0</v>
      </c>
      <c r="Y175" s="13">
        <v>0</v>
      </c>
      <c r="Z175" s="13">
        <v>0</v>
      </c>
      <c r="AA175" s="13">
        <f t="shared" si="31"/>
        <v>2.6739828312345563E-2</v>
      </c>
      <c r="AB175" s="13">
        <f t="shared" si="32"/>
        <v>659.97326017168746</v>
      </c>
      <c r="AC175" s="13">
        <f t="shared" si="24"/>
        <v>659.99999999999977</v>
      </c>
      <c r="AD175" s="13">
        <f t="shared" si="25"/>
        <v>3.7015387075177292E-2</v>
      </c>
      <c r="AE175" s="13">
        <f t="shared" si="26"/>
        <v>3.3762409485288614E-6</v>
      </c>
      <c r="AF175" s="13">
        <f t="shared" si="27"/>
        <v>1.1426164792646237E-6</v>
      </c>
      <c r="AG175" s="13">
        <f t="shared" si="28"/>
        <v>1.1426164792646237E-6</v>
      </c>
      <c r="AH175" s="10"/>
      <c r="AI175" s="13">
        <f t="shared" si="22"/>
        <v>5.7898221531788658E-16</v>
      </c>
      <c r="AJ175" s="10"/>
      <c r="AK175" s="10"/>
      <c r="AL175" s="10"/>
      <c r="AM175" s="10"/>
      <c r="AN175" s="10"/>
    </row>
    <row r="176" spans="19:40">
      <c r="S176" s="10"/>
      <c r="T176" s="12">
        <v>170</v>
      </c>
      <c r="U176" s="13">
        <f t="shared" si="23"/>
        <v>0.28173395409433954</v>
      </c>
      <c r="V176" s="13">
        <f t="shared" si="29"/>
        <v>2.1631503727467091E-15</v>
      </c>
      <c r="W176" s="13">
        <f t="shared" si="30"/>
        <v>2.1631503727467091E-15</v>
      </c>
      <c r="X176" s="13">
        <v>0</v>
      </c>
      <c r="Y176" s="13">
        <v>0</v>
      </c>
      <c r="Z176" s="13">
        <v>0</v>
      </c>
      <c r="AA176" s="13">
        <f t="shared" si="31"/>
        <v>2.5056346820122938E-2</v>
      </c>
      <c r="AB176" s="13">
        <f t="shared" si="32"/>
        <v>659.97494365317971</v>
      </c>
      <c r="AC176" s="13">
        <f t="shared" si="24"/>
        <v>659.99999999999989</v>
      </c>
      <c r="AD176" s="13">
        <f t="shared" si="25"/>
        <v>3.4582767438788714E-2</v>
      </c>
      <c r="AE176" s="13">
        <f t="shared" si="26"/>
        <v>3.1636801540561999E-6</v>
      </c>
      <c r="AF176" s="13">
        <f t="shared" si="27"/>
        <v>1.0675246997656321E-6</v>
      </c>
      <c r="AG176" s="13">
        <f t="shared" si="28"/>
        <v>1.0675246997656321E-6</v>
      </c>
      <c r="AH176" s="10"/>
      <c r="AI176" s="13">
        <f t="shared" si="22"/>
        <v>4.3695565224826457E-16</v>
      </c>
      <c r="AJ176" s="10"/>
      <c r="AK176" s="10"/>
      <c r="AL176" s="10"/>
      <c r="AM176" s="10"/>
      <c r="AN176" s="10"/>
    </row>
    <row r="177" spans="19:40">
      <c r="S177" s="10"/>
      <c r="T177" s="12">
        <v>171</v>
      </c>
      <c r="U177" s="13">
        <f t="shared" si="23"/>
        <v>0.28231989928064016</v>
      </c>
      <c r="V177" s="13">
        <f t="shared" si="29"/>
        <v>1.5520706621390205E-15</v>
      </c>
      <c r="W177" s="13">
        <f t="shared" si="30"/>
        <v>1.5520706621390205E-15</v>
      </c>
      <c r="X177" s="13">
        <v>0</v>
      </c>
      <c r="Y177" s="13">
        <v>0</v>
      </c>
      <c r="Z177" s="13">
        <v>0</v>
      </c>
      <c r="AA177" s="13">
        <f t="shared" si="31"/>
        <v>2.3478853664906301E-2</v>
      </c>
      <c r="AB177" s="13">
        <f t="shared" si="32"/>
        <v>659.9765211463349</v>
      </c>
      <c r="AC177" s="13">
        <f t="shared" si="24"/>
        <v>659.99999999999977</v>
      </c>
      <c r="AD177" s="13">
        <f t="shared" si="25"/>
        <v>3.231001748803481E-2</v>
      </c>
      <c r="AE177" s="13">
        <f t="shared" si="26"/>
        <v>2.964501725367154E-6</v>
      </c>
      <c r="AF177" s="13">
        <f t="shared" si="27"/>
        <v>9.97367887905088E-7</v>
      </c>
      <c r="AG177" s="13">
        <f t="shared" si="28"/>
        <v>9.97367887905088E-7</v>
      </c>
      <c r="AH177" s="10"/>
      <c r="AI177" s="13">
        <f t="shared" si="22"/>
        <v>3.2957521435771951E-16</v>
      </c>
      <c r="AJ177" s="10"/>
      <c r="AK177" s="10"/>
      <c r="AL177" s="10"/>
      <c r="AM177" s="10"/>
      <c r="AN177" s="10"/>
    </row>
    <row r="178" spans="19:40">
      <c r="S178" s="10"/>
      <c r="T178" s="12">
        <v>172</v>
      </c>
      <c r="U178" s="13">
        <f t="shared" si="23"/>
        <v>0.28290363585285749</v>
      </c>
      <c r="V178" s="13">
        <f t="shared" si="29"/>
        <v>1.1127120682302587E-15</v>
      </c>
      <c r="W178" s="13">
        <f t="shared" si="30"/>
        <v>1.1127120682302587E-15</v>
      </c>
      <c r="X178" s="13">
        <v>0</v>
      </c>
      <c r="Y178" s="13">
        <v>0</v>
      </c>
      <c r="Z178" s="13">
        <v>0</v>
      </c>
      <c r="AA178" s="13">
        <f t="shared" si="31"/>
        <v>2.2000676051281445E-2</v>
      </c>
      <c r="AB178" s="13">
        <f t="shared" si="32"/>
        <v>659.97799932394855</v>
      </c>
      <c r="AC178" s="13">
        <f t="shared" si="24"/>
        <v>659.99999999999989</v>
      </c>
      <c r="AD178" s="13">
        <f t="shared" si="25"/>
        <v>3.0186630723665588E-2</v>
      </c>
      <c r="AE178" s="13">
        <f t="shared" si="26"/>
        <v>2.7778631377882024E-6</v>
      </c>
      <c r="AF178" s="13">
        <f t="shared" si="27"/>
        <v>9.3182172182305973E-7</v>
      </c>
      <c r="AG178" s="13">
        <f t="shared" si="28"/>
        <v>9.3182172182305973E-7</v>
      </c>
      <c r="AH178" s="10"/>
      <c r="AI178" s="13">
        <f t="shared" si="22"/>
        <v>2.4843783302265086E-16</v>
      </c>
      <c r="AJ178" s="10"/>
      <c r="AK178" s="10"/>
      <c r="AL178" s="10"/>
      <c r="AM178" s="10"/>
      <c r="AN178" s="10"/>
    </row>
    <row r="179" spans="19:40">
      <c r="S179" s="10"/>
      <c r="T179" s="12">
        <v>173</v>
      </c>
      <c r="U179" s="13">
        <f t="shared" si="23"/>
        <v>0.28348518490453201</v>
      </c>
      <c r="V179" s="13">
        <f t="shared" si="29"/>
        <v>7.970795642495159E-16</v>
      </c>
      <c r="W179" s="13">
        <f t="shared" si="30"/>
        <v>7.970795642495159E-16</v>
      </c>
      <c r="X179" s="13">
        <v>0</v>
      </c>
      <c r="Y179" s="13">
        <v>0</v>
      </c>
      <c r="Z179" s="13">
        <v>0</v>
      </c>
      <c r="AA179" s="13">
        <f t="shared" si="31"/>
        <v>2.0615561288535263E-2</v>
      </c>
      <c r="AB179" s="13">
        <f t="shared" si="32"/>
        <v>659.97938443871135</v>
      </c>
      <c r="AC179" s="13">
        <f t="shared" si="24"/>
        <v>659.99999999999989</v>
      </c>
      <c r="AD179" s="13">
        <f t="shared" si="25"/>
        <v>2.8202791124591876E-2</v>
      </c>
      <c r="AE179" s="13">
        <f t="shared" si="26"/>
        <v>2.6029749101686952E-6</v>
      </c>
      <c r="AF179" s="13">
        <f t="shared" si="27"/>
        <v>8.7058319381536121E-7</v>
      </c>
      <c r="AG179" s="13">
        <f t="shared" si="28"/>
        <v>8.7058319381536121E-7</v>
      </c>
      <c r="AH179" s="10"/>
      <c r="AI179" s="13">
        <f t="shared" si="22"/>
        <v>1.8716639864497145E-16</v>
      </c>
      <c r="AJ179" s="10"/>
      <c r="AK179" s="10"/>
      <c r="AL179" s="10"/>
      <c r="AM179" s="10"/>
      <c r="AN179" s="10"/>
    </row>
    <row r="180" spans="19:40">
      <c r="S180" s="10"/>
      <c r="T180" s="12">
        <v>174</v>
      </c>
      <c r="U180" s="13">
        <f t="shared" si="23"/>
        <v>0.28406456720720702</v>
      </c>
      <c r="V180" s="13">
        <f t="shared" si="29"/>
        <v>5.7051773238402203E-16</v>
      </c>
      <c r="W180" s="13">
        <f t="shared" si="30"/>
        <v>5.7051773238402203E-16</v>
      </c>
      <c r="X180" s="13">
        <v>0</v>
      </c>
      <c r="Y180" s="13">
        <v>0</v>
      </c>
      <c r="Z180" s="13">
        <v>0</v>
      </c>
      <c r="AA180" s="13">
        <f t="shared" si="31"/>
        <v>1.931765034177655E-2</v>
      </c>
      <c r="AB180" s="13">
        <f t="shared" si="32"/>
        <v>659.98068234965808</v>
      </c>
      <c r="AC180" s="13">
        <f t="shared" si="24"/>
        <v>659.99999999999989</v>
      </c>
      <c r="AD180" s="13">
        <f t="shared" si="25"/>
        <v>2.6349327770249929E-2</v>
      </c>
      <c r="AE180" s="13">
        <f t="shared" si="26"/>
        <v>2.439097265375899E-6</v>
      </c>
      <c r="AF180" s="13">
        <f t="shared" si="27"/>
        <v>8.1336920958542844E-7</v>
      </c>
      <c r="AG180" s="13">
        <f t="shared" si="28"/>
        <v>8.1336920958542844E-7</v>
      </c>
      <c r="AH180" s="10"/>
      <c r="AI180" s="13">
        <f t="shared" si="22"/>
        <v>1.4092431845815331E-16</v>
      </c>
      <c r="AJ180" s="10"/>
      <c r="AK180" s="10"/>
      <c r="AL180" s="10"/>
      <c r="AM180" s="10"/>
      <c r="AN180" s="10"/>
    </row>
    <row r="181" spans="19:40">
      <c r="S181" s="10"/>
      <c r="T181" s="12">
        <v>175</v>
      </c>
      <c r="U181" s="13">
        <f t="shared" si="23"/>
        <v>0.28464180321716431</v>
      </c>
      <c r="V181" s="13">
        <f t="shared" si="29"/>
        <v>4.0802449418588751E-16</v>
      </c>
      <c r="W181" s="13">
        <f t="shared" si="30"/>
        <v>4.0802449418588751E-16</v>
      </c>
      <c r="X181" s="13">
        <v>0</v>
      </c>
      <c r="Y181" s="13">
        <v>0</v>
      </c>
      <c r="Z181" s="13">
        <v>0</v>
      </c>
      <c r="AA181" s="13">
        <f t="shared" si="31"/>
        <v>1.8101453048220768E-2</v>
      </c>
      <c r="AB181" s="13">
        <f t="shared" si="32"/>
        <v>659.98189854695158</v>
      </c>
      <c r="AC181" s="13">
        <f t="shared" si="24"/>
        <v>659.99999999999977</v>
      </c>
      <c r="AD181" s="13">
        <f t="shared" si="25"/>
        <v>2.4617672445145747E-2</v>
      </c>
      <c r="AE181" s="13">
        <f t="shared" si="26"/>
        <v>2.2855370010380282E-6</v>
      </c>
      <c r="AF181" s="13">
        <f t="shared" si="27"/>
        <v>7.599152795521746E-7</v>
      </c>
      <c r="AG181" s="13">
        <f t="shared" si="28"/>
        <v>7.599152795521746E-7</v>
      </c>
      <c r="AH181" s="10"/>
      <c r="AI181" s="13">
        <f t="shared" si="22"/>
        <v>1.0604564710980361E-16</v>
      </c>
      <c r="AJ181" s="10"/>
      <c r="AK181" s="10"/>
      <c r="AL181" s="10"/>
      <c r="AM181" s="10"/>
      <c r="AN181" s="10"/>
    </row>
    <row r="182" spans="19:40">
      <c r="S182" s="10"/>
      <c r="T182" s="12">
        <v>176</v>
      </c>
      <c r="U182" s="13">
        <f t="shared" si="23"/>
        <v>0.28521691308197911</v>
      </c>
      <c r="V182" s="13">
        <f t="shared" si="29"/>
        <v>2.9157745910953515E-16</v>
      </c>
      <c r="W182" s="13">
        <f t="shared" si="30"/>
        <v>2.9157745910953515E-16</v>
      </c>
      <c r="X182" s="13">
        <v>0</v>
      </c>
      <c r="Y182" s="13">
        <v>0</v>
      </c>
      <c r="Z182" s="13">
        <v>0</v>
      </c>
      <c r="AA182" s="13">
        <f t="shared" si="31"/>
        <v>1.696182489380366E-2</v>
      </c>
      <c r="AB182" s="13">
        <f t="shared" si="32"/>
        <v>659.983038175106</v>
      </c>
      <c r="AC182" s="13">
        <f t="shared" si="24"/>
        <v>659.99999999999977</v>
      </c>
      <c r="AD182" s="13">
        <f t="shared" si="25"/>
        <v>2.2999820029592402E-2</v>
      </c>
      <c r="AE182" s="13">
        <f t="shared" si="26"/>
        <v>2.1416445572984793E-6</v>
      </c>
      <c r="AF182" s="13">
        <f t="shared" si="27"/>
        <v>7.0997429616397077E-7</v>
      </c>
      <c r="AG182" s="13">
        <f t="shared" si="28"/>
        <v>7.0997429616397067E-7</v>
      </c>
      <c r="AH182" s="10"/>
      <c r="AI182" s="13">
        <f t="shared" si="22"/>
        <v>7.9753457904636632E-17</v>
      </c>
      <c r="AJ182" s="10"/>
      <c r="AK182" s="10"/>
      <c r="AL182" s="10"/>
      <c r="AM182" s="10"/>
      <c r="AN182" s="10"/>
    </row>
    <row r="183" spans="19:40">
      <c r="S183" s="10"/>
      <c r="T183" s="12">
        <v>177</v>
      </c>
      <c r="U183" s="13">
        <f t="shared" si="23"/>
        <v>0.28578991664690345</v>
      </c>
      <c r="V183" s="13">
        <f t="shared" si="29"/>
        <v>2.0819643234680562E-16</v>
      </c>
      <c r="W183" s="13">
        <f t="shared" si="30"/>
        <v>2.0819643234680562E-16</v>
      </c>
      <c r="X183" s="13">
        <v>0</v>
      </c>
      <c r="Y183" s="13">
        <v>0</v>
      </c>
      <c r="Z183" s="13">
        <v>0</v>
      </c>
      <c r="AA183" s="13">
        <f t="shared" si="31"/>
        <v>1.5893945251888829E-2</v>
      </c>
      <c r="AB183" s="13">
        <f t="shared" si="32"/>
        <v>659.98410605474794</v>
      </c>
      <c r="AC183" s="13">
        <f t="shared" si="24"/>
        <v>659.99999999999977</v>
      </c>
      <c r="AD183" s="13">
        <f t="shared" si="25"/>
        <v>2.1488291493534366E-2</v>
      </c>
      <c r="AE183" s="13">
        <f t="shared" si="26"/>
        <v>2.0068112691779096E-6</v>
      </c>
      <c r="AF183" s="13">
        <f t="shared" si="27"/>
        <v>6.6331539156651162E-7</v>
      </c>
      <c r="AG183" s="13">
        <f t="shared" si="28"/>
        <v>6.6331539156651151E-7</v>
      </c>
      <c r="AH183" s="10"/>
      <c r="AI183" s="13">
        <f t="shared" si="22"/>
        <v>5.9945541623549817E-17</v>
      </c>
      <c r="AJ183" s="10"/>
      <c r="AK183" s="10"/>
      <c r="AL183" s="10"/>
      <c r="AM183" s="10"/>
      <c r="AN183" s="10"/>
    </row>
    <row r="184" spans="19:40">
      <c r="S184" s="10"/>
      <c r="T184" s="12">
        <v>178</v>
      </c>
      <c r="U184" s="13">
        <f t="shared" si="23"/>
        <v>0.28636083346108243</v>
      </c>
      <c r="V184" s="13">
        <f t="shared" si="29"/>
        <v>1.4854062055485178E-16</v>
      </c>
      <c r="W184" s="13">
        <f t="shared" si="30"/>
        <v>1.4854062055485178E-16</v>
      </c>
      <c r="X184" s="13">
        <v>0</v>
      </c>
      <c r="Y184" s="13">
        <v>0</v>
      </c>
      <c r="Z184" s="13">
        <v>0</v>
      </c>
      <c r="AA184" s="13">
        <f t="shared" si="31"/>
        <v>1.4893296992019004E-2</v>
      </c>
      <c r="AB184" s="13">
        <f t="shared" si="32"/>
        <v>659.98510670300777</v>
      </c>
      <c r="AC184" s="13">
        <f t="shared" si="24"/>
        <v>659.99999999999977</v>
      </c>
      <c r="AD184" s="13">
        <f t="shared" si="25"/>
        <v>2.0076099322386087E-2</v>
      </c>
      <c r="AE184" s="13">
        <f t="shared" si="26"/>
        <v>1.880466791921611E-6</v>
      </c>
      <c r="AF184" s="13">
        <f t="shared" si="27"/>
        <v>6.1972287034377089E-7</v>
      </c>
      <c r="AG184" s="13">
        <f t="shared" si="28"/>
        <v>6.19722870343771E-7</v>
      </c>
      <c r="AH184" s="10"/>
      <c r="AI184" s="13">
        <f t="shared" si="22"/>
        <v>4.5031442244107266E-17</v>
      </c>
      <c r="AJ184" s="10"/>
      <c r="AK184" s="10"/>
      <c r="AL184" s="10"/>
      <c r="AM184" s="10"/>
      <c r="AN184" s="10"/>
    </row>
    <row r="185" spans="19:40">
      <c r="S185" s="10"/>
      <c r="T185" s="12">
        <v>179</v>
      </c>
      <c r="U185" s="13">
        <f t="shared" si="23"/>
        <v>0.28692968278360736</v>
      </c>
      <c r="V185" s="13">
        <f t="shared" si="29"/>
        <v>1.058938603519461E-16</v>
      </c>
      <c r="W185" s="13">
        <f t="shared" si="30"/>
        <v>1.058938603519461E-16</v>
      </c>
      <c r="X185" s="13">
        <v>0</v>
      </c>
      <c r="Y185" s="13">
        <v>0</v>
      </c>
      <c r="Z185" s="13">
        <v>0</v>
      </c>
      <c r="AA185" s="13">
        <f t="shared" si="31"/>
        <v>1.3955647372456017E-2</v>
      </c>
      <c r="AB185" s="13">
        <f t="shared" si="32"/>
        <v>659.98604435262735</v>
      </c>
      <c r="AC185" s="13">
        <f t="shared" si="24"/>
        <v>659.99999999999977</v>
      </c>
      <c r="AD185" s="13">
        <f t="shared" si="25"/>
        <v>1.8756715215054936E-2</v>
      </c>
      <c r="AE185" s="13">
        <f t="shared" si="26"/>
        <v>1.7620766884414303E-6</v>
      </c>
      <c r="AF185" s="13">
        <f t="shared" si="27"/>
        <v>5.7899521239831299E-7</v>
      </c>
      <c r="AG185" s="13">
        <f t="shared" si="28"/>
        <v>5.7899521239831309E-7</v>
      </c>
      <c r="AH185" s="10"/>
      <c r="AI185" s="13">
        <f t="shared" si="22"/>
        <v>3.3808610977786897E-17</v>
      </c>
      <c r="AJ185" s="10"/>
      <c r="AK185" s="10"/>
      <c r="AL185" s="10"/>
      <c r="AM185" s="10"/>
      <c r="AN185" s="10"/>
    </row>
    <row r="186" spans="19:40">
      <c r="S186" s="10"/>
      <c r="T186" s="12">
        <v>180</v>
      </c>
      <c r="U186" s="13">
        <f t="shared" si="23"/>
        <v>0.2874964835894136</v>
      </c>
      <c r="V186" s="13">
        <f t="shared" si="29"/>
        <v>7.5431179044429906E-17</v>
      </c>
      <c r="W186" s="13">
        <f t="shared" si="30"/>
        <v>7.5431179044429906E-17</v>
      </c>
      <c r="X186" s="13">
        <v>0</v>
      </c>
      <c r="Y186" s="13">
        <v>0</v>
      </c>
      <c r="Z186" s="13">
        <v>0</v>
      </c>
      <c r="AA186" s="13">
        <f t="shared" si="31"/>
        <v>1.3077030135684941E-2</v>
      </c>
      <c r="AB186" s="13">
        <f t="shared" si="32"/>
        <v>659.98692296986417</v>
      </c>
      <c r="AC186" s="13">
        <f t="shared" si="24"/>
        <v>659.99999999999989</v>
      </c>
      <c r="AD186" s="13">
        <f t="shared" si="25"/>
        <v>1.7524039904822493E-2</v>
      </c>
      <c r="AE186" s="13">
        <f t="shared" si="26"/>
        <v>1.651140168647098E-6</v>
      </c>
      <c r="AF186" s="13">
        <f t="shared" si="27"/>
        <v>5.4094414136145523E-7</v>
      </c>
      <c r="AG186" s="13">
        <f t="shared" si="28"/>
        <v>5.4094414136145523E-7</v>
      </c>
      <c r="AH186" s="10"/>
      <c r="AI186" s="13">
        <f t="shared" si="22"/>
        <v>2.5368348618325792E-17</v>
      </c>
      <c r="AJ186" s="10"/>
      <c r="AK186" s="10"/>
      <c r="AL186" s="10"/>
      <c r="AM186" s="10"/>
      <c r="AN186" s="10"/>
    </row>
    <row r="187" spans="19:40">
      <c r="S187" s="10"/>
      <c r="T187" s="12">
        <v>181</v>
      </c>
      <c r="U187" s="13">
        <f t="shared" si="23"/>
        <v>0.28806125457502552</v>
      </c>
      <c r="V187" s="13">
        <f t="shared" si="29"/>
        <v>5.3689151879505014E-17</v>
      </c>
      <c r="W187" s="13">
        <f t="shared" si="30"/>
        <v>5.3689151879505014E-17</v>
      </c>
      <c r="X187" s="13">
        <v>0</v>
      </c>
      <c r="Y187" s="13">
        <v>0</v>
      </c>
      <c r="Z187" s="13">
        <v>0</v>
      </c>
      <c r="AA187" s="13">
        <f t="shared" si="31"/>
        <v>1.2253728731146395E-2</v>
      </c>
      <c r="AB187" s="13">
        <f t="shared" si="32"/>
        <v>659.98774627126875</v>
      </c>
      <c r="AC187" s="13">
        <f t="shared" si="24"/>
        <v>659.99999999999989</v>
      </c>
      <c r="AD187" s="13">
        <f t="shared" si="25"/>
        <v>1.6372374963571776E-2</v>
      </c>
      <c r="AE187" s="13">
        <f t="shared" si="26"/>
        <v>1.5471879711043499E-6</v>
      </c>
      <c r="AF187" s="13">
        <f t="shared" si="27"/>
        <v>5.0539375422672252E-7</v>
      </c>
      <c r="AG187" s="13">
        <f t="shared" si="28"/>
        <v>5.0539375422672252E-7</v>
      </c>
      <c r="AH187" s="10"/>
      <c r="AI187" s="13">
        <f t="shared" si="22"/>
        <v>1.9024416671546205E-17</v>
      </c>
      <c r="AJ187" s="10"/>
      <c r="AK187" s="10"/>
      <c r="AL187" s="10"/>
      <c r="AM187" s="10"/>
      <c r="AN187" s="10"/>
    </row>
    <row r="188" spans="19:40">
      <c r="S188" s="10"/>
      <c r="T188" s="12">
        <v>182</v>
      </c>
      <c r="U188" s="13">
        <f t="shared" si="23"/>
        <v>0.28862401416415401</v>
      </c>
      <c r="V188" s="13">
        <f t="shared" si="29"/>
        <v>3.8183758784743474E-17</v>
      </c>
      <c r="W188" s="13">
        <f t="shared" si="30"/>
        <v>3.8183758784743474E-17</v>
      </c>
      <c r="X188" s="13">
        <v>0</v>
      </c>
      <c r="Y188" s="13">
        <v>0</v>
      </c>
      <c r="Z188" s="13">
        <v>0</v>
      </c>
      <c r="AA188" s="13">
        <f t="shared" si="31"/>
        <v>1.1482260594229174E-2</v>
      </c>
      <c r="AB188" s="13">
        <f t="shared" si="32"/>
        <v>659.98851773940567</v>
      </c>
      <c r="AC188" s="13">
        <f t="shared" si="24"/>
        <v>659.99999999999989</v>
      </c>
      <c r="AD188" s="13">
        <f t="shared" si="25"/>
        <v>1.5296396459016589E-2</v>
      </c>
      <c r="AE188" s="13">
        <f t="shared" si="26"/>
        <v>1.4497803780592441E-6</v>
      </c>
      <c r="AF188" s="13">
        <f t="shared" si="27"/>
        <v>4.721797081830473E-7</v>
      </c>
      <c r="AG188" s="13">
        <f t="shared" si="28"/>
        <v>4.7217970818304714E-7</v>
      </c>
      <c r="AH188" s="10"/>
      <c r="AI188" s="13">
        <f t="shared" si="22"/>
        <v>1.4258888132857384E-17</v>
      </c>
      <c r="AJ188" s="10"/>
      <c r="AK188" s="10"/>
      <c r="AL188" s="10"/>
      <c r="AM188" s="10"/>
      <c r="AN188" s="10"/>
    </row>
    <row r="189" spans="19:40">
      <c r="S189" s="10"/>
      <c r="T189" s="12">
        <v>183</v>
      </c>
      <c r="U189" s="13">
        <f t="shared" si="23"/>
        <v>0.28918478051315272</v>
      </c>
      <c r="V189" s="13">
        <f t="shared" si="29"/>
        <v>2.7134901238795977E-17</v>
      </c>
      <c r="W189" s="13">
        <f t="shared" si="30"/>
        <v>2.7134901238795977E-17</v>
      </c>
      <c r="X189" s="13">
        <v>0</v>
      </c>
      <c r="Y189" s="13">
        <v>0</v>
      </c>
      <c r="Z189" s="13">
        <v>0</v>
      </c>
      <c r="AA189" s="13">
        <f t="shared" si="31"/>
        <v>1.075936241502333E-2</v>
      </c>
      <c r="AB189" s="13">
        <f t="shared" si="32"/>
        <v>659.98924063758489</v>
      </c>
      <c r="AC189" s="13">
        <f t="shared" si="24"/>
        <v>659.99999999999989</v>
      </c>
      <c r="AD189" s="13">
        <f t="shared" si="25"/>
        <v>1.4291130343155205E-2</v>
      </c>
      <c r="AE189" s="13">
        <f t="shared" si="26"/>
        <v>1.3585053554322424E-6</v>
      </c>
      <c r="AF189" s="13">
        <f t="shared" si="27"/>
        <v>4.4114846088859498E-7</v>
      </c>
      <c r="AG189" s="13">
        <f t="shared" si="28"/>
        <v>4.4114846088859492E-7</v>
      </c>
      <c r="AH189" s="10"/>
      <c r="AI189" s="13">
        <f t="shared" si="22"/>
        <v>1.0681100573819824E-17</v>
      </c>
      <c r="AJ189" s="10"/>
      <c r="AK189" s="10"/>
      <c r="AL189" s="10"/>
      <c r="AM189" s="10"/>
      <c r="AN189" s="10"/>
    </row>
    <row r="190" spans="19:40">
      <c r="S190" s="10"/>
      <c r="T190" s="12">
        <v>184</v>
      </c>
      <c r="U190" s="13">
        <f t="shared" si="23"/>
        <v>0.2897435715163339</v>
      </c>
      <c r="V190" s="13">
        <f t="shared" si="29"/>
        <v>1.9267979850551821E-17</v>
      </c>
      <c r="W190" s="13">
        <f t="shared" si="30"/>
        <v>1.9267979850551821E-17</v>
      </c>
      <c r="X190" s="13">
        <v>0</v>
      </c>
      <c r="Y190" s="13">
        <v>0</v>
      </c>
      <c r="Z190" s="13">
        <v>0</v>
      </c>
      <c r="AA190" s="13">
        <f t="shared" si="31"/>
        <v>1.0081976334520572E-2</v>
      </c>
      <c r="AB190" s="13">
        <f t="shared" si="32"/>
        <v>659.98991802366538</v>
      </c>
      <c r="AC190" s="13">
        <f t="shared" si="24"/>
        <v>659.99999999999989</v>
      </c>
      <c r="AD190" s="13">
        <f t="shared" si="25"/>
        <v>1.3351929458173968E-2</v>
      </c>
      <c r="AE190" s="13">
        <f t="shared" si="26"/>
        <v>1.2729768099142164E-6</v>
      </c>
      <c r="AF190" s="13">
        <f t="shared" si="27"/>
        <v>4.1215656067314986E-7</v>
      </c>
      <c r="AG190" s="13">
        <f t="shared" si="28"/>
        <v>4.1215656067314992E-7</v>
      </c>
      <c r="AH190" s="10"/>
      <c r="AI190" s="13">
        <f t="shared" si="22"/>
        <v>7.9965607126092933E-18</v>
      </c>
      <c r="AJ190" s="10"/>
      <c r="AK190" s="10"/>
      <c r="AL190" s="10"/>
      <c r="AM190" s="10"/>
      <c r="AN190" s="10"/>
    </row>
    <row r="191" spans="19:40">
      <c r="S191" s="10"/>
      <c r="T191" s="12">
        <v>185</v>
      </c>
      <c r="U191" s="13">
        <f t="shared" si="23"/>
        <v>0.29030040481115255</v>
      </c>
      <c r="V191" s="13">
        <f t="shared" si="29"/>
        <v>1.3671098798965223E-17</v>
      </c>
      <c r="W191" s="13">
        <f t="shared" si="30"/>
        <v>1.3671098798965223E-17</v>
      </c>
      <c r="X191" s="13">
        <v>0</v>
      </c>
      <c r="Y191" s="13">
        <v>0</v>
      </c>
      <c r="Z191" s="13">
        <v>0</v>
      </c>
      <c r="AA191" s="13">
        <f t="shared" si="31"/>
        <v>9.4472370098718748E-3</v>
      </c>
      <c r="AB191" s="13">
        <f t="shared" si="32"/>
        <v>659.99055276298998</v>
      </c>
      <c r="AC191" s="13">
        <f t="shared" si="24"/>
        <v>659.99999999999989</v>
      </c>
      <c r="AD191" s="13">
        <f t="shared" si="25"/>
        <v>1.2474452053503157E-2</v>
      </c>
      <c r="AE191" s="13">
        <f t="shared" si="26"/>
        <v>1.1928329557919053E-6</v>
      </c>
      <c r="AF191" s="13">
        <f t="shared" si="27"/>
        <v>3.8506998338778877E-7</v>
      </c>
      <c r="AG191" s="13">
        <f t="shared" si="28"/>
        <v>3.8506998338778877E-7</v>
      </c>
      <c r="AH191" s="10"/>
      <c r="AI191" s="13">
        <f t="shared" si="22"/>
        <v>5.9834025098846093E-18</v>
      </c>
      <c r="AJ191" s="10"/>
      <c r="AK191" s="10"/>
      <c r="AL191" s="10"/>
      <c r="AM191" s="10"/>
      <c r="AN191" s="10"/>
    </row>
    <row r="192" spans="19:40">
      <c r="S192" s="10"/>
      <c r="T192" s="12">
        <v>186</v>
      </c>
      <c r="U192" s="13">
        <f t="shared" si="23"/>
        <v>0.2908552977832593</v>
      </c>
      <c r="V192" s="13">
        <f t="shared" si="29"/>
        <v>9.6923900164462165E-18</v>
      </c>
      <c r="W192" s="13">
        <f t="shared" si="30"/>
        <v>9.6923900164462165E-18</v>
      </c>
      <c r="X192" s="13">
        <v>0</v>
      </c>
      <c r="Y192" s="13">
        <v>0</v>
      </c>
      <c r="Z192" s="13">
        <v>0</v>
      </c>
      <c r="AA192" s="13">
        <f t="shared" si="31"/>
        <v>8.8524594939883867E-3</v>
      </c>
      <c r="AB192" s="13">
        <f t="shared" si="32"/>
        <v>659.99114754050584</v>
      </c>
      <c r="AC192" s="13">
        <f t="shared" si="24"/>
        <v>659.99999999999977</v>
      </c>
      <c r="AD192" s="13">
        <f t="shared" si="25"/>
        <v>1.1654641714713716E-2</v>
      </c>
      <c r="AE192" s="13">
        <f t="shared" si="26"/>
        <v>1.117734784594495E-6</v>
      </c>
      <c r="AF192" s="13">
        <f t="shared" si="27"/>
        <v>3.5976351283623187E-7</v>
      </c>
      <c r="AG192" s="13">
        <f t="shared" si="28"/>
        <v>3.5976351283623187E-7</v>
      </c>
      <c r="AH192" s="10"/>
      <c r="AI192" s="13">
        <f t="shared" si="22"/>
        <v>4.4745750014199958E-18</v>
      </c>
      <c r="AJ192" s="10"/>
      <c r="AK192" s="10"/>
      <c r="AL192" s="10"/>
      <c r="AM192" s="10"/>
      <c r="AN192" s="10"/>
    </row>
    <row r="193" spans="19:40">
      <c r="S193" s="10"/>
      <c r="T193" s="12">
        <v>187</v>
      </c>
      <c r="U193" s="13">
        <f t="shared" si="23"/>
        <v>0.29140826757142674</v>
      </c>
      <c r="V193" s="13">
        <f t="shared" si="29"/>
        <v>6.8662478419475917E-18</v>
      </c>
      <c r="W193" s="13">
        <f t="shared" si="30"/>
        <v>6.8662478419475917E-18</v>
      </c>
      <c r="X193" s="13">
        <v>0</v>
      </c>
      <c r="Y193" s="13">
        <v>0</v>
      </c>
      <c r="Z193" s="13">
        <v>0</v>
      </c>
      <c r="AA193" s="13">
        <f t="shared" si="31"/>
        <v>8.295127878216315E-3</v>
      </c>
      <c r="AB193" s="13">
        <f t="shared" si="32"/>
        <v>659.99170487212166</v>
      </c>
      <c r="AC193" s="13">
        <f t="shared" si="24"/>
        <v>659.99999999999989</v>
      </c>
      <c r="AD193" s="13">
        <f t="shared" si="25"/>
        <v>1.088870861146965E-2</v>
      </c>
      <c r="AE193" s="13">
        <f t="shared" si="26"/>
        <v>1.0473646310879197E-6</v>
      </c>
      <c r="AF193" s="13">
        <f t="shared" si="27"/>
        <v>3.3612016192371444E-7</v>
      </c>
      <c r="AG193" s="13">
        <f t="shared" si="28"/>
        <v>3.3612016192371439E-7</v>
      </c>
      <c r="AH193" s="10"/>
      <c r="AI193" s="13">
        <f t="shared" si="22"/>
        <v>3.3443736727802936E-18</v>
      </c>
      <c r="AJ193" s="10"/>
      <c r="AK193" s="10"/>
      <c r="AL193" s="10"/>
      <c r="AM193" s="10"/>
      <c r="AN193" s="10"/>
    </row>
    <row r="194" spans="19:40">
      <c r="S194" s="10"/>
      <c r="T194" s="12">
        <v>188</v>
      </c>
      <c r="U194" s="13">
        <f t="shared" si="23"/>
        <v>0.29195933107235522</v>
      </c>
      <c r="V194" s="13">
        <f t="shared" si="29"/>
        <v>4.8603786968059874E-18</v>
      </c>
      <c r="W194" s="13">
        <f t="shared" si="30"/>
        <v>4.8603786968059874E-18</v>
      </c>
      <c r="X194" s="13">
        <v>0</v>
      </c>
      <c r="Y194" s="13">
        <v>0</v>
      </c>
      <c r="Z194" s="13">
        <v>0</v>
      </c>
      <c r="AA194" s="13">
        <f t="shared" si="31"/>
        <v>7.7728846500443255E-3</v>
      </c>
      <c r="AB194" s="13">
        <f t="shared" si="32"/>
        <v>659.99222711534981</v>
      </c>
      <c r="AC194" s="13">
        <f t="shared" si="24"/>
        <v>659.99999999999989</v>
      </c>
      <c r="AD194" s="13">
        <f t="shared" si="25"/>
        <v>1.0173111977849054E-2</v>
      </c>
      <c r="AE194" s="13">
        <f t="shared" si="26"/>
        <v>9.8142482955105211E-7</v>
      </c>
      <c r="AF194" s="13">
        <f t="shared" si="27"/>
        <v>3.1403063184746099E-7</v>
      </c>
      <c r="AG194" s="13">
        <f t="shared" si="28"/>
        <v>3.1403063184746094E-7</v>
      </c>
      <c r="AH194" s="10"/>
      <c r="AI194" s="13">
        <f t="shared" si="22"/>
        <v>2.4982624637773664E-18</v>
      </c>
      <c r="AJ194" s="10"/>
      <c r="AK194" s="10"/>
      <c r="AL194" s="10"/>
      <c r="AM194" s="10"/>
      <c r="AN194" s="10"/>
    </row>
    <row r="195" spans="19:40">
      <c r="S195" s="10"/>
      <c r="T195" s="12">
        <v>189</v>
      </c>
      <c r="U195" s="13">
        <f t="shared" si="23"/>
        <v>0.29250850494535913</v>
      </c>
      <c r="V195" s="13">
        <f t="shared" si="29"/>
        <v>3.4378243079907171E-18</v>
      </c>
      <c r="W195" s="13">
        <f t="shared" si="30"/>
        <v>3.4378243079907171E-18</v>
      </c>
      <c r="X195" s="13">
        <v>0</v>
      </c>
      <c r="Y195" s="13">
        <v>0</v>
      </c>
      <c r="Z195" s="13">
        <v>0</v>
      </c>
      <c r="AA195" s="13">
        <f t="shared" si="31"/>
        <v>7.2835207208265728E-3</v>
      </c>
      <c r="AB195" s="13">
        <f t="shared" si="32"/>
        <v>659.99271647927901</v>
      </c>
      <c r="AC195" s="13">
        <f t="shared" si="24"/>
        <v>659.99999999999989</v>
      </c>
      <c r="AD195" s="13">
        <f t="shared" si="25"/>
        <v>9.5045437440434439E-3</v>
      </c>
      <c r="AE195" s="13">
        <f t="shared" si="26"/>
        <v>9.1963645464982043E-7</v>
      </c>
      <c r="AF195" s="13">
        <f t="shared" si="27"/>
        <v>2.9339280682869942E-7</v>
      </c>
      <c r="AG195" s="13">
        <f t="shared" si="28"/>
        <v>2.9339280682869942E-7</v>
      </c>
      <c r="AH195" s="10"/>
      <c r="AI195" s="13">
        <f t="shared" si="22"/>
        <v>1.8651871581583517E-18</v>
      </c>
      <c r="AJ195" s="10"/>
      <c r="AK195" s="10"/>
      <c r="AL195" s="10"/>
      <c r="AM195" s="10"/>
      <c r="AN195" s="10"/>
    </row>
    <row r="196" spans="19:40">
      <c r="S196" s="10"/>
      <c r="T196" s="12">
        <v>190</v>
      </c>
      <c r="U196" s="13">
        <f t="shared" si="23"/>
        <v>0.29305580561693761</v>
      </c>
      <c r="V196" s="13">
        <f t="shared" si="29"/>
        <v>2.4297471025005173E-18</v>
      </c>
      <c r="W196" s="13">
        <f t="shared" si="30"/>
        <v>2.4297471025005173E-18</v>
      </c>
      <c r="X196" s="13">
        <v>0</v>
      </c>
      <c r="Y196" s="13">
        <v>0</v>
      </c>
      <c r="Z196" s="13">
        <v>0</v>
      </c>
      <c r="AA196" s="13">
        <f t="shared" si="31"/>
        <v>6.8249660813386077E-3</v>
      </c>
      <c r="AB196" s="13">
        <f t="shared" si="32"/>
        <v>659.99317503391853</v>
      </c>
      <c r="AC196" s="13">
        <f t="shared" si="24"/>
        <v>659.99999999999989</v>
      </c>
      <c r="AD196" s="13">
        <f t="shared" si="25"/>
        <v>8.8799132437678754E-3</v>
      </c>
      <c r="AE196" s="13">
        <f t="shared" si="26"/>
        <v>8.6173814158315796E-7</v>
      </c>
      <c r="AF196" s="13">
        <f t="shared" si="27"/>
        <v>2.7411128205045686E-7</v>
      </c>
      <c r="AG196" s="13">
        <f t="shared" si="28"/>
        <v>2.7411128205045686E-7</v>
      </c>
      <c r="AH196" s="10"/>
      <c r="AI196" s="13">
        <f t="shared" si="22"/>
        <v>1.3917738578283817E-18</v>
      </c>
      <c r="AJ196" s="10"/>
      <c r="AK196" s="10"/>
      <c r="AL196" s="10"/>
      <c r="AM196" s="10"/>
      <c r="AN196" s="10"/>
    </row>
    <row r="197" spans="19:40">
      <c r="S197" s="10"/>
      <c r="T197" s="12">
        <v>191</v>
      </c>
      <c r="U197" s="13">
        <f t="shared" si="23"/>
        <v>0.2936012492852354</v>
      </c>
      <c r="V197" s="13">
        <f t="shared" si="29"/>
        <v>1.7159442539362601E-18</v>
      </c>
      <c r="W197" s="13">
        <f t="shared" si="30"/>
        <v>1.7159442539362601E-18</v>
      </c>
      <c r="X197" s="13">
        <v>0</v>
      </c>
      <c r="Y197" s="13">
        <v>0</v>
      </c>
      <c r="Z197" s="13">
        <v>0</v>
      </c>
      <c r="AA197" s="13">
        <f t="shared" si="31"/>
        <v>6.3952810456391904E-3</v>
      </c>
      <c r="AB197" s="13">
        <f t="shared" si="32"/>
        <v>659.9936047189542</v>
      </c>
      <c r="AC197" s="13">
        <f t="shared" si="24"/>
        <v>659.99999999999989</v>
      </c>
      <c r="AD197" s="13">
        <f t="shared" si="25"/>
        <v>8.2963329266869494E-3</v>
      </c>
      <c r="AE197" s="13">
        <f t="shared" si="26"/>
        <v>8.0748498050999911E-7</v>
      </c>
      <c r="AF197" s="13">
        <f t="shared" si="27"/>
        <v>2.5609692261887888E-7</v>
      </c>
      <c r="AG197" s="13">
        <f t="shared" si="28"/>
        <v>2.5609692261887888E-7</v>
      </c>
      <c r="AH197" s="10"/>
      <c r="AI197" s="13">
        <f t="shared" si="22"/>
        <v>1.0379529007616186E-18</v>
      </c>
      <c r="AJ197" s="10"/>
      <c r="AK197" s="10"/>
      <c r="AL197" s="10"/>
      <c r="AM197" s="10"/>
      <c r="AN197" s="10"/>
    </row>
    <row r="198" spans="19:40">
      <c r="S198" s="10"/>
      <c r="T198" s="12">
        <v>192</v>
      </c>
      <c r="U198" s="13">
        <f t="shared" si="23"/>
        <v>0.29414485192439327</v>
      </c>
      <c r="V198" s="13">
        <f t="shared" si="29"/>
        <v>1.2109071892110629E-18</v>
      </c>
      <c r="W198" s="13">
        <f t="shared" si="30"/>
        <v>1.2109071892110629E-18</v>
      </c>
      <c r="X198" s="13">
        <v>0</v>
      </c>
      <c r="Y198" s="13">
        <v>0</v>
      </c>
      <c r="Z198" s="13">
        <v>0</v>
      </c>
      <c r="AA198" s="13">
        <f t="shared" si="31"/>
        <v>5.9926480461995335E-3</v>
      </c>
      <c r="AB198" s="13">
        <f t="shared" si="32"/>
        <v>659.99400735195366</v>
      </c>
      <c r="AC198" s="13">
        <f t="shared" si="24"/>
        <v>659.99999999999989</v>
      </c>
      <c r="AD198" s="13">
        <f t="shared" si="25"/>
        <v>7.7511050098080557E-3</v>
      </c>
      <c r="AE198" s="13">
        <f t="shared" si="26"/>
        <v>7.5664748058074946E-7</v>
      </c>
      <c r="AF198" s="13">
        <f t="shared" si="27"/>
        <v>2.3926645150923567E-7</v>
      </c>
      <c r="AG198" s="13">
        <f t="shared" si="28"/>
        <v>2.3926645150923567E-7</v>
      </c>
      <c r="AH198" s="10"/>
      <c r="AI198" s="13">
        <f t="shared" ref="AI198:AI261" si="33">EXP(-lambda_pacl*(T198^gamma_pacl))</f>
        <v>7.7365998742774806E-19</v>
      </c>
      <c r="AJ198" s="10"/>
      <c r="AK198" s="10"/>
      <c r="AL198" s="10"/>
      <c r="AM198" s="10"/>
      <c r="AN198" s="10"/>
    </row>
    <row r="199" spans="19:40">
      <c r="S199" s="10"/>
      <c r="T199" s="12">
        <v>193</v>
      </c>
      <c r="U199" s="13">
        <f t="shared" ref="U199:U262" si="34">gamma_pacl*lambda_pacl*T199^(gamma_pacl-1)</f>
        <v>0.29468662928879524</v>
      </c>
      <c r="V199" s="13">
        <f t="shared" si="29"/>
        <v>8.5385669484352513E-19</v>
      </c>
      <c r="W199" s="13">
        <f t="shared" si="30"/>
        <v>8.5385669484352513E-19</v>
      </c>
      <c r="X199" s="13">
        <v>0</v>
      </c>
      <c r="Y199" s="13">
        <v>0</v>
      </c>
      <c r="Z199" s="13">
        <v>0</v>
      </c>
      <c r="AA199" s="13">
        <f t="shared" si="31"/>
        <v>5.6153639455933865E-3</v>
      </c>
      <c r="AB199" s="13">
        <f t="shared" si="32"/>
        <v>659.99438463605429</v>
      </c>
      <c r="AC199" s="13">
        <f t="shared" ref="AC199:AC262" si="35">V199+AA199+AB199</f>
        <v>659.99999999999989</v>
      </c>
      <c r="AD199" s="13">
        <f t="shared" ref="AD199:AD262" si="36">(V199*cPFS_PALB_after+AA199*cP)/AC199/(1+rdis_Month)^T198</f>
        <v>7.24170900613359E-3</v>
      </c>
      <c r="AE199" s="13">
        <f t="shared" ref="AE199:AE262" si="37">(V199+AA199)/AC199/12</f>
        <v>7.090105991910843E-7</v>
      </c>
      <c r="AF199" s="13">
        <f t="shared" ref="AF199:AF262" si="38">(V199*uS+AA199*uP)/AC199/12/(1+rdis_Month)^T198</f>
        <v>2.23542064591764E-7</v>
      </c>
      <c r="AG199" s="13">
        <f t="shared" ref="AG199:AG262" si="39">(W199*uS/12+X199*(uS+duAE1_PALB)/12+Y199*(uS/12+duAE2_PALB)/12+Z199*(uS+duAE3_PALB)/12+AA199*uP/12)/AC199/(1+rdis_Month)^T198</f>
        <v>2.2354206459176395E-7</v>
      </c>
      <c r="AH199" s="10"/>
      <c r="AI199" s="13">
        <f t="shared" si="33"/>
        <v>5.763508514046113E-19</v>
      </c>
      <c r="AJ199" s="10"/>
      <c r="AK199" s="10"/>
      <c r="AL199" s="10"/>
      <c r="AM199" s="10"/>
      <c r="AN199" s="10"/>
    </row>
    <row r="200" spans="19:40">
      <c r="S200" s="10"/>
      <c r="T200" s="12">
        <v>194</v>
      </c>
      <c r="U200" s="13">
        <f t="shared" si="34"/>
        <v>0.29522659691721226</v>
      </c>
      <c r="V200" s="13">
        <f t="shared" ref="V200:V263" si="40">SUM(W200:Z200)</f>
        <v>6.0162576210360321E-19</v>
      </c>
      <c r="W200" s="13">
        <f t="shared" ref="W200:W263" si="41">(1-($Q$13+U200))*W199</f>
        <v>6.0162576210360321E-19</v>
      </c>
      <c r="X200" s="13">
        <v>0</v>
      </c>
      <c r="Y200" s="13">
        <v>0</v>
      </c>
      <c r="Z200" s="13">
        <v>0</v>
      </c>
      <c r="AA200" s="13">
        <f t="shared" ref="AA200:AA263" si="42">(1-$Q$17)*AA199+(U200*W199)</f>
        <v>5.2618328322264051E-3</v>
      </c>
      <c r="AB200" s="13">
        <f t="shared" ref="AB200:AB263" si="43">(AB199*1)+(AA199*$Q$17)+(W199*$Q$13)</f>
        <v>659.99473816716761</v>
      </c>
      <c r="AC200" s="13">
        <f t="shared" si="35"/>
        <v>659.99999999999989</v>
      </c>
      <c r="AD200" s="13">
        <f t="shared" si="36"/>
        <v>6.7657900729195504E-3</v>
      </c>
      <c r="AE200" s="13">
        <f t="shared" si="37"/>
        <v>6.6437283235181901E-7</v>
      </c>
      <c r="AF200" s="13">
        <f t="shared" si="38"/>
        <v>2.0885107095768288E-7</v>
      </c>
      <c r="AG200" s="13">
        <f t="shared" si="39"/>
        <v>2.0885107095768291E-7</v>
      </c>
      <c r="AH200" s="10"/>
      <c r="AI200" s="13">
        <f t="shared" si="33"/>
        <v>4.291299681079939E-19</v>
      </c>
      <c r="AJ200" s="10"/>
      <c r="AK200" s="10"/>
      <c r="AL200" s="10"/>
      <c r="AM200" s="10"/>
      <c r="AN200" s="10"/>
    </row>
    <row r="201" spans="19:40">
      <c r="S201" s="10"/>
      <c r="T201" s="12">
        <v>195</v>
      </c>
      <c r="U201" s="13">
        <f t="shared" si="34"/>
        <v>0.29576477013684788</v>
      </c>
      <c r="V201" s="13">
        <f t="shared" si="40"/>
        <v>4.2358055989045511E-19</v>
      </c>
      <c r="W201" s="13">
        <f t="shared" si="41"/>
        <v>4.2358055989045511E-19</v>
      </c>
      <c r="X201" s="13">
        <v>0</v>
      </c>
      <c r="Y201" s="13">
        <v>0</v>
      </c>
      <c r="Z201" s="13">
        <v>0</v>
      </c>
      <c r="AA201" s="13">
        <f t="shared" si="42"/>
        <v>4.9305592696307458E-3</v>
      </c>
      <c r="AB201" s="13">
        <f t="shared" si="43"/>
        <v>659.99506944073016</v>
      </c>
      <c r="AC201" s="13">
        <f t="shared" si="35"/>
        <v>659.99999999999977</v>
      </c>
      <c r="AD201" s="13">
        <f t="shared" si="36"/>
        <v>6.3211481256766067E-3</v>
      </c>
      <c r="AE201" s="13">
        <f t="shared" si="37"/>
        <v>6.2254536232711458E-7</v>
      </c>
      <c r="AF201" s="13">
        <f t="shared" si="38"/>
        <v>1.9512555688267617E-7</v>
      </c>
      <c r="AG201" s="13">
        <f t="shared" si="39"/>
        <v>1.9512555688267617E-7</v>
      </c>
      <c r="AH201" s="10"/>
      <c r="AI201" s="13">
        <f t="shared" si="33"/>
        <v>3.1934243678722464E-19</v>
      </c>
      <c r="AJ201" s="10"/>
      <c r="AK201" s="10"/>
      <c r="AL201" s="10"/>
      <c r="AM201" s="10"/>
      <c r="AN201" s="10"/>
    </row>
    <row r="202" spans="19:40">
      <c r="S202" s="10"/>
      <c r="T202" s="12">
        <v>196</v>
      </c>
      <c r="U202" s="13">
        <f t="shared" si="34"/>
        <v>0.29630116406728735</v>
      </c>
      <c r="V202" s="13">
        <f t="shared" si="40"/>
        <v>2.9799887073060475E-19</v>
      </c>
      <c r="W202" s="13">
        <f t="shared" si="41"/>
        <v>2.9799887073060475E-19</v>
      </c>
      <c r="X202" s="13">
        <v>0</v>
      </c>
      <c r="Y202" s="13">
        <v>0</v>
      </c>
      <c r="Z202" s="13">
        <v>0</v>
      </c>
      <c r="AA202" s="13">
        <f t="shared" si="42"/>
        <v>4.6201419707694071E-3</v>
      </c>
      <c r="AB202" s="13">
        <f t="shared" si="43"/>
        <v>659.99537985802897</v>
      </c>
      <c r="AC202" s="13">
        <f t="shared" si="35"/>
        <v>659.99999999999977</v>
      </c>
      <c r="AD202" s="13">
        <f t="shared" si="36"/>
        <v>5.9057276675897226E-3</v>
      </c>
      <c r="AE202" s="13">
        <f t="shared" si="37"/>
        <v>5.8335125893553138E-7</v>
      </c>
      <c r="AF202" s="13">
        <f t="shared" si="38"/>
        <v>1.823020718744075E-7</v>
      </c>
      <c r="AG202" s="13">
        <f t="shared" si="39"/>
        <v>1.823020718744075E-7</v>
      </c>
      <c r="AH202" s="10"/>
      <c r="AI202" s="13">
        <f t="shared" si="33"/>
        <v>2.3751502433441155E-19</v>
      </c>
      <c r="AJ202" s="10"/>
      <c r="AK202" s="10"/>
      <c r="AL202" s="10"/>
      <c r="AM202" s="10"/>
      <c r="AN202" s="10"/>
    </row>
    <row r="203" spans="19:40">
      <c r="S203" s="10"/>
      <c r="T203" s="12">
        <v>197</v>
      </c>
      <c r="U203" s="13">
        <f t="shared" si="34"/>
        <v>0.29683579362435275</v>
      </c>
      <c r="V203" s="13">
        <f t="shared" si="40"/>
        <v>2.0948988439563089E-19</v>
      </c>
      <c r="W203" s="13">
        <f t="shared" si="41"/>
        <v>2.0948988439563089E-19</v>
      </c>
      <c r="X203" s="13">
        <v>0</v>
      </c>
      <c r="Y203" s="13">
        <v>0</v>
      </c>
      <c r="Z203" s="13">
        <v>0</v>
      </c>
      <c r="AA203" s="13">
        <f t="shared" si="42"/>
        <v>4.3292678705926235E-3</v>
      </c>
      <c r="AB203" s="13">
        <f t="shared" si="43"/>
        <v>659.99567073212916</v>
      </c>
      <c r="AC203" s="13">
        <f t="shared" si="35"/>
        <v>659.99999999999977</v>
      </c>
      <c r="AD203" s="13">
        <f t="shared" si="36"/>
        <v>5.5176082873396506E-3</v>
      </c>
      <c r="AE203" s="13">
        <f t="shared" si="37"/>
        <v>5.4662473113543243E-7</v>
      </c>
      <c r="AF203" s="13">
        <f t="shared" si="38"/>
        <v>1.7032133535272562E-7</v>
      </c>
      <c r="AG203" s="13">
        <f t="shared" si="39"/>
        <v>1.7032133535272565E-7</v>
      </c>
      <c r="AH203" s="10"/>
      <c r="AI203" s="13">
        <f t="shared" si="33"/>
        <v>1.7656026389030523E-19</v>
      </c>
      <c r="AJ203" s="10"/>
      <c r="AK203" s="10"/>
      <c r="AL203" s="10"/>
      <c r="AM203" s="10"/>
      <c r="AN203" s="10"/>
    </row>
    <row r="204" spans="19:40">
      <c r="S204" s="10"/>
      <c r="T204" s="12">
        <v>198</v>
      </c>
      <c r="U204" s="13">
        <f t="shared" si="34"/>
        <v>0.29736867352386825</v>
      </c>
      <c r="V204" s="13">
        <f t="shared" si="40"/>
        <v>1.4715742064383593E-19</v>
      </c>
      <c r="W204" s="13">
        <f t="shared" si="41"/>
        <v>1.4715742064383593E-19</v>
      </c>
      <c r="X204" s="13">
        <v>0</v>
      </c>
      <c r="Y204" s="13">
        <v>0</v>
      </c>
      <c r="Z204" s="13">
        <v>0</v>
      </c>
      <c r="AA204" s="13">
        <f t="shared" si="42"/>
        <v>4.0567065717732331E-3</v>
      </c>
      <c r="AB204" s="13">
        <f t="shared" si="43"/>
        <v>659.99594329342801</v>
      </c>
      <c r="AC204" s="13">
        <f t="shared" si="35"/>
        <v>659.99999999999977</v>
      </c>
      <c r="AD204" s="13">
        <f t="shared" si="36"/>
        <v>5.154995781399478E-3</v>
      </c>
      <c r="AE204" s="13">
        <f t="shared" si="37"/>
        <v>5.122104257289437E-7</v>
      </c>
      <c r="AF204" s="13">
        <f t="shared" si="38"/>
        <v>1.591279626065957E-7</v>
      </c>
      <c r="AG204" s="13">
        <f t="shared" si="39"/>
        <v>1.591279626065957E-7</v>
      </c>
      <c r="AH204" s="10"/>
      <c r="AI204" s="13">
        <f t="shared" si="33"/>
        <v>1.3117861631173018E-19</v>
      </c>
      <c r="AJ204" s="10"/>
      <c r="AK204" s="10"/>
      <c r="AL204" s="10"/>
      <c r="AM204" s="10"/>
      <c r="AN204" s="10"/>
    </row>
    <row r="205" spans="19:40">
      <c r="S205" s="10"/>
      <c r="T205" s="12">
        <v>199</v>
      </c>
      <c r="U205" s="13">
        <f t="shared" si="34"/>
        <v>0.29789981828533629</v>
      </c>
      <c r="V205" s="13">
        <f t="shared" si="40"/>
        <v>1.0329344725654644E-19</v>
      </c>
      <c r="W205" s="13">
        <f t="shared" si="41"/>
        <v>1.0329344725654644E-19</v>
      </c>
      <c r="X205" s="13">
        <v>0</v>
      </c>
      <c r="Y205" s="13">
        <v>0</v>
      </c>
      <c r="Z205" s="13">
        <v>0</v>
      </c>
      <c r="AA205" s="13">
        <f t="shared" si="42"/>
        <v>3.8013051401264747E-3</v>
      </c>
      <c r="AB205" s="13">
        <f t="shared" si="43"/>
        <v>659.99619869485969</v>
      </c>
      <c r="AC205" s="13">
        <f t="shared" si="35"/>
        <v>659.99999999999977</v>
      </c>
      <c r="AD205" s="13">
        <f t="shared" si="36"/>
        <v>4.8162138597662605E-3</v>
      </c>
      <c r="AE205" s="13">
        <f t="shared" si="37"/>
        <v>4.7996277021798944E-7</v>
      </c>
      <c r="AF205" s="13">
        <f t="shared" si="38"/>
        <v>1.4867020876090667E-7</v>
      </c>
      <c r="AG205" s="13">
        <f t="shared" si="39"/>
        <v>1.4867020876090667E-7</v>
      </c>
      <c r="AH205" s="10"/>
      <c r="AI205" s="13">
        <f t="shared" si="33"/>
        <v>9.7409670084102594E-20</v>
      </c>
      <c r="AJ205" s="10"/>
      <c r="AK205" s="10"/>
      <c r="AL205" s="10"/>
      <c r="AM205" s="10"/>
      <c r="AN205" s="10"/>
    </row>
    <row r="206" spans="19:40">
      <c r="S206" s="10"/>
      <c r="T206" s="12">
        <v>200</v>
      </c>
      <c r="U206" s="13">
        <f t="shared" si="34"/>
        <v>0.29842924223552902</v>
      </c>
      <c r="V206" s="13">
        <f t="shared" si="40"/>
        <v>7.244954923189984E-20</v>
      </c>
      <c r="W206" s="13">
        <f t="shared" si="41"/>
        <v>7.244954923189984E-20</v>
      </c>
      <c r="X206" s="13">
        <v>0</v>
      </c>
      <c r="Y206" s="13">
        <v>0</v>
      </c>
      <c r="Z206" s="13">
        <v>0</v>
      </c>
      <c r="AA206" s="13">
        <f t="shared" si="42"/>
        <v>3.5619832276988501E-3</v>
      </c>
      <c r="AB206" s="13">
        <f t="shared" si="43"/>
        <v>659.99643801677212</v>
      </c>
      <c r="AC206" s="13">
        <f t="shared" si="35"/>
        <v>659.99999999999977</v>
      </c>
      <c r="AD206" s="13">
        <f t="shared" si="36"/>
        <v>4.4996963967849071E-3</v>
      </c>
      <c r="AE206" s="13">
        <f t="shared" si="37"/>
        <v>4.4974535703268325E-7</v>
      </c>
      <c r="AF206" s="13">
        <f t="shared" si="38"/>
        <v>1.3889972956956232E-7</v>
      </c>
      <c r="AG206" s="13">
        <f t="shared" si="39"/>
        <v>1.3889972956956232E-7</v>
      </c>
      <c r="AH206" s="10"/>
      <c r="AI206" s="13">
        <f t="shared" si="33"/>
        <v>7.2295422518407009E-20</v>
      </c>
      <c r="AJ206" s="10"/>
      <c r="AK206" s="10"/>
      <c r="AL206" s="10"/>
      <c r="AM206" s="10"/>
      <c r="AN206" s="10"/>
    </row>
    <row r="207" spans="19:40">
      <c r="S207" s="10"/>
      <c r="T207" s="12">
        <v>201</v>
      </c>
      <c r="U207" s="13">
        <f t="shared" si="34"/>
        <v>0.29895695951199552</v>
      </c>
      <c r="V207" s="13">
        <f t="shared" si="40"/>
        <v>5.0777548018401319E-20</v>
      </c>
      <c r="W207" s="13">
        <f t="shared" si="41"/>
        <v>5.0777548018401319E-20</v>
      </c>
      <c r="X207" s="13">
        <v>0</v>
      </c>
      <c r="Y207" s="13">
        <v>0</v>
      </c>
      <c r="Z207" s="13">
        <v>0</v>
      </c>
      <c r="AA207" s="13">
        <f t="shared" si="42"/>
        <v>3.3377285028967129E-3</v>
      </c>
      <c r="AB207" s="13">
        <f t="shared" si="43"/>
        <v>659.99666227149692</v>
      </c>
      <c r="AC207" s="13">
        <f t="shared" si="35"/>
        <v>659.99999999999977</v>
      </c>
      <c r="AD207" s="13">
        <f t="shared" si="36"/>
        <v>4.2039801912412819E-3</v>
      </c>
      <c r="AE207" s="13">
        <f t="shared" si="37"/>
        <v>4.2143036652736286E-7</v>
      </c>
      <c r="AF207" s="13">
        <f t="shared" si="38"/>
        <v>1.2977135792904559E-7</v>
      </c>
      <c r="AG207" s="13">
        <f t="shared" si="39"/>
        <v>1.2977135792904559E-7</v>
      </c>
      <c r="AH207" s="10"/>
      <c r="AI207" s="13">
        <f t="shared" si="33"/>
        <v>5.362779903356434E-20</v>
      </c>
      <c r="AJ207" s="10"/>
      <c r="AK207" s="10"/>
      <c r="AL207" s="10"/>
      <c r="AM207" s="10"/>
      <c r="AN207" s="10"/>
    </row>
    <row r="208" spans="19:40">
      <c r="S208" s="10"/>
      <c r="T208" s="12">
        <v>202</v>
      </c>
      <c r="U208" s="13">
        <f t="shared" si="34"/>
        <v>0.29948298406648877</v>
      </c>
      <c r="V208" s="13">
        <f t="shared" si="40"/>
        <v>3.5561632410967527E-20</v>
      </c>
      <c r="W208" s="13">
        <f t="shared" si="41"/>
        <v>3.5561632410967527E-20</v>
      </c>
      <c r="X208" s="13">
        <v>0</v>
      </c>
      <c r="Y208" s="13">
        <v>0</v>
      </c>
      <c r="Z208" s="13">
        <v>0</v>
      </c>
      <c r="AA208" s="13">
        <f t="shared" si="42"/>
        <v>3.1275923683240334E-3</v>
      </c>
      <c r="AB208" s="13">
        <f t="shared" si="43"/>
        <v>659.99687240763149</v>
      </c>
      <c r="AC208" s="13">
        <f t="shared" si="35"/>
        <v>659.99999999999977</v>
      </c>
      <c r="AD208" s="13">
        <f t="shared" si="36"/>
        <v>3.9276982022558218E-3</v>
      </c>
      <c r="AE208" s="13">
        <f t="shared" si="37"/>
        <v>3.9489802630353966E-7</v>
      </c>
      <c r="AF208" s="13">
        <f t="shared" si="38"/>
        <v>1.2124289507932068E-7</v>
      </c>
      <c r="AG208" s="13">
        <f t="shared" si="39"/>
        <v>1.2124289507932068E-7</v>
      </c>
      <c r="AH208" s="10"/>
      <c r="AI208" s="13">
        <f t="shared" si="33"/>
        <v>3.9759446475263262E-20</v>
      </c>
      <c r="AJ208" s="10"/>
      <c r="AK208" s="10"/>
      <c r="AL208" s="10"/>
      <c r="AM208" s="10"/>
      <c r="AN208" s="10"/>
    </row>
    <row r="209" spans="19:40">
      <c r="S209" s="10"/>
      <c r="T209" s="12">
        <v>203</v>
      </c>
      <c r="U209" s="13">
        <f t="shared" si="34"/>
        <v>0.30000732966831306</v>
      </c>
      <c r="V209" s="13">
        <f t="shared" si="40"/>
        <v>2.4886646188228045E-20</v>
      </c>
      <c r="W209" s="13">
        <f t="shared" si="41"/>
        <v>2.4886646188228045E-20</v>
      </c>
      <c r="X209" s="13">
        <v>0</v>
      </c>
      <c r="Y209" s="13">
        <v>0</v>
      </c>
      <c r="Z209" s="13">
        <v>0</v>
      </c>
      <c r="AA209" s="13">
        <f t="shared" si="42"/>
        <v>2.9306859482157942E-3</v>
      </c>
      <c r="AB209" s="13">
        <f t="shared" si="43"/>
        <v>659.9970693140516</v>
      </c>
      <c r="AC209" s="13">
        <f t="shared" si="35"/>
        <v>659.99999999999977</v>
      </c>
      <c r="AD209" s="13">
        <f t="shared" si="36"/>
        <v>3.6695732297084508E-3</v>
      </c>
      <c r="AE209" s="13">
        <f t="shared" si="37"/>
        <v>3.7003610457270142E-7</v>
      </c>
      <c r="AF209" s="13">
        <f t="shared" si="38"/>
        <v>1.1327491552683391E-7</v>
      </c>
      <c r="AG209" s="13">
        <f t="shared" si="39"/>
        <v>1.1327491552683391E-7</v>
      </c>
      <c r="AH209" s="10"/>
      <c r="AI209" s="13">
        <f t="shared" si="33"/>
        <v>2.9462025527045007E-20</v>
      </c>
      <c r="AJ209" s="10"/>
      <c r="AK209" s="10"/>
      <c r="AL209" s="10"/>
      <c r="AM209" s="10"/>
      <c r="AN209" s="10"/>
    </row>
    <row r="210" spans="19:40">
      <c r="S210" s="10"/>
      <c r="T210" s="12">
        <v>204</v>
      </c>
      <c r="U210" s="13">
        <f t="shared" si="34"/>
        <v>0.30053000990759654</v>
      </c>
      <c r="V210" s="13">
        <f t="shared" si="40"/>
        <v>1.7403098210759418E-20</v>
      </c>
      <c r="W210" s="13">
        <f t="shared" si="41"/>
        <v>1.7403098210759418E-20</v>
      </c>
      <c r="X210" s="13">
        <v>0</v>
      </c>
      <c r="Y210" s="13">
        <v>0</v>
      </c>
      <c r="Z210" s="13">
        <v>0</v>
      </c>
      <c r="AA210" s="13">
        <f t="shared" si="42"/>
        <v>2.7461763284938596E-3</v>
      </c>
      <c r="AB210" s="13">
        <f t="shared" si="43"/>
        <v>659.99725382367137</v>
      </c>
      <c r="AC210" s="13">
        <f t="shared" si="35"/>
        <v>659.99999999999989</v>
      </c>
      <c r="AD210" s="13">
        <f t="shared" si="36"/>
        <v>3.4284120099805581E-3</v>
      </c>
      <c r="AE210" s="13">
        <f t="shared" si="37"/>
        <v>3.4673943541589144E-7</v>
      </c>
      <c r="AF210" s="13">
        <f t="shared" si="38"/>
        <v>1.0583058478780797E-7</v>
      </c>
      <c r="AG210" s="13">
        <f t="shared" si="39"/>
        <v>1.0583058478780797E-7</v>
      </c>
      <c r="AH210" s="10"/>
      <c r="AI210" s="13">
        <f t="shared" si="33"/>
        <v>2.182013911211888E-20</v>
      </c>
      <c r="AJ210" s="10"/>
      <c r="AK210" s="10"/>
      <c r="AL210" s="10"/>
      <c r="AM210" s="10"/>
      <c r="AN210" s="10"/>
    </row>
    <row r="211" spans="19:40">
      <c r="S211" s="10"/>
      <c r="T211" s="12">
        <v>205</v>
      </c>
      <c r="U211" s="13">
        <f t="shared" si="34"/>
        <v>0.3010510381984875</v>
      </c>
      <c r="V211" s="13">
        <f t="shared" si="40"/>
        <v>1.2160825738343051E-20</v>
      </c>
      <c r="W211" s="13">
        <f t="shared" si="41"/>
        <v>1.2160825738343051E-20</v>
      </c>
      <c r="X211" s="13">
        <v>0</v>
      </c>
      <c r="Y211" s="13">
        <v>0</v>
      </c>
      <c r="Z211" s="13">
        <v>0</v>
      </c>
      <c r="AA211" s="13">
        <f t="shared" si="42"/>
        <v>2.5732830335407591E-3</v>
      </c>
      <c r="AB211" s="13">
        <f t="shared" si="43"/>
        <v>659.99742671696629</v>
      </c>
      <c r="AC211" s="13">
        <f t="shared" si="35"/>
        <v>659.99999999999977</v>
      </c>
      <c r="AD211" s="13">
        <f t="shared" si="36"/>
        <v>3.2030996997197939E-3</v>
      </c>
      <c r="AE211" s="13">
        <f t="shared" si="37"/>
        <v>3.2490947393191413E-7</v>
      </c>
      <c r="AF211" s="13">
        <f t="shared" si="38"/>
        <v>9.8875489109291805E-8</v>
      </c>
      <c r="AG211" s="13">
        <f t="shared" si="39"/>
        <v>9.8875489109291805E-8</v>
      </c>
      <c r="AH211" s="10"/>
      <c r="AI211" s="13">
        <f t="shared" si="33"/>
        <v>1.6151980838147413E-20</v>
      </c>
      <c r="AJ211" s="10"/>
      <c r="AK211" s="10"/>
      <c r="AL211" s="10"/>
      <c r="AM211" s="10"/>
      <c r="AN211" s="10"/>
    </row>
    <row r="212" spans="19:40">
      <c r="S212" s="10"/>
      <c r="T212" s="12">
        <v>206</v>
      </c>
      <c r="U212" s="13">
        <f t="shared" si="34"/>
        <v>0.30157042778227922</v>
      </c>
      <c r="V212" s="13">
        <f t="shared" si="40"/>
        <v>8.4913478790713073E-21</v>
      </c>
      <c r="W212" s="13">
        <f t="shared" si="41"/>
        <v>8.4913478790713073E-21</v>
      </c>
      <c r="X212" s="13">
        <v>0</v>
      </c>
      <c r="Y212" s="13">
        <v>0</v>
      </c>
      <c r="Z212" s="13">
        <v>0</v>
      </c>
      <c r="AA212" s="13">
        <f t="shared" si="42"/>
        <v>2.4112747247881385E-3</v>
      </c>
      <c r="AB212" s="13">
        <f t="shared" si="43"/>
        <v>659.99758872527502</v>
      </c>
      <c r="AC212" s="13">
        <f t="shared" si="35"/>
        <v>659.99999999999977</v>
      </c>
      <c r="AD212" s="13">
        <f t="shared" si="36"/>
        <v>2.9925947221271154E-3</v>
      </c>
      <c r="AE212" s="13">
        <f t="shared" si="37"/>
        <v>3.0445387939244184E-7</v>
      </c>
      <c r="AF212" s="13">
        <f t="shared" si="38"/>
        <v>9.2377476380797148E-8</v>
      </c>
      <c r="AG212" s="13">
        <f t="shared" si="39"/>
        <v>9.2377476380797148E-8</v>
      </c>
      <c r="AH212" s="10"/>
      <c r="AI212" s="13">
        <f t="shared" si="33"/>
        <v>1.1950006540054551E-20</v>
      </c>
      <c r="AJ212" s="10"/>
      <c r="AK212" s="10"/>
      <c r="AL212" s="10"/>
      <c r="AM212" s="10"/>
      <c r="AN212" s="10"/>
    </row>
    <row r="213" spans="19:40">
      <c r="S213" s="10"/>
      <c r="T213" s="12">
        <v>207</v>
      </c>
      <c r="U213" s="13">
        <f t="shared" si="34"/>
        <v>0.30208819173046486</v>
      </c>
      <c r="V213" s="13">
        <f t="shared" si="40"/>
        <v>5.9247229682782839E-21</v>
      </c>
      <c r="W213" s="13">
        <f t="shared" si="41"/>
        <v>5.9247229682782839E-21</v>
      </c>
      <c r="X213" s="13">
        <v>0</v>
      </c>
      <c r="Y213" s="13">
        <v>0</v>
      </c>
      <c r="Z213" s="13">
        <v>0</v>
      </c>
      <c r="AA213" s="13">
        <f t="shared" si="42"/>
        <v>2.2594661071549085E-3</v>
      </c>
      <c r="AB213" s="13">
        <f t="shared" si="43"/>
        <v>659.99774053389262</v>
      </c>
      <c r="AC213" s="13">
        <f t="shared" si="35"/>
        <v>659.99999999999977</v>
      </c>
      <c r="AD213" s="13">
        <f t="shared" si="36"/>
        <v>2.7959239519414593E-3</v>
      </c>
      <c r="AE213" s="13">
        <f t="shared" si="37"/>
        <v>2.8528612464077138E-7</v>
      </c>
      <c r="AF213" s="13">
        <f t="shared" si="38"/>
        <v>8.6306507501086988E-8</v>
      </c>
      <c r="AG213" s="13">
        <f t="shared" si="39"/>
        <v>8.6306507501086988E-8</v>
      </c>
      <c r="AH213" s="10"/>
      <c r="AI213" s="13">
        <f t="shared" si="33"/>
        <v>8.8366017116057152E-21</v>
      </c>
      <c r="AJ213" s="10"/>
      <c r="AK213" s="10"/>
      <c r="AL213" s="10"/>
      <c r="AM213" s="10"/>
      <c r="AN213" s="10"/>
    </row>
    <row r="214" spans="19:40">
      <c r="S214" s="10"/>
      <c r="T214" s="12">
        <v>208</v>
      </c>
      <c r="U214" s="13">
        <f t="shared" si="34"/>
        <v>0.30260434294772309</v>
      </c>
      <c r="V214" s="13">
        <f t="shared" si="40"/>
        <v>4.1308371484437035E-21</v>
      </c>
      <c r="W214" s="13">
        <f t="shared" si="41"/>
        <v>4.1308371484437035E-21</v>
      </c>
      <c r="X214" s="13">
        <v>0</v>
      </c>
      <c r="Y214" s="13">
        <v>0</v>
      </c>
      <c r="Z214" s="13">
        <v>0</v>
      </c>
      <c r="AA214" s="13">
        <f t="shared" si="42"/>
        <v>2.1172150302493269E-3</v>
      </c>
      <c r="AB214" s="13">
        <f t="shared" si="43"/>
        <v>659.99788278496953</v>
      </c>
      <c r="AC214" s="13">
        <f t="shared" si="35"/>
        <v>659.99999999999977</v>
      </c>
      <c r="AD214" s="13">
        <f t="shared" si="36"/>
        <v>2.6121782168631045E-3</v>
      </c>
      <c r="AE214" s="13">
        <f t="shared" si="37"/>
        <v>2.6732513008198582E-7</v>
      </c>
      <c r="AF214" s="13">
        <f t="shared" si="38"/>
        <v>8.063451751301137E-8</v>
      </c>
      <c r="AG214" s="13">
        <f t="shared" si="39"/>
        <v>8.063451751301137E-8</v>
      </c>
      <c r="AH214" s="10"/>
      <c r="AI214" s="13">
        <f t="shared" si="33"/>
        <v>6.5309732807930579E-21</v>
      </c>
      <c r="AJ214" s="10"/>
      <c r="AK214" s="10"/>
      <c r="AL214" s="10"/>
      <c r="AM214" s="10"/>
      <c r="AN214" s="10"/>
    </row>
    <row r="215" spans="19:40">
      <c r="S215" s="10"/>
      <c r="T215" s="12">
        <v>209</v>
      </c>
      <c r="U215" s="13">
        <f t="shared" si="34"/>
        <v>0.30311889417483728</v>
      </c>
      <c r="V215" s="13">
        <f t="shared" si="40"/>
        <v>2.8779780046598363E-21</v>
      </c>
      <c r="W215" s="13">
        <f t="shared" si="41"/>
        <v>2.8779780046598363E-21</v>
      </c>
      <c r="X215" s="13">
        <v>0</v>
      </c>
      <c r="Y215" s="13">
        <v>0</v>
      </c>
      <c r="Z215" s="13">
        <v>0</v>
      </c>
      <c r="AA215" s="13">
        <f t="shared" si="42"/>
        <v>1.9839197720730993E-3</v>
      </c>
      <c r="AB215" s="13">
        <f t="shared" si="43"/>
        <v>659.99801608022767</v>
      </c>
      <c r="AC215" s="13">
        <f t="shared" si="35"/>
        <v>659.99999999999977</v>
      </c>
      <c r="AD215" s="13">
        <f t="shared" si="36"/>
        <v>2.4405080946196551E-3</v>
      </c>
      <c r="AE215" s="13">
        <f t="shared" si="37"/>
        <v>2.5049492071630053E-7</v>
      </c>
      <c r="AF215" s="13">
        <f t="shared" si="38"/>
        <v>7.5335285864443637E-8</v>
      </c>
      <c r="AG215" s="13">
        <f t="shared" si="39"/>
        <v>7.5335285864443637E-8</v>
      </c>
      <c r="AH215" s="10"/>
      <c r="AI215" s="13">
        <f t="shared" si="33"/>
        <v>4.8244378894539278E-21</v>
      </c>
      <c r="AJ215" s="10"/>
      <c r="AK215" s="10"/>
      <c r="AL215" s="10"/>
      <c r="AM215" s="10"/>
      <c r="AN215" s="10"/>
    </row>
    <row r="216" spans="19:40">
      <c r="S216" s="10"/>
      <c r="T216" s="12">
        <v>210</v>
      </c>
      <c r="U216" s="13">
        <f t="shared" si="34"/>
        <v>0.30363185799155062</v>
      </c>
      <c r="V216" s="13">
        <f t="shared" si="40"/>
        <v>2.0036275333198797E-21</v>
      </c>
      <c r="W216" s="13">
        <f t="shared" si="41"/>
        <v>2.0036275333198797E-21</v>
      </c>
      <c r="X216" s="13">
        <v>0</v>
      </c>
      <c r="Y216" s="13">
        <v>0</v>
      </c>
      <c r="Z216" s="13">
        <v>0</v>
      </c>
      <c r="AA216" s="13">
        <f t="shared" si="42"/>
        <v>1.8590164937375656E-3</v>
      </c>
      <c r="AB216" s="13">
        <f t="shared" si="43"/>
        <v>659.998140983506</v>
      </c>
      <c r="AC216" s="13">
        <f t="shared" si="35"/>
        <v>659.99999999999977</v>
      </c>
      <c r="AD216" s="13">
        <f t="shared" si="36"/>
        <v>2.2801199862452575E-3</v>
      </c>
      <c r="AE216" s="13">
        <f t="shared" si="37"/>
        <v>2.3472430476484422E-7</v>
      </c>
      <c r="AF216" s="13">
        <f t="shared" si="38"/>
        <v>7.038431519555686E-8</v>
      </c>
      <c r="AG216" s="13">
        <f t="shared" si="39"/>
        <v>7.038431519555686E-8</v>
      </c>
      <c r="AH216" s="10"/>
      <c r="AI216" s="13">
        <f t="shared" si="33"/>
        <v>3.5619876601647743E-21</v>
      </c>
      <c r="AJ216" s="10"/>
      <c r="AK216" s="10"/>
      <c r="AL216" s="10"/>
      <c r="AM216" s="10"/>
      <c r="AN216" s="10"/>
    </row>
    <row r="217" spans="19:40">
      <c r="S217" s="10"/>
      <c r="T217" s="12">
        <v>211</v>
      </c>
      <c r="U217" s="13">
        <f t="shared" si="34"/>
        <v>0.30414324681935723</v>
      </c>
      <c r="V217" s="13">
        <f t="shared" si="40"/>
        <v>1.393886407507715E-21</v>
      </c>
      <c r="W217" s="13">
        <f t="shared" si="41"/>
        <v>1.393886407507715E-21</v>
      </c>
      <c r="X217" s="13">
        <v>0</v>
      </c>
      <c r="Y217" s="13">
        <v>0</v>
      </c>
      <c r="Z217" s="13">
        <v>0</v>
      </c>
      <c r="AA217" s="13">
        <f t="shared" si="42"/>
        <v>1.7419768544254294E-3</v>
      </c>
      <c r="AB217" s="13">
        <f t="shared" si="43"/>
        <v>659.99825802314535</v>
      </c>
      <c r="AC217" s="13">
        <f t="shared" si="35"/>
        <v>659.99999999999977</v>
      </c>
      <c r="AD217" s="13">
        <f t="shared" si="36"/>
        <v>2.130272447420548E-3</v>
      </c>
      <c r="AE217" s="13">
        <f t="shared" si="37"/>
        <v>2.1994657252846339E-7</v>
      </c>
      <c r="AF217" s="13">
        <f t="shared" si="38"/>
        <v>6.5758718092097094E-8</v>
      </c>
      <c r="AG217" s="13">
        <f t="shared" si="39"/>
        <v>6.5758718092097094E-8</v>
      </c>
      <c r="AH217" s="10"/>
      <c r="AI217" s="13">
        <f t="shared" si="33"/>
        <v>2.6285465147245038E-21</v>
      </c>
      <c r="AJ217" s="10"/>
      <c r="AK217" s="10"/>
      <c r="AL217" s="10"/>
      <c r="AM217" s="10"/>
      <c r="AN217" s="10"/>
    </row>
    <row r="218" spans="19:40">
      <c r="S218" s="10"/>
      <c r="T218" s="12">
        <v>212</v>
      </c>
      <c r="U218" s="13">
        <f t="shared" si="34"/>
        <v>0.30465307292423233</v>
      </c>
      <c r="V218" s="13">
        <f t="shared" si="40"/>
        <v>9.6899020777238329E-22</v>
      </c>
      <c r="W218" s="13">
        <f t="shared" si="41"/>
        <v>9.6899020777238329E-22</v>
      </c>
      <c r="X218" s="13">
        <v>0</v>
      </c>
      <c r="Y218" s="13">
        <v>0</v>
      </c>
      <c r="Z218" s="13">
        <v>0</v>
      </c>
      <c r="AA218" s="13">
        <f t="shared" si="42"/>
        <v>1.632305776509311E-3</v>
      </c>
      <c r="AB218" s="13">
        <f t="shared" si="43"/>
        <v>659.99836769422325</v>
      </c>
      <c r="AC218" s="13">
        <f t="shared" si="35"/>
        <v>659.99999999999977</v>
      </c>
      <c r="AD218" s="13">
        <f t="shared" si="36"/>
        <v>1.9902727609138206E-3</v>
      </c>
      <c r="AE218" s="13">
        <f t="shared" si="37"/>
        <v>2.0609921420572115E-7</v>
      </c>
      <c r="AF218" s="13">
        <f t="shared" si="38"/>
        <v>6.1437111281134843E-8</v>
      </c>
      <c r="AG218" s="13">
        <f t="shared" si="39"/>
        <v>6.1437111281134843E-8</v>
      </c>
      <c r="AH218" s="10"/>
      <c r="AI218" s="13">
        <f t="shared" si="33"/>
        <v>1.9387292793720679E-21</v>
      </c>
      <c r="AJ218" s="10"/>
      <c r="AK218" s="10"/>
      <c r="AL218" s="10"/>
      <c r="AM218" s="10"/>
      <c r="AN218" s="10"/>
    </row>
    <row r="219" spans="19:40">
      <c r="S219" s="10"/>
      <c r="T219" s="12">
        <v>213</v>
      </c>
      <c r="U219" s="13">
        <f t="shared" si="34"/>
        <v>0.3051613484193032</v>
      </c>
      <c r="V219" s="13">
        <f t="shared" si="40"/>
        <v>6.7312193387230874E-22</v>
      </c>
      <c r="W219" s="13">
        <f t="shared" si="41"/>
        <v>6.7312193387230874E-22</v>
      </c>
      <c r="X219" s="13">
        <v>0</v>
      </c>
      <c r="Y219" s="13">
        <v>0</v>
      </c>
      <c r="Z219" s="13">
        <v>0</v>
      </c>
      <c r="AA219" s="13">
        <f t="shared" si="42"/>
        <v>1.5295393513735825E-3</v>
      </c>
      <c r="AB219" s="13">
        <f t="shared" si="43"/>
        <v>659.99847046064838</v>
      </c>
      <c r="AC219" s="13">
        <f t="shared" si="35"/>
        <v>659.99999999999977</v>
      </c>
      <c r="AD219" s="13">
        <f t="shared" si="36"/>
        <v>1.8594737342784229E-3</v>
      </c>
      <c r="AE219" s="13">
        <f t="shared" si="37"/>
        <v>1.9312365547646251E-7</v>
      </c>
      <c r="AF219" s="13">
        <f t="shared" si="38"/>
        <v>5.7399516780181423E-8</v>
      </c>
      <c r="AG219" s="13">
        <f t="shared" si="39"/>
        <v>5.739951678018143E-8</v>
      </c>
      <c r="AH219" s="10"/>
      <c r="AI219" s="13">
        <f t="shared" si="33"/>
        <v>1.4292150942516719E-21</v>
      </c>
      <c r="AJ219" s="10"/>
      <c r="AK219" s="10"/>
      <c r="AL219" s="10"/>
      <c r="AM219" s="10"/>
      <c r="AN219" s="10"/>
    </row>
    <row r="220" spans="19:40">
      <c r="S220" s="10"/>
      <c r="T220" s="12">
        <v>214</v>
      </c>
      <c r="U220" s="13">
        <f t="shared" si="34"/>
        <v>0.30566808526746037</v>
      </c>
      <c r="V220" s="13">
        <f t="shared" si="40"/>
        <v>4.6725200713849206E-22</v>
      </c>
      <c r="W220" s="13">
        <f t="shared" si="41"/>
        <v>4.6725200713849206E-22</v>
      </c>
      <c r="X220" s="13">
        <v>0</v>
      </c>
      <c r="Y220" s="13">
        <v>0</v>
      </c>
      <c r="Z220" s="13">
        <v>0</v>
      </c>
      <c r="AA220" s="13">
        <f t="shared" si="42"/>
        <v>1.4332428770811095E-3</v>
      </c>
      <c r="AB220" s="13">
        <f t="shared" si="43"/>
        <v>659.99856675712272</v>
      </c>
      <c r="AC220" s="13">
        <f t="shared" si="35"/>
        <v>659.99999999999977</v>
      </c>
      <c r="AD220" s="13">
        <f t="shared" si="36"/>
        <v>1.7372707080027517E-3</v>
      </c>
      <c r="AE220" s="13">
        <f t="shared" si="37"/>
        <v>1.8096500973246336E-7</v>
      </c>
      <c r="AF220" s="13">
        <f t="shared" si="38"/>
        <v>5.3627269542700915E-8</v>
      </c>
      <c r="AG220" s="13">
        <f t="shared" si="39"/>
        <v>5.3627269542700915E-8</v>
      </c>
      <c r="AH220" s="10"/>
      <c r="AI220" s="13">
        <f t="shared" si="33"/>
        <v>1.0530709016343285E-21</v>
      </c>
      <c r="AJ220" s="10"/>
      <c r="AK220" s="10"/>
      <c r="AL220" s="10"/>
      <c r="AM220" s="10"/>
      <c r="AN220" s="10"/>
    </row>
    <row r="221" spans="19:40">
      <c r="S221" s="10"/>
      <c r="T221" s="12">
        <v>215</v>
      </c>
      <c r="U221" s="13">
        <f t="shared" si="34"/>
        <v>0.30617329528391457</v>
      </c>
      <c r="V221" s="13">
        <f t="shared" si="40"/>
        <v>3.2410998627073561E-22</v>
      </c>
      <c r="W221" s="13">
        <f t="shared" si="41"/>
        <v>3.2410998627073561E-22</v>
      </c>
      <c r="X221" s="13">
        <v>0</v>
      </c>
      <c r="Y221" s="13">
        <v>0</v>
      </c>
      <c r="Z221" s="13">
        <v>0</v>
      </c>
      <c r="AA221" s="13">
        <f t="shared" si="42"/>
        <v>1.3430090195842314E-3</v>
      </c>
      <c r="AB221" s="13">
        <f t="shared" si="43"/>
        <v>659.99865699098018</v>
      </c>
      <c r="AC221" s="13">
        <f t="shared" si="35"/>
        <v>659.99999999999977</v>
      </c>
      <c r="AD221" s="13">
        <f t="shared" si="36"/>
        <v>1.6230987602820709E-3</v>
      </c>
      <c r="AE221" s="13">
        <f t="shared" si="37"/>
        <v>1.6957184590709997E-7</v>
      </c>
      <c r="AF221" s="13">
        <f t="shared" si="38"/>
        <v>5.0102931173080267E-8</v>
      </c>
      <c r="AG221" s="13">
        <f t="shared" si="39"/>
        <v>5.0102931173080261E-8</v>
      </c>
      <c r="AH221" s="10"/>
      <c r="AI221" s="13">
        <f t="shared" si="33"/>
        <v>7.7552872754414044E-22</v>
      </c>
      <c r="AJ221" s="10"/>
      <c r="AK221" s="10"/>
      <c r="AL221" s="10"/>
      <c r="AM221" s="10"/>
      <c r="AN221" s="10"/>
    </row>
    <row r="222" spans="19:40">
      <c r="S222" s="10"/>
      <c r="T222" s="12">
        <v>216</v>
      </c>
      <c r="U222" s="13">
        <f t="shared" si="34"/>
        <v>0.3066769901386962</v>
      </c>
      <c r="V222" s="13">
        <f t="shared" si="40"/>
        <v>2.2465607749831938E-22</v>
      </c>
      <c r="W222" s="13">
        <f t="shared" si="41"/>
        <v>2.2465607749831938E-22</v>
      </c>
      <c r="X222" s="13">
        <v>0</v>
      </c>
      <c r="Y222" s="13">
        <v>0</v>
      </c>
      <c r="Z222" s="13">
        <v>0</v>
      </c>
      <c r="AA222" s="13">
        <f t="shared" si="42"/>
        <v>1.2584560897019033E-3</v>
      </c>
      <c r="AB222" s="13">
        <f t="shared" si="43"/>
        <v>659.99874154391011</v>
      </c>
      <c r="AC222" s="13">
        <f t="shared" si="35"/>
        <v>659.99999999999977</v>
      </c>
      <c r="AD222" s="13">
        <f t="shared" si="36"/>
        <v>1.5164300954903474E-3</v>
      </c>
      <c r="AE222" s="13">
        <f t="shared" si="37"/>
        <v>1.5889597092195753E-7</v>
      </c>
      <c r="AF222" s="13">
        <f t="shared" si="38"/>
        <v>4.681020931217804E-8</v>
      </c>
      <c r="AG222" s="13">
        <f t="shared" si="39"/>
        <v>4.681020931217804E-8</v>
      </c>
      <c r="AH222" s="10"/>
      <c r="AI222" s="13">
        <f t="shared" si="33"/>
        <v>5.7084616345300071E-22</v>
      </c>
      <c r="AJ222" s="10"/>
      <c r="AK222" s="10"/>
      <c r="AL222" s="10"/>
      <c r="AM222" s="10"/>
      <c r="AN222" s="10"/>
    </row>
    <row r="223" spans="19:40">
      <c r="S223" s="10"/>
      <c r="T223" s="12">
        <v>217</v>
      </c>
      <c r="U223" s="13">
        <f t="shared" si="34"/>
        <v>0.3071791813591026</v>
      </c>
      <c r="V223" s="13">
        <f t="shared" si="40"/>
        <v>1.5560701337281438E-22</v>
      </c>
      <c r="W223" s="13">
        <f t="shared" si="41"/>
        <v>1.5560701337281438E-22</v>
      </c>
      <c r="X223" s="13">
        <v>0</v>
      </c>
      <c r="Y223" s="13">
        <v>0</v>
      </c>
      <c r="Z223" s="13">
        <v>0</v>
      </c>
      <c r="AA223" s="13">
        <f t="shared" si="42"/>
        <v>1.1792264285746122E-3</v>
      </c>
      <c r="AB223" s="13">
        <f t="shared" si="43"/>
        <v>659.9988207735712</v>
      </c>
      <c r="AC223" s="13">
        <f t="shared" si="35"/>
        <v>659.99999999999977</v>
      </c>
      <c r="AD223" s="13">
        <f t="shared" si="36"/>
        <v>1.4167716042794794E-3</v>
      </c>
      <c r="AE223" s="13">
        <f t="shared" si="37"/>
        <v>1.4889222583012787E-7</v>
      </c>
      <c r="AF223" s="13">
        <f t="shared" si="38"/>
        <v>4.3733882320785719E-8</v>
      </c>
      <c r="AG223" s="13">
        <f t="shared" si="39"/>
        <v>4.3733882320785712E-8</v>
      </c>
      <c r="AH223" s="10"/>
      <c r="AI223" s="13">
        <f t="shared" si="33"/>
        <v>4.1997347174158902E-22</v>
      </c>
      <c r="AJ223" s="10"/>
      <c r="AK223" s="10"/>
      <c r="AL223" s="10"/>
      <c r="AM223" s="10"/>
      <c r="AN223" s="10"/>
    </row>
    <row r="224" spans="19:40">
      <c r="S224" s="10"/>
      <c r="T224" s="12">
        <v>218</v>
      </c>
      <c r="U224" s="13">
        <f t="shared" si="34"/>
        <v>0.30767988033209237</v>
      </c>
      <c r="V224" s="13">
        <f t="shared" si="40"/>
        <v>1.0770257993852787E-22</v>
      </c>
      <c r="W224" s="13">
        <f t="shared" si="41"/>
        <v>1.0770257993852787E-22</v>
      </c>
      <c r="X224" s="13">
        <v>0</v>
      </c>
      <c r="Y224" s="13">
        <v>0</v>
      </c>
      <c r="Z224" s="13">
        <v>0</v>
      </c>
      <c r="AA224" s="13">
        <f t="shared" si="42"/>
        <v>1.1049848947675461E-3</v>
      </c>
      <c r="AB224" s="13">
        <f t="shared" si="43"/>
        <v>659.99889501510495</v>
      </c>
      <c r="AC224" s="13">
        <f t="shared" si="35"/>
        <v>659.99999999999977</v>
      </c>
      <c r="AD224" s="13">
        <f t="shared" si="36"/>
        <v>1.3236625840267269E-3</v>
      </c>
      <c r="AE224" s="13">
        <f t="shared" si="37"/>
        <v>1.3951829479388213E-7</v>
      </c>
      <c r="AF224" s="13">
        <f t="shared" si="38"/>
        <v>4.0859728912828041E-8</v>
      </c>
      <c r="AG224" s="13">
        <f t="shared" si="39"/>
        <v>4.0859728912828041E-8</v>
      </c>
      <c r="AH224" s="10"/>
      <c r="AI224" s="13">
        <f t="shared" si="33"/>
        <v>3.0882102193065559E-22</v>
      </c>
      <c r="AJ224" s="10"/>
      <c r="AK224" s="10"/>
      <c r="AL224" s="10"/>
      <c r="AM224" s="10"/>
      <c r="AN224" s="10"/>
    </row>
    <row r="225" spans="19:40">
      <c r="S225" s="10"/>
      <c r="T225" s="12">
        <v>219</v>
      </c>
      <c r="U225" s="13">
        <f t="shared" si="34"/>
        <v>0.30817909830662915</v>
      </c>
      <c r="V225" s="13">
        <f t="shared" si="40"/>
        <v>7.4492009980463445E-23</v>
      </c>
      <c r="W225" s="13">
        <f t="shared" si="41"/>
        <v>7.4492009980463445E-23</v>
      </c>
      <c r="X225" s="13">
        <v>0</v>
      </c>
      <c r="Y225" s="13">
        <v>0</v>
      </c>
      <c r="Z225" s="13">
        <v>0</v>
      </c>
      <c r="AA225" s="13">
        <f t="shared" si="42"/>
        <v>1.0354174466224576E-3</v>
      </c>
      <c r="AB225" s="13">
        <f t="shared" si="43"/>
        <v>659.99896458255307</v>
      </c>
      <c r="AC225" s="13">
        <f t="shared" si="35"/>
        <v>659.99999999999966</v>
      </c>
      <c r="AD225" s="13">
        <f t="shared" si="36"/>
        <v>1.2366726090923881E-3</v>
      </c>
      <c r="AE225" s="13">
        <f t="shared" si="37"/>
        <v>1.3073452608869421E-7</v>
      </c>
      <c r="AF225" s="13">
        <f t="shared" si="38"/>
        <v>3.8174462413009079E-8</v>
      </c>
      <c r="AG225" s="13">
        <f t="shared" si="39"/>
        <v>3.8174462413009079E-8</v>
      </c>
      <c r="AH225" s="10"/>
      <c r="AI225" s="13">
        <f t="shared" si="33"/>
        <v>2.2697327511122782E-22</v>
      </c>
      <c r="AJ225" s="10"/>
      <c r="AK225" s="10"/>
      <c r="AL225" s="10"/>
      <c r="AM225" s="10"/>
      <c r="AN225" s="10"/>
    </row>
    <row r="226" spans="19:40">
      <c r="S226" s="10"/>
      <c r="T226" s="12">
        <v>220</v>
      </c>
      <c r="U226" s="13">
        <f t="shared" si="34"/>
        <v>0.3086768463959752</v>
      </c>
      <c r="V226" s="13">
        <f t="shared" si="40"/>
        <v>5.1484988848942914E-23</v>
      </c>
      <c r="W226" s="13">
        <f t="shared" si="41"/>
        <v>5.1484988848942914E-23</v>
      </c>
      <c r="X226" s="13">
        <v>0</v>
      </c>
      <c r="Y226" s="13">
        <v>0</v>
      </c>
      <c r="Z226" s="13">
        <v>0</v>
      </c>
      <c r="AA226" s="13">
        <f t="shared" si="42"/>
        <v>9.7022981386157641E-4</v>
      </c>
      <c r="AB226" s="13">
        <f t="shared" si="43"/>
        <v>659.99902977018587</v>
      </c>
      <c r="AC226" s="13">
        <f t="shared" si="35"/>
        <v>659.99999999999977</v>
      </c>
      <c r="AD226" s="13">
        <f t="shared" si="36"/>
        <v>1.1553995410423219E-3</v>
      </c>
      <c r="AE226" s="13">
        <f t="shared" si="37"/>
        <v>1.2250376437646172E-7</v>
      </c>
      <c r="AF226" s="13">
        <f t="shared" si="38"/>
        <v>3.5665669334989666E-8</v>
      </c>
      <c r="AG226" s="13">
        <f t="shared" si="39"/>
        <v>3.5665669334989666E-8</v>
      </c>
      <c r="AH226" s="10"/>
      <c r="AI226" s="13">
        <f t="shared" si="33"/>
        <v>1.6673474317056423E-22</v>
      </c>
      <c r="AJ226" s="10"/>
      <c r="AK226" s="10"/>
      <c r="AL226" s="10"/>
      <c r="AM226" s="10"/>
      <c r="AN226" s="10"/>
    </row>
    <row r="227" spans="19:40">
      <c r="S227" s="10"/>
      <c r="T227" s="12">
        <v>221</v>
      </c>
      <c r="U227" s="13">
        <f t="shared" si="34"/>
        <v>0.30917313557993698</v>
      </c>
      <c r="V227" s="13">
        <f t="shared" si="40"/>
        <v>3.5558185355931219E-23</v>
      </c>
      <c r="W227" s="13">
        <f t="shared" si="41"/>
        <v>3.5558185355931219E-23</v>
      </c>
      <c r="X227" s="13">
        <v>0</v>
      </c>
      <c r="Y227" s="13">
        <v>0</v>
      </c>
      <c r="Z227" s="13">
        <v>0</v>
      </c>
      <c r="AA227" s="13">
        <f t="shared" si="42"/>
        <v>9.091462528244518E-4</v>
      </c>
      <c r="AB227" s="13">
        <f t="shared" si="43"/>
        <v>659.99909085374691</v>
      </c>
      <c r="AC227" s="13">
        <f t="shared" si="35"/>
        <v>659.99999999999977</v>
      </c>
      <c r="AD227" s="13">
        <f t="shared" si="36"/>
        <v>1.0794676696369511E-3</v>
      </c>
      <c r="AE227" s="13">
        <f t="shared" si="37"/>
        <v>1.1479119353844092E-7</v>
      </c>
      <c r="AF227" s="13">
        <f t="shared" si="38"/>
        <v>3.3321751996154827E-8</v>
      </c>
      <c r="AG227" s="13">
        <f t="shared" si="39"/>
        <v>3.3321751996154827E-8</v>
      </c>
      <c r="AH227" s="10"/>
      <c r="AI227" s="13">
        <f t="shared" si="33"/>
        <v>1.2242260975883415E-22</v>
      </c>
      <c r="AJ227" s="10"/>
      <c r="AK227" s="10"/>
      <c r="AL227" s="10"/>
      <c r="AM227" s="10"/>
      <c r="AN227" s="10"/>
    </row>
    <row r="228" spans="19:40">
      <c r="S228" s="10"/>
      <c r="T228" s="12">
        <v>222</v>
      </c>
      <c r="U228" s="13">
        <f t="shared" si="34"/>
        <v>0.30966797670706409</v>
      </c>
      <c r="V228" s="13">
        <f t="shared" si="40"/>
        <v>2.4540718801358244E-23</v>
      </c>
      <c r="W228" s="13">
        <f t="shared" si="41"/>
        <v>2.4540718801358244E-23</v>
      </c>
      <c r="X228" s="13">
        <v>0</v>
      </c>
      <c r="Y228" s="13">
        <v>0</v>
      </c>
      <c r="Z228" s="13">
        <v>0</v>
      </c>
      <c r="AA228" s="13">
        <f t="shared" si="42"/>
        <v>8.5190838007237967E-4</v>
      </c>
      <c r="AB228" s="13">
        <f t="shared" si="43"/>
        <v>659.99914809161965</v>
      </c>
      <c r="AC228" s="13">
        <f t="shared" si="35"/>
        <v>659.99999999999977</v>
      </c>
      <c r="AD228" s="13">
        <f t="shared" si="36"/>
        <v>1.0085259759928771E-3</v>
      </c>
      <c r="AE228" s="13">
        <f t="shared" si="37"/>
        <v>1.0756418940307829E-7</v>
      </c>
      <c r="AF228" s="13">
        <f t="shared" si="38"/>
        <v>3.113187490368937E-8</v>
      </c>
      <c r="AG228" s="13">
        <f t="shared" si="39"/>
        <v>3.113187490368937E-8</v>
      </c>
      <c r="AH228" s="10"/>
      <c r="AI228" s="13">
        <f t="shared" si="33"/>
        <v>8.9842523324342504E-23</v>
      </c>
      <c r="AJ228" s="10"/>
      <c r="AK228" s="10"/>
      <c r="AL228" s="10"/>
      <c r="AM228" s="10"/>
      <c r="AN228" s="10"/>
    </row>
    <row r="229" spans="19:40">
      <c r="S229" s="10"/>
      <c r="T229" s="12">
        <v>223</v>
      </c>
      <c r="U229" s="13">
        <f t="shared" si="34"/>
        <v>0.31016138049680064</v>
      </c>
      <c r="V229" s="13">
        <f t="shared" si="40"/>
        <v>1.6924832287050643E-23</v>
      </c>
      <c r="W229" s="13">
        <f t="shared" si="41"/>
        <v>1.6924832287050643E-23</v>
      </c>
      <c r="X229" s="13">
        <v>0</v>
      </c>
      <c r="Y229" s="13">
        <v>0</v>
      </c>
      <c r="Z229" s="13">
        <v>0</v>
      </c>
      <c r="AA229" s="13">
        <f t="shared" si="42"/>
        <v>7.9827407942656035E-4</v>
      </c>
      <c r="AB229" s="13">
        <f t="shared" si="43"/>
        <v>659.99920172592033</v>
      </c>
      <c r="AC229" s="13">
        <f t="shared" si="35"/>
        <v>659.99999999999977</v>
      </c>
      <c r="AD229" s="13">
        <f t="shared" si="36"/>
        <v>9.4224650988803272E-4</v>
      </c>
      <c r="AE229" s="13">
        <f t="shared" si="37"/>
        <v>1.0079218174577785E-7</v>
      </c>
      <c r="AF229" s="13">
        <f t="shared" si="38"/>
        <v>2.9085914664115026E-8</v>
      </c>
      <c r="AG229" s="13">
        <f t="shared" si="39"/>
        <v>2.9085914664115023E-8</v>
      </c>
      <c r="AH229" s="10"/>
      <c r="AI229" s="13">
        <f t="shared" si="33"/>
        <v>6.5900339877483849E-23</v>
      </c>
      <c r="AJ229" s="10"/>
      <c r="AK229" s="10"/>
      <c r="AL229" s="10"/>
      <c r="AM229" s="10"/>
      <c r="AN229" s="10"/>
    </row>
    <row r="230" spans="19:40">
      <c r="S230" s="10"/>
      <c r="T230" s="12">
        <v>224</v>
      </c>
      <c r="U230" s="13">
        <f t="shared" si="34"/>
        <v>0.31065335754159379</v>
      </c>
      <c r="V230" s="13">
        <f t="shared" si="40"/>
        <v>1.1664108488492158E-23</v>
      </c>
      <c r="W230" s="13">
        <f t="shared" si="41"/>
        <v>1.1664108488492158E-23</v>
      </c>
      <c r="X230" s="13">
        <v>0</v>
      </c>
      <c r="Y230" s="13">
        <v>0</v>
      </c>
      <c r="Z230" s="13">
        <v>0</v>
      </c>
      <c r="AA230" s="13">
        <f t="shared" si="42"/>
        <v>7.4801647781675914E-4</v>
      </c>
      <c r="AB230" s="13">
        <f t="shared" si="43"/>
        <v>659.99925198352196</v>
      </c>
      <c r="AC230" s="13">
        <f t="shared" si="35"/>
        <v>659.99999999999977</v>
      </c>
      <c r="AD230" s="13">
        <f t="shared" si="36"/>
        <v>8.8032287370895556E-4</v>
      </c>
      <c r="AE230" s="13">
        <f t="shared" si="37"/>
        <v>9.4446524976863556E-8</v>
      </c>
      <c r="AF230" s="13">
        <f t="shared" si="38"/>
        <v>2.7174413184730009E-8</v>
      </c>
      <c r="AG230" s="13">
        <f t="shared" si="39"/>
        <v>2.7174413184730009E-8</v>
      </c>
      <c r="AH230" s="10"/>
      <c r="AI230" s="13">
        <f t="shared" si="33"/>
        <v>4.8314712045415593E-23</v>
      </c>
      <c r="AJ230" s="10"/>
      <c r="AK230" s="10"/>
      <c r="AL230" s="10"/>
      <c r="AM230" s="10"/>
      <c r="AN230" s="10"/>
    </row>
    <row r="231" spans="19:40">
      <c r="S231" s="10"/>
      <c r="T231" s="12">
        <v>225</v>
      </c>
      <c r="U231" s="13">
        <f t="shared" si="34"/>
        <v>0.31114391830895782</v>
      </c>
      <c r="V231" s="13">
        <f t="shared" si="40"/>
        <v>8.0328467315654978E-24</v>
      </c>
      <c r="W231" s="13">
        <f t="shared" si="41"/>
        <v>8.0328467315654978E-24</v>
      </c>
      <c r="X231" s="13">
        <v>0</v>
      </c>
      <c r="Y231" s="13">
        <v>0</v>
      </c>
      <c r="Z231" s="13">
        <v>0</v>
      </c>
      <c r="AA231" s="13">
        <f t="shared" si="42"/>
        <v>7.0092298560831023E-4</v>
      </c>
      <c r="AB231" s="13">
        <f t="shared" si="43"/>
        <v>659.99929907701414</v>
      </c>
      <c r="AC231" s="13">
        <f t="shared" si="35"/>
        <v>659.99999999999977</v>
      </c>
      <c r="AD231" s="13">
        <f t="shared" si="36"/>
        <v>8.2246880603174984E-4</v>
      </c>
      <c r="AE231" s="13">
        <f t="shared" si="37"/>
        <v>8.8500376970746271E-8</v>
      </c>
      <c r="AF231" s="13">
        <f t="shared" si="38"/>
        <v>2.5388533950609949E-8</v>
      </c>
      <c r="AG231" s="13">
        <f t="shared" si="39"/>
        <v>2.5388533950609949E-8</v>
      </c>
      <c r="AH231" s="10"/>
      <c r="AI231" s="13">
        <f t="shared" si="33"/>
        <v>3.54044442475634E-23</v>
      </c>
      <c r="AJ231" s="10"/>
      <c r="AK231" s="10"/>
      <c r="AL231" s="10"/>
      <c r="AM231" s="10"/>
      <c r="AN231" s="10"/>
    </row>
    <row r="232" spans="19:40">
      <c r="S232" s="10"/>
      <c r="T232" s="12">
        <v>226</v>
      </c>
      <c r="U232" s="13">
        <f t="shared" si="34"/>
        <v>0.31163307314349481</v>
      </c>
      <c r="V232" s="13">
        <f t="shared" si="40"/>
        <v>5.5281374334902961E-24</v>
      </c>
      <c r="W232" s="13">
        <f t="shared" si="41"/>
        <v>5.5281374334902961E-24</v>
      </c>
      <c r="X232" s="13">
        <v>0</v>
      </c>
      <c r="Y232" s="13">
        <v>0</v>
      </c>
      <c r="Z232" s="13">
        <v>0</v>
      </c>
      <c r="AA232" s="13">
        <f t="shared" si="42"/>
        <v>6.5679439734804752E-4</v>
      </c>
      <c r="AB232" s="13">
        <f t="shared" si="43"/>
        <v>659.99934320560237</v>
      </c>
      <c r="AC232" s="13">
        <f t="shared" si="35"/>
        <v>659.99999999999977</v>
      </c>
      <c r="AD232" s="13">
        <f t="shared" si="36"/>
        <v>7.6841685828890052E-4</v>
      </c>
      <c r="AE232" s="13">
        <f t="shared" si="37"/>
        <v>8.2928585523743398E-8</v>
      </c>
      <c r="AF232" s="13">
        <f t="shared" si="38"/>
        <v>2.3720021175047065E-8</v>
      </c>
      <c r="AG232" s="13">
        <f t="shared" si="39"/>
        <v>2.3720021175047065E-8</v>
      </c>
      <c r="AH232" s="10"/>
      <c r="AI232" s="13">
        <f t="shared" si="33"/>
        <v>2.5931248403094911E-23</v>
      </c>
      <c r="AJ232" s="10"/>
      <c r="AK232" s="10"/>
      <c r="AL232" s="10"/>
      <c r="AM232" s="10"/>
      <c r="AN232" s="10"/>
    </row>
    <row r="233" spans="19:40">
      <c r="S233" s="10"/>
      <c r="T233" s="12">
        <v>227</v>
      </c>
      <c r="U233" s="13">
        <f t="shared" si="34"/>
        <v>0.31212083226887533</v>
      </c>
      <c r="V233" s="13">
        <f t="shared" si="40"/>
        <v>3.8017212005063185E-24</v>
      </c>
      <c r="W233" s="13">
        <f t="shared" si="41"/>
        <v>3.8017212005063185E-24</v>
      </c>
      <c r="X233" s="13">
        <v>0</v>
      </c>
      <c r="Y233" s="13">
        <v>0</v>
      </c>
      <c r="Z233" s="13">
        <v>0</v>
      </c>
      <c r="AA233" s="13">
        <f t="shared" si="42"/>
        <v>6.1544404912531724E-4</v>
      </c>
      <c r="AB233" s="13">
        <f t="shared" si="43"/>
        <v>659.99938455595054</v>
      </c>
      <c r="AC233" s="13">
        <f t="shared" si="35"/>
        <v>659.99999999999966</v>
      </c>
      <c r="AD233" s="13">
        <f t="shared" si="36"/>
        <v>7.1791715840441317E-4</v>
      </c>
      <c r="AE233" s="13">
        <f t="shared" si="37"/>
        <v>7.7707581960267368E-8</v>
      </c>
      <c r="AF233" s="13">
        <f t="shared" si="38"/>
        <v>2.2161161634587576E-8</v>
      </c>
      <c r="AG233" s="13">
        <f t="shared" si="39"/>
        <v>2.2161161634587579E-8</v>
      </c>
      <c r="AH233" s="10"/>
      <c r="AI233" s="13">
        <f t="shared" si="33"/>
        <v>1.8983528363392579E-23</v>
      </c>
      <c r="AJ233" s="10"/>
      <c r="AK233" s="10"/>
      <c r="AL233" s="10"/>
      <c r="AM233" s="10"/>
      <c r="AN233" s="10"/>
    </row>
    <row r="234" spans="19:40">
      <c r="S234" s="10"/>
      <c r="T234" s="12">
        <v>228</v>
      </c>
      <c r="U234" s="13">
        <f t="shared" si="34"/>
        <v>0.31260720578977763</v>
      </c>
      <c r="V234" s="13">
        <f t="shared" si="40"/>
        <v>2.6126091150131958E-24</v>
      </c>
      <c r="W234" s="13">
        <f t="shared" si="41"/>
        <v>2.6126091150131958E-24</v>
      </c>
      <c r="X234" s="13">
        <v>0</v>
      </c>
      <c r="Y234" s="13">
        <v>0</v>
      </c>
      <c r="Z234" s="13">
        <v>0</v>
      </c>
      <c r="AA234" s="13">
        <f t="shared" si="42"/>
        <v>5.7669702898371098E-4</v>
      </c>
      <c r="AB234" s="13">
        <f t="shared" si="43"/>
        <v>659.99942330297063</v>
      </c>
      <c r="AC234" s="13">
        <f t="shared" si="35"/>
        <v>659.99999999999966</v>
      </c>
      <c r="AD234" s="13">
        <f t="shared" si="36"/>
        <v>6.7073625568179693E-4</v>
      </c>
      <c r="AE234" s="13">
        <f t="shared" si="37"/>
        <v>7.2815281437337279E-8</v>
      </c>
      <c r="AF234" s="13">
        <f t="shared" si="38"/>
        <v>2.0704749012237825E-8</v>
      </c>
      <c r="AG234" s="13">
        <f t="shared" si="39"/>
        <v>2.0704749012237828E-8</v>
      </c>
      <c r="AH234" s="10"/>
      <c r="AI234" s="13">
        <f t="shared" si="33"/>
        <v>1.3890533165098587E-23</v>
      </c>
      <c r="AJ234" s="10"/>
      <c r="AK234" s="10"/>
      <c r="AL234" s="10"/>
      <c r="AM234" s="10"/>
      <c r="AN234" s="10"/>
    </row>
    <row r="235" spans="19:40">
      <c r="S235" s="10"/>
      <c r="T235" s="12">
        <v>229</v>
      </c>
      <c r="U235" s="13">
        <f t="shared" si="34"/>
        <v>0.31309220369378787</v>
      </c>
      <c r="V235" s="13">
        <f t="shared" si="40"/>
        <v>1.79416344054929E-24</v>
      </c>
      <c r="W235" s="13">
        <f t="shared" si="41"/>
        <v>1.79416344054929E-24</v>
      </c>
      <c r="X235" s="13">
        <v>0</v>
      </c>
      <c r="Y235" s="13">
        <v>0</v>
      </c>
      <c r="Z235" s="13">
        <v>0</v>
      </c>
      <c r="AA235" s="13">
        <f t="shared" si="42"/>
        <v>5.4038943704355982E-4</v>
      </c>
      <c r="AB235" s="13">
        <f t="shared" si="43"/>
        <v>659.99945961056255</v>
      </c>
      <c r="AC235" s="13">
        <f t="shared" si="35"/>
        <v>659.99999999999955</v>
      </c>
      <c r="AD235" s="13">
        <f t="shared" si="36"/>
        <v>6.2665604160502472E-4</v>
      </c>
      <c r="AE235" s="13">
        <f t="shared" si="37"/>
        <v>6.8230989525702049E-8</v>
      </c>
      <c r="AF235" s="13">
        <f t="shared" si="38"/>
        <v>1.9344050584004571E-8</v>
      </c>
      <c r="AG235" s="13">
        <f t="shared" si="39"/>
        <v>1.9344050584004568E-8</v>
      </c>
      <c r="AH235" s="10"/>
      <c r="AI235" s="13">
        <f t="shared" si="33"/>
        <v>1.0158976733610776E-23</v>
      </c>
      <c r="AJ235" s="10"/>
      <c r="AK235" s="10"/>
      <c r="AL235" s="10"/>
      <c r="AM235" s="10"/>
      <c r="AN235" s="10"/>
    </row>
    <row r="236" spans="19:40">
      <c r="S236" s="10"/>
      <c r="T236" s="12">
        <v>230</v>
      </c>
      <c r="U236" s="13">
        <f t="shared" si="34"/>
        <v>0.31357583585326149</v>
      </c>
      <c r="V236" s="13">
        <f t="shared" si="40"/>
        <v>1.2312425277998411E-24</v>
      </c>
      <c r="W236" s="13">
        <f t="shared" si="41"/>
        <v>1.2312425277998411E-24</v>
      </c>
      <c r="X236" s="13">
        <v>0</v>
      </c>
      <c r="Y236" s="13">
        <v>0</v>
      </c>
      <c r="Z236" s="13">
        <v>0</v>
      </c>
      <c r="AA236" s="13">
        <f t="shared" si="42"/>
        <v>5.0636769220550946E-4</v>
      </c>
      <c r="AB236" s="13">
        <f t="shared" si="43"/>
        <v>659.99949363230735</v>
      </c>
      <c r="AC236" s="13">
        <f t="shared" si="35"/>
        <v>659.99999999999955</v>
      </c>
      <c r="AD236" s="13">
        <f t="shared" si="36"/>
        <v>5.8547274156352984E-4</v>
      </c>
      <c r="AE236" s="13">
        <f t="shared" si="37"/>
        <v>6.3935314672412854E-8</v>
      </c>
      <c r="AF236" s="13">
        <f t="shared" si="38"/>
        <v>1.8072776094767238E-8</v>
      </c>
      <c r="AG236" s="13">
        <f t="shared" si="39"/>
        <v>1.8072776094767241E-8</v>
      </c>
      <c r="AH236" s="10"/>
      <c r="AI236" s="13">
        <f t="shared" si="33"/>
        <v>7.4262690707639275E-24</v>
      </c>
      <c r="AJ236" s="10"/>
      <c r="AK236" s="10"/>
      <c r="AL236" s="10"/>
      <c r="AM236" s="10"/>
      <c r="AN236" s="10"/>
    </row>
    <row r="237" spans="19:40">
      <c r="S237" s="10"/>
      <c r="T237" s="12">
        <v>231</v>
      </c>
      <c r="U237" s="13">
        <f t="shared" si="34"/>
        <v>0.31405811202714712</v>
      </c>
      <c r="V237" s="13">
        <f t="shared" si="40"/>
        <v>8.4434492180832873E-25</v>
      </c>
      <c r="W237" s="13">
        <f t="shared" si="41"/>
        <v>8.4434492180832873E-25</v>
      </c>
      <c r="X237" s="13">
        <v>0</v>
      </c>
      <c r="Y237" s="13">
        <v>0</v>
      </c>
      <c r="Z237" s="13">
        <v>0</v>
      </c>
      <c r="AA237" s="13">
        <f t="shared" si="42"/>
        <v>4.7448788250253112E-4</v>
      </c>
      <c r="AB237" s="13">
        <f t="shared" si="43"/>
        <v>659.99952551211709</v>
      </c>
      <c r="AC237" s="13">
        <f t="shared" si="35"/>
        <v>659.99999999999955</v>
      </c>
      <c r="AD237" s="13">
        <f t="shared" si="36"/>
        <v>5.4699597284017841E-4</v>
      </c>
      <c r="AE237" s="13">
        <f t="shared" si="37"/>
        <v>5.9910086174562048E-8</v>
      </c>
      <c r="AF237" s="13">
        <f t="shared" si="38"/>
        <v>1.6885048679601461E-8</v>
      </c>
      <c r="AG237" s="13">
        <f t="shared" si="39"/>
        <v>1.6885048679601461E-8</v>
      </c>
      <c r="AH237" s="10"/>
      <c r="AI237" s="13">
        <f t="shared" si="33"/>
        <v>5.4260232663754003E-24</v>
      </c>
      <c r="AJ237" s="10"/>
      <c r="AK237" s="10"/>
      <c r="AL237" s="10"/>
      <c r="AM237" s="10"/>
      <c r="AN237" s="10"/>
    </row>
    <row r="238" spans="19:40">
      <c r="S238" s="10"/>
      <c r="T238" s="12">
        <v>232</v>
      </c>
      <c r="U238" s="13">
        <f t="shared" si="34"/>
        <v>0.31453904186277432</v>
      </c>
      <c r="V238" s="13">
        <f t="shared" si="40"/>
        <v>5.7861742055417017E-25</v>
      </c>
      <c r="W238" s="13">
        <f t="shared" si="41"/>
        <v>5.7861742055417017E-25</v>
      </c>
      <c r="X238" s="13">
        <v>0</v>
      </c>
      <c r="Y238" s="13">
        <v>0</v>
      </c>
      <c r="Z238" s="13">
        <v>0</v>
      </c>
      <c r="AA238" s="13">
        <f t="shared" si="42"/>
        <v>4.44615156352359E-4</v>
      </c>
      <c r="AB238" s="13">
        <f t="shared" si="43"/>
        <v>659.99955538484323</v>
      </c>
      <c r="AC238" s="13">
        <f t="shared" si="35"/>
        <v>659.99999999999955</v>
      </c>
      <c r="AD238" s="13">
        <f t="shared" si="36"/>
        <v>5.1104786450746555E-4</v>
      </c>
      <c r="AE238" s="13">
        <f t="shared" si="37"/>
        <v>5.6138277317217083E-8</v>
      </c>
      <c r="AF238" s="13">
        <f t="shared" si="38"/>
        <v>1.5775377696128256E-8</v>
      </c>
      <c r="AG238" s="13">
        <f t="shared" si="39"/>
        <v>1.5775377696128256E-8</v>
      </c>
      <c r="AH238" s="10"/>
      <c r="AI238" s="13">
        <f t="shared" si="33"/>
        <v>3.9626294737347853E-24</v>
      </c>
      <c r="AJ238" s="10"/>
      <c r="AK238" s="10"/>
      <c r="AL238" s="10"/>
      <c r="AM238" s="10"/>
      <c r="AN238" s="10"/>
    </row>
    <row r="239" spans="19:40">
      <c r="S239" s="10"/>
      <c r="T239" s="12">
        <v>233</v>
      </c>
      <c r="U239" s="13">
        <f t="shared" si="34"/>
        <v>0.31501863489760479</v>
      </c>
      <c r="V239" s="13">
        <f t="shared" si="40"/>
        <v>3.9624068821235929E-25</v>
      </c>
      <c r="W239" s="13">
        <f t="shared" si="41"/>
        <v>3.9624068821235929E-25</v>
      </c>
      <c r="X239" s="13">
        <v>0</v>
      </c>
      <c r="Y239" s="13">
        <v>0</v>
      </c>
      <c r="Z239" s="13">
        <v>0</v>
      </c>
      <c r="AA239" s="13">
        <f t="shared" si="42"/>
        <v>4.1662315213535111E-4</v>
      </c>
      <c r="AB239" s="13">
        <f t="shared" si="43"/>
        <v>659.99958337684745</v>
      </c>
      <c r="AC239" s="13">
        <f t="shared" si="35"/>
        <v>659.99999999999955</v>
      </c>
      <c r="AD239" s="13">
        <f t="shared" si="36"/>
        <v>4.7746223516338313E-4</v>
      </c>
      <c r="AE239" s="13">
        <f t="shared" si="37"/>
        <v>5.2603933350423156E-8</v>
      </c>
      <c r="AF239" s="13">
        <f t="shared" si="38"/>
        <v>1.4738633342298108E-8</v>
      </c>
      <c r="AG239" s="13">
        <f t="shared" si="39"/>
        <v>1.473863334229811E-8</v>
      </c>
      <c r="AH239" s="10"/>
      <c r="AI239" s="13">
        <f t="shared" si="33"/>
        <v>2.8925222259331263E-24</v>
      </c>
      <c r="AJ239" s="10"/>
      <c r="AK239" s="10"/>
      <c r="AL239" s="10"/>
      <c r="AM239" s="10"/>
      <c r="AN239" s="10"/>
    </row>
    <row r="240" spans="19:40">
      <c r="S240" s="10"/>
      <c r="T240" s="12">
        <v>234</v>
      </c>
      <c r="U240" s="13">
        <f t="shared" si="34"/>
        <v>0.31549690056094948</v>
      </c>
      <c r="V240" s="13">
        <f t="shared" si="40"/>
        <v>2.7115849714997305E-25</v>
      </c>
      <c r="W240" s="13">
        <f t="shared" si="41"/>
        <v>2.7115849714997305E-25</v>
      </c>
      <c r="X240" s="13">
        <v>0</v>
      </c>
      <c r="Y240" s="13">
        <v>0</v>
      </c>
      <c r="Z240" s="13">
        <v>0</v>
      </c>
      <c r="AA240" s="13">
        <f t="shared" si="42"/>
        <v>3.9039346368488904E-4</v>
      </c>
      <c r="AB240" s="13">
        <f t="shared" si="43"/>
        <v>659.99960960653596</v>
      </c>
      <c r="AC240" s="13">
        <f t="shared" si="35"/>
        <v>659.99999999999966</v>
      </c>
      <c r="AD240" s="13">
        <f t="shared" si="36"/>
        <v>4.4608382470578463E-4</v>
      </c>
      <c r="AE240" s="13">
        <f t="shared" si="37"/>
        <v>4.9292104000617331E-8</v>
      </c>
      <c r="AF240" s="13">
        <f t="shared" si="38"/>
        <v>1.37700229422726E-8</v>
      </c>
      <c r="AG240" s="13">
        <f t="shared" si="39"/>
        <v>1.3770022942272601E-8</v>
      </c>
      <c r="AH240" s="10"/>
      <c r="AI240" s="13">
        <f t="shared" si="33"/>
        <v>2.1103862467980445E-24</v>
      </c>
      <c r="AJ240" s="10"/>
      <c r="AK240" s="10"/>
      <c r="AL240" s="10"/>
      <c r="AM240" s="10"/>
      <c r="AN240" s="10"/>
    </row>
    <row r="241" spans="19:40">
      <c r="S241" s="10"/>
      <c r="T241" s="12">
        <v>235</v>
      </c>
      <c r="U241" s="13">
        <f t="shared" si="34"/>
        <v>0.31597384817565077</v>
      </c>
      <c r="V241" s="13">
        <f t="shared" si="40"/>
        <v>1.8543195484169394E-25</v>
      </c>
      <c r="W241" s="13">
        <f t="shared" si="41"/>
        <v>1.8543195484169394E-25</v>
      </c>
      <c r="X241" s="13">
        <v>0</v>
      </c>
      <c r="Y241" s="13">
        <v>0</v>
      </c>
      <c r="Z241" s="13">
        <v>0</v>
      </c>
      <c r="AA241" s="13">
        <f t="shared" si="42"/>
        <v>3.6581513942934044E-4</v>
      </c>
      <c r="AB241" s="13">
        <f t="shared" si="43"/>
        <v>659.99963418486016</v>
      </c>
      <c r="AC241" s="13">
        <f t="shared" si="35"/>
        <v>659.99999999999955</v>
      </c>
      <c r="AD241" s="13">
        <f t="shared" si="36"/>
        <v>4.1676757659388171E-4</v>
      </c>
      <c r="AE241" s="13">
        <f t="shared" si="37"/>
        <v>4.6188780230977355E-8</v>
      </c>
      <c r="AF241" s="13">
        <f t="shared" si="38"/>
        <v>1.286506879077762E-8</v>
      </c>
      <c r="AG241" s="13">
        <f t="shared" si="39"/>
        <v>1.2865068790777618E-8</v>
      </c>
      <c r="AH241" s="10"/>
      <c r="AI241" s="13">
        <f t="shared" si="33"/>
        <v>1.5390040743742182E-24</v>
      </c>
      <c r="AJ241" s="10"/>
      <c r="AK241" s="10"/>
      <c r="AL241" s="10"/>
      <c r="AM241" s="10"/>
      <c r="AN241" s="10"/>
    </row>
    <row r="242" spans="19:40">
      <c r="S242" s="10"/>
      <c r="T242" s="12">
        <v>236</v>
      </c>
      <c r="U242" s="13">
        <f t="shared" si="34"/>
        <v>0.3164494869597328</v>
      </c>
      <c r="V242" s="13">
        <f t="shared" si="40"/>
        <v>1.2671959178757809E-25</v>
      </c>
      <c r="W242" s="13">
        <f t="shared" si="41"/>
        <v>1.2671959178757809E-25</v>
      </c>
      <c r="X242" s="13">
        <v>0</v>
      </c>
      <c r="Y242" s="13">
        <v>0</v>
      </c>
      <c r="Z242" s="13">
        <v>0</v>
      </c>
      <c r="AA242" s="13">
        <f t="shared" si="42"/>
        <v>3.4278421306695558E-4</v>
      </c>
      <c r="AB242" s="13">
        <f t="shared" si="43"/>
        <v>659.99965721578656</v>
      </c>
      <c r="AC242" s="13">
        <f t="shared" si="35"/>
        <v>659.99999999999966</v>
      </c>
      <c r="AD242" s="13">
        <f t="shared" si="36"/>
        <v>3.8937796727890318E-4</v>
      </c>
      <c r="AE242" s="13">
        <f t="shared" si="37"/>
        <v>4.328083498320149E-8</v>
      </c>
      <c r="AF242" s="13">
        <f t="shared" si="38"/>
        <v>1.2019587453506779E-8</v>
      </c>
      <c r="AG242" s="13">
        <f t="shared" si="39"/>
        <v>1.201958745350678E-8</v>
      </c>
      <c r="AH242" s="10"/>
      <c r="AI242" s="13">
        <f t="shared" si="33"/>
        <v>1.1217878710766925E-24</v>
      </c>
      <c r="AJ242" s="10"/>
      <c r="AK242" s="10"/>
      <c r="AL242" s="10"/>
      <c r="AM242" s="10"/>
      <c r="AN242" s="10"/>
    </row>
    <row r="243" spans="19:40">
      <c r="S243" s="10"/>
      <c r="T243" s="12">
        <v>237</v>
      </c>
      <c r="U243" s="13">
        <f t="shared" si="34"/>
        <v>0.31692382602801744</v>
      </c>
      <c r="V243" s="13">
        <f t="shared" si="40"/>
        <v>8.6536913245191897E-26</v>
      </c>
      <c r="W243" s="13">
        <f t="shared" si="41"/>
        <v>8.6536913245191897E-26</v>
      </c>
      <c r="X243" s="13">
        <v>0</v>
      </c>
      <c r="Y243" s="13">
        <v>0</v>
      </c>
      <c r="Z243" s="13">
        <v>0</v>
      </c>
      <c r="AA243" s="13">
        <f t="shared" si="42"/>
        <v>3.2120326378845256E-4</v>
      </c>
      <c r="AB243" s="13">
        <f t="shared" si="43"/>
        <v>659.99967879673579</v>
      </c>
      <c r="AC243" s="13">
        <f t="shared" si="35"/>
        <v>659.99999999999955</v>
      </c>
      <c r="AD243" s="13">
        <f t="shared" si="36"/>
        <v>3.6378837970399918E-4</v>
      </c>
      <c r="AE243" s="13">
        <f t="shared" si="37"/>
        <v>4.0555967650057171E-8</v>
      </c>
      <c r="AF243" s="13">
        <f t="shared" si="38"/>
        <v>1.1229670427884685E-8</v>
      </c>
      <c r="AG243" s="13">
        <f t="shared" si="39"/>
        <v>1.1229670427884686E-8</v>
      </c>
      <c r="AH243" s="10"/>
      <c r="AI243" s="13">
        <f t="shared" si="33"/>
        <v>8.1728857099589064E-25</v>
      </c>
      <c r="AJ243" s="10"/>
      <c r="AK243" s="10"/>
      <c r="AL243" s="10"/>
      <c r="AM243" s="10"/>
      <c r="AN243" s="10"/>
    </row>
    <row r="244" spans="19:40">
      <c r="S244" s="10"/>
      <c r="T244" s="12">
        <v>238</v>
      </c>
      <c r="U244" s="13">
        <f t="shared" si="34"/>
        <v>0.31739687439371084</v>
      </c>
      <c r="V244" s="13">
        <f t="shared" si="40"/>
        <v>5.9055192940632425E-26</v>
      </c>
      <c r="W244" s="13">
        <f t="shared" si="41"/>
        <v>5.9055192940632425E-26</v>
      </c>
      <c r="X244" s="13">
        <v>0</v>
      </c>
      <c r="Y244" s="13">
        <v>0</v>
      </c>
      <c r="Z244" s="13">
        <v>0</v>
      </c>
      <c r="AA244" s="13">
        <f t="shared" si="42"/>
        <v>3.0098100418703323E-4</v>
      </c>
      <c r="AB244" s="13">
        <f t="shared" si="43"/>
        <v>659.99969901899544</v>
      </c>
      <c r="AC244" s="13">
        <f t="shared" si="35"/>
        <v>659.99999999999966</v>
      </c>
      <c r="AD244" s="13">
        <f t="shared" si="36"/>
        <v>3.3988051797719551E-4</v>
      </c>
      <c r="AE244" s="13">
        <f t="shared" si="37"/>
        <v>3.8002652043817346E-8</v>
      </c>
      <c r="AF244" s="13">
        <f t="shared" si="38"/>
        <v>1.0491666074788269E-8</v>
      </c>
      <c r="AG244" s="13">
        <f t="shared" si="39"/>
        <v>1.0491666074788269E-8</v>
      </c>
      <c r="AH244" s="10"/>
      <c r="AI244" s="13">
        <f t="shared" si="33"/>
        <v>5.9516089643901161E-25</v>
      </c>
      <c r="AJ244" s="10"/>
      <c r="AK244" s="10"/>
      <c r="AL244" s="10"/>
      <c r="AM244" s="10"/>
      <c r="AN244" s="10"/>
    </row>
    <row r="245" spans="19:40">
      <c r="S245" s="10"/>
      <c r="T245" s="12">
        <v>239</v>
      </c>
      <c r="U245" s="13">
        <f t="shared" si="34"/>
        <v>0.31786864096995704</v>
      </c>
      <c r="V245" s="13">
        <f t="shared" si="40"/>
        <v>4.0273043503909346E-26</v>
      </c>
      <c r="W245" s="13">
        <f t="shared" si="41"/>
        <v>4.0273043503909346E-26</v>
      </c>
      <c r="X245" s="13">
        <v>0</v>
      </c>
      <c r="Y245" s="13">
        <v>0</v>
      </c>
      <c r="Z245" s="13">
        <v>0</v>
      </c>
      <c r="AA245" s="13">
        <f t="shared" si="42"/>
        <v>2.8203189411268881E-4</v>
      </c>
      <c r="AB245" s="13">
        <f t="shared" si="43"/>
        <v>659.99971796810553</v>
      </c>
      <c r="AC245" s="13">
        <f t="shared" si="35"/>
        <v>659.99999999999966</v>
      </c>
      <c r="AD245" s="13">
        <f t="shared" si="36"/>
        <v>3.1754386051154233E-4</v>
      </c>
      <c r="AE245" s="13">
        <f t="shared" si="37"/>
        <v>3.5610087640491028E-8</v>
      </c>
      <c r="AF245" s="13">
        <f t="shared" si="38"/>
        <v>9.8021627377000167E-9</v>
      </c>
      <c r="AG245" s="13">
        <f t="shared" si="39"/>
        <v>9.8021627377000183E-9</v>
      </c>
      <c r="AH245" s="10"/>
      <c r="AI245" s="13">
        <f t="shared" si="33"/>
        <v>4.3319974177728009E-25</v>
      </c>
      <c r="AJ245" s="10"/>
      <c r="AK245" s="10"/>
      <c r="AL245" s="10"/>
      <c r="AM245" s="10"/>
      <c r="AN245" s="10"/>
    </row>
    <row r="246" spans="19:40">
      <c r="S246" s="10"/>
      <c r="T246" s="12">
        <v>240</v>
      </c>
      <c r="U246" s="13">
        <f t="shared" si="34"/>
        <v>0.3183391345713627</v>
      </c>
      <c r="V246" s="13">
        <f t="shared" si="40"/>
        <v>2.7445495683036241E-26</v>
      </c>
      <c r="W246" s="13">
        <f t="shared" si="41"/>
        <v>2.7445495683036241E-26</v>
      </c>
      <c r="X246" s="13">
        <v>0</v>
      </c>
      <c r="Y246" s="13">
        <v>0</v>
      </c>
      <c r="Z246" s="13">
        <v>0</v>
      </c>
      <c r="AA246" s="13">
        <f t="shared" si="42"/>
        <v>2.6427577883739986E-4</v>
      </c>
      <c r="AB246" s="13">
        <f t="shared" si="43"/>
        <v>659.99973572422084</v>
      </c>
      <c r="AC246" s="13">
        <f t="shared" si="35"/>
        <v>659.99999999999966</v>
      </c>
      <c r="AD246" s="13">
        <f t="shared" si="36"/>
        <v>2.9667514910442546E-4</v>
      </c>
      <c r="AE246" s="13">
        <f t="shared" si="37"/>
        <v>3.3368153893611108E-8</v>
      </c>
      <c r="AF246" s="13">
        <f t="shared" si="38"/>
        <v>9.1579729712560193E-9</v>
      </c>
      <c r="AG246" s="13">
        <f t="shared" si="39"/>
        <v>9.1579729712560177E-9</v>
      </c>
      <c r="AH246" s="10"/>
      <c r="AI246" s="13">
        <f t="shared" si="33"/>
        <v>3.1516456329140241E-25</v>
      </c>
      <c r="AJ246" s="10"/>
      <c r="AK246" s="10"/>
      <c r="AL246" s="10"/>
      <c r="AM246" s="10"/>
      <c r="AN246" s="10"/>
    </row>
    <row r="247" spans="19:40">
      <c r="S247" s="10"/>
      <c r="T247" s="12">
        <v>241</v>
      </c>
      <c r="U247" s="13">
        <f t="shared" si="34"/>
        <v>0.31880836391549194</v>
      </c>
      <c r="V247" s="13">
        <f t="shared" si="40"/>
        <v>1.8690829453189282E-26</v>
      </c>
      <c r="W247" s="13">
        <f t="shared" si="41"/>
        <v>1.8690829453189282E-26</v>
      </c>
      <c r="X247" s="13">
        <v>0</v>
      </c>
      <c r="Y247" s="13">
        <v>0</v>
      </c>
      <c r="Z247" s="13">
        <v>0</v>
      </c>
      <c r="AA247" s="13">
        <f t="shared" si="42"/>
        <v>2.4763755000066875E-4</v>
      </c>
      <c r="AB247" s="13">
        <f t="shared" si="43"/>
        <v>659.99975236244973</v>
      </c>
      <c r="AC247" s="13">
        <f t="shared" si="35"/>
        <v>659.99999999999977</v>
      </c>
      <c r="AD247" s="13">
        <f t="shared" si="36"/>
        <v>2.7717791159414905E-4</v>
      </c>
      <c r="AE247" s="13">
        <f t="shared" si="37"/>
        <v>3.1267367424326872E-8</v>
      </c>
      <c r="AF247" s="13">
        <f t="shared" si="38"/>
        <v>8.5561188062803709E-9</v>
      </c>
      <c r="AG247" s="13">
        <f t="shared" si="39"/>
        <v>8.5561188062803709E-9</v>
      </c>
      <c r="AH247" s="10"/>
      <c r="AI247" s="13">
        <f t="shared" si="33"/>
        <v>2.2918305964715057E-25</v>
      </c>
      <c r="AJ247" s="10"/>
      <c r="AK247" s="10"/>
      <c r="AL247" s="10"/>
      <c r="AM247" s="10"/>
      <c r="AN247" s="10"/>
    </row>
    <row r="248" spans="19:40">
      <c r="S248" s="10"/>
      <c r="T248" s="12">
        <v>242</v>
      </c>
      <c r="U248" s="13">
        <f t="shared" si="34"/>
        <v>0.31927633762433238</v>
      </c>
      <c r="V248" s="13">
        <f t="shared" si="40"/>
        <v>1.2720012382279447E-26</v>
      </c>
      <c r="W248" s="13">
        <f t="shared" si="41"/>
        <v>1.2720012382279447E-26</v>
      </c>
      <c r="X248" s="13">
        <v>0</v>
      </c>
      <c r="Y248" s="13">
        <v>0</v>
      </c>
      <c r="Z248" s="13">
        <v>0</v>
      </c>
      <c r="AA248" s="13">
        <f t="shared" si="42"/>
        <v>2.3204682790118483E-4</v>
      </c>
      <c r="AB248" s="13">
        <f t="shared" si="43"/>
        <v>659.99976795317184</v>
      </c>
      <c r="AC248" s="13">
        <f t="shared" si="35"/>
        <v>659.99999999999977</v>
      </c>
      <c r="AD248" s="13">
        <f t="shared" si="36"/>
        <v>2.5896201588711997E-4</v>
      </c>
      <c r="AE248" s="13">
        <f t="shared" si="37"/>
        <v>2.9298841906715268E-8</v>
      </c>
      <c r="AF248" s="13">
        <f t="shared" si="38"/>
        <v>7.9938179831889406E-9</v>
      </c>
      <c r="AG248" s="13">
        <f t="shared" si="39"/>
        <v>7.9938179831889406E-9</v>
      </c>
      <c r="AH248" s="10"/>
      <c r="AI248" s="13">
        <f t="shared" si="33"/>
        <v>1.6658049003965273E-25</v>
      </c>
      <c r="AJ248" s="10"/>
      <c r="AK248" s="10"/>
      <c r="AL248" s="10"/>
      <c r="AM248" s="10"/>
      <c r="AN248" s="10"/>
    </row>
    <row r="249" spans="19:40">
      <c r="S249" s="10"/>
      <c r="T249" s="12">
        <v>243</v>
      </c>
      <c r="U249" s="13">
        <f t="shared" si="34"/>
        <v>0.31974306422573279</v>
      </c>
      <c r="V249" s="13">
        <f t="shared" si="40"/>
        <v>8.6506461518634161E-27</v>
      </c>
      <c r="W249" s="13">
        <f t="shared" si="41"/>
        <v>8.6506461518634161E-27</v>
      </c>
      <c r="X249" s="13">
        <v>0</v>
      </c>
      <c r="Y249" s="13">
        <v>0</v>
      </c>
      <c r="Z249" s="13">
        <v>0</v>
      </c>
      <c r="AA249" s="13">
        <f t="shared" si="42"/>
        <v>2.1743766379071623E-4</v>
      </c>
      <c r="AB249" s="13">
        <f t="shared" si="43"/>
        <v>659.99978256233589</v>
      </c>
      <c r="AC249" s="13">
        <f t="shared" si="35"/>
        <v>659.99999999999966</v>
      </c>
      <c r="AD249" s="13">
        <f t="shared" si="36"/>
        <v>2.4194325329398501E-4</v>
      </c>
      <c r="AE249" s="13">
        <f t="shared" si="37"/>
        <v>2.74542504786258E-8</v>
      </c>
      <c r="AF249" s="13">
        <f t="shared" si="38"/>
        <v>7.4684710901220961E-9</v>
      </c>
      <c r="AG249" s="13">
        <f t="shared" si="39"/>
        <v>7.4684710901220961E-9</v>
      </c>
      <c r="AH249" s="10"/>
      <c r="AI249" s="13">
        <f t="shared" si="33"/>
        <v>1.2102157213003277E-25</v>
      </c>
      <c r="AJ249" s="10"/>
      <c r="AK249" s="10"/>
      <c r="AL249" s="10"/>
      <c r="AM249" s="10"/>
      <c r="AN249" s="10"/>
    </row>
    <row r="250" spans="19:40">
      <c r="S250" s="10"/>
      <c r="T250" s="12">
        <v>244</v>
      </c>
      <c r="U250" s="13">
        <f t="shared" si="34"/>
        <v>0.32020855215481436</v>
      </c>
      <c r="V250" s="13">
        <f t="shared" si="40"/>
        <v>5.8791183542666677E-27</v>
      </c>
      <c r="W250" s="13">
        <f t="shared" si="41"/>
        <v>5.8791183542666677E-27</v>
      </c>
      <c r="X250" s="13">
        <v>0</v>
      </c>
      <c r="Y250" s="13">
        <v>0</v>
      </c>
      <c r="Z250" s="13">
        <v>0</v>
      </c>
      <c r="AA250" s="13">
        <f t="shared" si="42"/>
        <v>2.0374826091093117E-4</v>
      </c>
      <c r="AB250" s="13">
        <f t="shared" si="43"/>
        <v>659.99979625173876</v>
      </c>
      <c r="AC250" s="13">
        <f t="shared" si="35"/>
        <v>659.99999999999966</v>
      </c>
      <c r="AD250" s="13">
        <f t="shared" si="36"/>
        <v>2.2604294924856138E-4</v>
      </c>
      <c r="AE250" s="13">
        <f t="shared" si="37"/>
        <v>2.572579051905698E-8</v>
      </c>
      <c r="AF250" s="13">
        <f t="shared" si="38"/>
        <v>6.9776495463483422E-9</v>
      </c>
      <c r="AG250" s="13">
        <f t="shared" si="39"/>
        <v>6.9776495463483422E-9</v>
      </c>
      <c r="AH250" s="10"/>
      <c r="AI250" s="13">
        <f t="shared" si="33"/>
        <v>8.7881815021291307E-26</v>
      </c>
      <c r="AJ250" s="10"/>
      <c r="AK250" s="10"/>
      <c r="AL250" s="10"/>
      <c r="AM250" s="10"/>
      <c r="AN250" s="10"/>
    </row>
    <row r="251" spans="19:40">
      <c r="S251" s="10"/>
      <c r="T251" s="12">
        <v>245</v>
      </c>
      <c r="U251" s="13">
        <f t="shared" si="34"/>
        <v>0.32067280975535362</v>
      </c>
      <c r="V251" s="13">
        <f t="shared" si="40"/>
        <v>3.9928140307612575E-27</v>
      </c>
      <c r="W251" s="13">
        <f t="shared" si="41"/>
        <v>3.9928140307612575E-27</v>
      </c>
      <c r="X251" s="13">
        <v>0</v>
      </c>
      <c r="Y251" s="13">
        <v>0</v>
      </c>
      <c r="Z251" s="13">
        <v>0</v>
      </c>
      <c r="AA251" s="13">
        <f t="shared" si="42"/>
        <v>1.9092071309313499E-4</v>
      </c>
      <c r="AB251" s="13">
        <f t="shared" si="43"/>
        <v>659.99980907928659</v>
      </c>
      <c r="AC251" s="13">
        <f t="shared" si="35"/>
        <v>659.99999999999966</v>
      </c>
      <c r="AD251" s="13">
        <f t="shared" si="36"/>
        <v>2.1118759960998658E-4</v>
      </c>
      <c r="AE251" s="13">
        <f t="shared" si="37"/>
        <v>2.4106150643072611E-8</v>
      </c>
      <c r="AF251" s="13">
        <f t="shared" si="38"/>
        <v>6.5190843753884378E-9</v>
      </c>
      <c r="AG251" s="13">
        <f t="shared" si="39"/>
        <v>6.5190843753884378E-9</v>
      </c>
      <c r="AH251" s="10"/>
      <c r="AI251" s="13">
        <f t="shared" si="33"/>
        <v>6.3787172846331641E-26</v>
      </c>
      <c r="AJ251" s="10"/>
      <c r="AK251" s="10"/>
      <c r="AL251" s="10"/>
      <c r="AM251" s="10"/>
      <c r="AN251" s="10"/>
    </row>
    <row r="252" spans="19:40">
      <c r="S252" s="10"/>
      <c r="T252" s="12">
        <v>246</v>
      </c>
      <c r="U252" s="13">
        <f t="shared" si="34"/>
        <v>0.32113584528114014</v>
      </c>
      <c r="V252" s="13">
        <f t="shared" si="40"/>
        <v>2.70987816940037E-27</v>
      </c>
      <c r="W252" s="13">
        <f t="shared" si="41"/>
        <v>2.70987816940037E-27</v>
      </c>
      <c r="X252" s="13">
        <v>0</v>
      </c>
      <c r="Y252" s="13">
        <v>0</v>
      </c>
      <c r="Z252" s="13">
        <v>0</v>
      </c>
      <c r="AA252" s="13">
        <f t="shared" si="42"/>
        <v>1.7890075981519984E-4</v>
      </c>
      <c r="AB252" s="13">
        <f t="shared" si="43"/>
        <v>659.99982109923985</v>
      </c>
      <c r="AC252" s="13">
        <f t="shared" si="35"/>
        <v>659.99999999999966</v>
      </c>
      <c r="AD252" s="13">
        <f t="shared" si="36"/>
        <v>1.9730853086678113E-4</v>
      </c>
      <c r="AE252" s="13">
        <f t="shared" si="37"/>
        <v>2.2588479774646455E-8</v>
      </c>
      <c r="AF252" s="13">
        <f t="shared" si="38"/>
        <v>6.0906557159602051E-9</v>
      </c>
      <c r="AG252" s="13">
        <f t="shared" si="39"/>
        <v>6.0906557159602051E-9</v>
      </c>
      <c r="AH252" s="10"/>
      <c r="AI252" s="13">
        <f t="shared" si="33"/>
        <v>4.627712083628405E-26</v>
      </c>
      <c r="AJ252" s="10"/>
      <c r="AK252" s="10"/>
      <c r="AL252" s="10"/>
      <c r="AM252" s="10"/>
      <c r="AN252" s="10"/>
    </row>
    <row r="253" spans="19:40">
      <c r="S253" s="10"/>
      <c r="T253" s="12">
        <v>247</v>
      </c>
      <c r="U253" s="13">
        <f t="shared" si="34"/>
        <v>0.32159766689730901</v>
      </c>
      <c r="V253" s="13">
        <f t="shared" si="40"/>
        <v>1.8379124868556365E-27</v>
      </c>
      <c r="W253" s="13">
        <f t="shared" si="41"/>
        <v>1.8379124868556365E-27</v>
      </c>
      <c r="X253" s="13">
        <v>0</v>
      </c>
      <c r="Y253" s="13">
        <v>0</v>
      </c>
      <c r="Z253" s="13">
        <v>0</v>
      </c>
      <c r="AA253" s="13">
        <f t="shared" si="42"/>
        <v>1.6763755667957778E-4</v>
      </c>
      <c r="AB253" s="13">
        <f t="shared" si="43"/>
        <v>659.99983236244304</v>
      </c>
      <c r="AC253" s="13">
        <f t="shared" si="35"/>
        <v>659.99999999999977</v>
      </c>
      <c r="AD253" s="13">
        <f t="shared" si="36"/>
        <v>1.8434158267200911E-4</v>
      </c>
      <c r="AE253" s="13">
        <f t="shared" si="37"/>
        <v>2.1166358166613363E-8</v>
      </c>
      <c r="AF253" s="13">
        <f t="shared" si="38"/>
        <v>5.6903830222550781E-9</v>
      </c>
      <c r="AG253" s="13">
        <f t="shared" si="39"/>
        <v>5.690383022255079E-9</v>
      </c>
      <c r="AH253" s="10"/>
      <c r="AI253" s="13">
        <f t="shared" si="33"/>
        <v>3.3558186132560416E-26</v>
      </c>
      <c r="AJ253" s="10"/>
      <c r="AK253" s="10"/>
      <c r="AL253" s="10"/>
      <c r="AM253" s="10"/>
      <c r="AN253" s="10"/>
    </row>
    <row r="254" spans="19:40">
      <c r="S254" s="10"/>
      <c r="T254" s="12">
        <v>248</v>
      </c>
      <c r="U254" s="13">
        <f t="shared" si="34"/>
        <v>0.32205828268164666</v>
      </c>
      <c r="V254" s="13">
        <f t="shared" si="40"/>
        <v>1.2456752638645684E-27</v>
      </c>
      <c r="W254" s="13">
        <f t="shared" si="41"/>
        <v>1.2456752638645684E-27</v>
      </c>
      <c r="X254" s="13">
        <v>0</v>
      </c>
      <c r="Y254" s="13">
        <v>0</v>
      </c>
      <c r="Z254" s="13">
        <v>0</v>
      </c>
      <c r="AA254" s="13">
        <f t="shared" si="42"/>
        <v>1.5708346034151952E-4</v>
      </c>
      <c r="AB254" s="13">
        <f t="shared" si="43"/>
        <v>659.99984291653936</v>
      </c>
      <c r="AC254" s="13">
        <f t="shared" si="35"/>
        <v>659.99999999999966</v>
      </c>
      <c r="AD254" s="13">
        <f t="shared" si="36"/>
        <v>1.722268112419582E-4</v>
      </c>
      <c r="AE254" s="13">
        <f t="shared" si="37"/>
        <v>1.9833770245141364E-8</v>
      </c>
      <c r="AF254" s="13">
        <f t="shared" si="38"/>
        <v>5.3164159082441258E-9</v>
      </c>
      <c r="AG254" s="13">
        <f t="shared" si="39"/>
        <v>5.3164159082441258E-9</v>
      </c>
      <c r="AH254" s="10"/>
      <c r="AI254" s="13">
        <f t="shared" si="33"/>
        <v>2.4323738261689429E-26</v>
      </c>
      <c r="AJ254" s="10"/>
      <c r="AK254" s="10"/>
      <c r="AL254" s="10"/>
      <c r="AM254" s="10"/>
      <c r="AN254" s="10"/>
    </row>
    <row r="255" spans="19:40">
      <c r="S255" s="10"/>
      <c r="T255" s="12">
        <v>249</v>
      </c>
      <c r="U255" s="13">
        <f t="shared" si="34"/>
        <v>0.32251770062587404</v>
      </c>
      <c r="V255" s="13">
        <f t="shared" si="40"/>
        <v>8.4370450894745687E-28</v>
      </c>
      <c r="W255" s="13">
        <f t="shared" si="41"/>
        <v>8.4370450894745687E-28</v>
      </c>
      <c r="X255" s="13">
        <v>0</v>
      </c>
      <c r="Y255" s="13">
        <v>0</v>
      </c>
      <c r="Z255" s="13">
        <v>0</v>
      </c>
      <c r="AA255" s="13">
        <f t="shared" si="42"/>
        <v>1.4719382697774523E-4</v>
      </c>
      <c r="AB255" s="13">
        <f t="shared" si="43"/>
        <v>659.99985280617273</v>
      </c>
      <c r="AC255" s="13">
        <f t="shared" si="35"/>
        <v>659.99999999999966</v>
      </c>
      <c r="AD255" s="13">
        <f t="shared" si="36"/>
        <v>1.609082122472037E-4</v>
      </c>
      <c r="AE255" s="13">
        <f t="shared" si="37"/>
        <v>1.8585079163856733E-8</v>
      </c>
      <c r="AF255" s="13">
        <f t="shared" si="38"/>
        <v>4.9670255936884513E-9</v>
      </c>
      <c r="AG255" s="13">
        <f t="shared" si="39"/>
        <v>4.9670255936884513E-9</v>
      </c>
      <c r="AH255" s="10"/>
      <c r="AI255" s="13">
        <f t="shared" si="33"/>
        <v>1.7622291542827375E-26</v>
      </c>
      <c r="AJ255" s="10"/>
      <c r="AK255" s="10"/>
      <c r="AL255" s="10"/>
      <c r="AM255" s="10"/>
      <c r="AN255" s="10"/>
    </row>
    <row r="256" spans="19:40">
      <c r="S256" s="10"/>
      <c r="T256" s="12">
        <v>250</v>
      </c>
      <c r="U256" s="13">
        <f t="shared" si="34"/>
        <v>0.32297592863690505</v>
      </c>
      <c r="V256" s="13">
        <f t="shared" si="40"/>
        <v>5.7106031542655663E-28</v>
      </c>
      <c r="W256" s="13">
        <f t="shared" si="41"/>
        <v>5.7106031542655663E-28</v>
      </c>
      <c r="X256" s="13">
        <v>0</v>
      </c>
      <c r="Y256" s="13">
        <v>0</v>
      </c>
      <c r="Z256" s="13">
        <v>0</v>
      </c>
      <c r="AA256" s="13">
        <f t="shared" si="42"/>
        <v>1.3792682344309008E-4</v>
      </c>
      <c r="AB256" s="13">
        <f t="shared" si="43"/>
        <v>659.99986207317625</v>
      </c>
      <c r="AC256" s="13">
        <f t="shared" si="35"/>
        <v>659.99999999999966</v>
      </c>
      <c r="AD256" s="13">
        <f t="shared" si="36"/>
        <v>1.5033346191503682E-4</v>
      </c>
      <c r="AE256" s="13">
        <f t="shared" si="37"/>
        <v>1.7415002959986129E-8</v>
      </c>
      <c r="AF256" s="13">
        <f t="shared" si="38"/>
        <v>4.640596912310497E-9</v>
      </c>
      <c r="AG256" s="13">
        <f t="shared" si="39"/>
        <v>4.640596912310497E-9</v>
      </c>
      <c r="AH256" s="10"/>
      <c r="AI256" s="13">
        <f t="shared" si="33"/>
        <v>1.2761307637520635E-26</v>
      </c>
      <c r="AJ256" s="10"/>
      <c r="AK256" s="10"/>
      <c r="AL256" s="10"/>
      <c r="AM256" s="10"/>
      <c r="AN256" s="10"/>
    </row>
    <row r="257" spans="19:40">
      <c r="S257" s="10"/>
      <c r="T257" s="12">
        <v>251</v>
      </c>
      <c r="U257" s="13">
        <f t="shared" si="34"/>
        <v>0.32343297453808167</v>
      </c>
      <c r="V257" s="13">
        <f t="shared" si="40"/>
        <v>3.8626044173886244E-28</v>
      </c>
      <c r="W257" s="13">
        <f t="shared" si="41"/>
        <v>3.8626044173886244E-28</v>
      </c>
      <c r="X257" s="13">
        <v>0</v>
      </c>
      <c r="Y257" s="13">
        <v>0</v>
      </c>
      <c r="Z257" s="13">
        <v>0</v>
      </c>
      <c r="AA257" s="13">
        <f t="shared" si="42"/>
        <v>1.2924325031631672E-4</v>
      </c>
      <c r="AB257" s="13">
        <f t="shared" si="43"/>
        <v>659.99987075674937</v>
      </c>
      <c r="AC257" s="13">
        <f t="shared" si="35"/>
        <v>659.99999999999966</v>
      </c>
      <c r="AD257" s="13">
        <f t="shared" si="36"/>
        <v>1.404536751464192E-4</v>
      </c>
      <c r="AE257" s="13">
        <f t="shared" si="37"/>
        <v>1.6318592211656157E-8</v>
      </c>
      <c r="AF257" s="13">
        <f t="shared" si="38"/>
        <v>4.3356208451815123E-9</v>
      </c>
      <c r="AG257" s="13">
        <f t="shared" si="39"/>
        <v>4.3356208451815123E-9</v>
      </c>
      <c r="AH257" s="10"/>
      <c r="AI257" s="13">
        <f t="shared" si="33"/>
        <v>9.2369634650786886E-27</v>
      </c>
      <c r="AJ257" s="10"/>
      <c r="AK257" s="10"/>
      <c r="AL257" s="10"/>
      <c r="AM257" s="10"/>
      <c r="AN257" s="10"/>
    </row>
    <row r="258" spans="19:40">
      <c r="S258" s="10"/>
      <c r="T258" s="12">
        <v>252</v>
      </c>
      <c r="U258" s="13">
        <f t="shared" si="34"/>
        <v>0.32388884607038571</v>
      </c>
      <c r="V258" s="13">
        <f t="shared" si="40"/>
        <v>2.6108726099389318E-28</v>
      </c>
      <c r="W258" s="13">
        <f t="shared" si="41"/>
        <v>2.6108726099389318E-28</v>
      </c>
      <c r="X258" s="13">
        <v>0</v>
      </c>
      <c r="Y258" s="13">
        <v>0</v>
      </c>
      <c r="Z258" s="13">
        <v>0</v>
      </c>
      <c r="AA258" s="13">
        <f t="shared" si="42"/>
        <v>1.2110637608657939E-4</v>
      </c>
      <c r="AB258" s="13">
        <f t="shared" si="43"/>
        <v>659.99987889362365</v>
      </c>
      <c r="AC258" s="13">
        <f t="shared" si="35"/>
        <v>659.99999999999977</v>
      </c>
      <c r="AD258" s="13">
        <f t="shared" si="36"/>
        <v>1.3122317952928532E-4</v>
      </c>
      <c r="AE258" s="13">
        <f t="shared" si="37"/>
        <v>1.5291209101840837E-8</v>
      </c>
      <c r="AF258" s="13">
        <f t="shared" si="38"/>
        <v>4.0506875448083992E-9</v>
      </c>
      <c r="AG258" s="13">
        <f t="shared" si="39"/>
        <v>4.0506875448084001E-9</v>
      </c>
      <c r="AH258" s="10"/>
      <c r="AI258" s="13">
        <f t="shared" si="33"/>
        <v>6.6829011320670072E-27</v>
      </c>
      <c r="AJ258" s="10"/>
      <c r="AK258" s="10"/>
      <c r="AL258" s="10"/>
      <c r="AM258" s="10"/>
      <c r="AN258" s="10"/>
    </row>
    <row r="259" spans="19:40">
      <c r="S259" s="10"/>
      <c r="T259" s="12">
        <v>253</v>
      </c>
      <c r="U259" s="13">
        <f t="shared" si="34"/>
        <v>0.32434355089362987</v>
      </c>
      <c r="V259" s="13">
        <f t="shared" si="40"/>
        <v>1.7635950919481178E-28</v>
      </c>
      <c r="W259" s="13">
        <f t="shared" si="41"/>
        <v>1.7635950919481178E-28</v>
      </c>
      <c r="X259" s="13">
        <v>0</v>
      </c>
      <c r="Y259" s="13">
        <v>0</v>
      </c>
      <c r="Z259" s="13">
        <v>0</v>
      </c>
      <c r="AA259" s="13">
        <f t="shared" si="42"/>
        <v>1.1348178177914765E-4</v>
      </c>
      <c r="AB259" s="13">
        <f t="shared" si="43"/>
        <v>659.99988651821798</v>
      </c>
      <c r="AC259" s="13">
        <f t="shared" si="35"/>
        <v>659.99999999999977</v>
      </c>
      <c r="AD259" s="13">
        <f t="shared" si="36"/>
        <v>1.2259930420349742E-4</v>
      </c>
      <c r="AE259" s="13">
        <f t="shared" si="37"/>
        <v>1.4328507800397436E-8</v>
      </c>
      <c r="AF259" s="13">
        <f t="shared" si="38"/>
        <v>3.7844798176716435E-9</v>
      </c>
      <c r="AG259" s="13">
        <f t="shared" si="39"/>
        <v>3.7844798176716435E-9</v>
      </c>
      <c r="AH259" s="10"/>
      <c r="AI259" s="13">
        <f t="shared" si="33"/>
        <v>4.8328477929630166E-27</v>
      </c>
      <c r="AJ259" s="10"/>
      <c r="AK259" s="10"/>
      <c r="AL259" s="10"/>
      <c r="AM259" s="10"/>
      <c r="AN259" s="10"/>
    </row>
    <row r="260" spans="19:40">
      <c r="S260" s="10"/>
      <c r="T260" s="12">
        <v>254</v>
      </c>
      <c r="U260" s="13">
        <f t="shared" si="34"/>
        <v>0.32479709658762501</v>
      </c>
      <c r="V260" s="13">
        <f t="shared" si="40"/>
        <v>1.1904752745617454E-28</v>
      </c>
      <c r="W260" s="13">
        <f t="shared" si="41"/>
        <v>1.1904752745617454E-28</v>
      </c>
      <c r="X260" s="13">
        <v>0</v>
      </c>
      <c r="Y260" s="13">
        <v>0</v>
      </c>
      <c r="Z260" s="13">
        <v>0</v>
      </c>
      <c r="AA260" s="13">
        <f t="shared" si="42"/>
        <v>1.0633721536315706E-4</v>
      </c>
      <c r="AB260" s="13">
        <f t="shared" si="43"/>
        <v>659.99989366278442</v>
      </c>
      <c r="AC260" s="13">
        <f t="shared" si="35"/>
        <v>659.99999999999977</v>
      </c>
      <c r="AD260" s="13">
        <f t="shared" si="36"/>
        <v>1.1454218260141525E-4</v>
      </c>
      <c r="AE260" s="13">
        <f t="shared" si="37"/>
        <v>1.3426416081206706E-8</v>
      </c>
      <c r="AF260" s="13">
        <f t="shared" si="38"/>
        <v>3.5357670350852606E-9</v>
      </c>
      <c r="AG260" s="13">
        <f t="shared" si="39"/>
        <v>3.5357670350852614E-9</v>
      </c>
      <c r="AH260" s="10"/>
      <c r="AI260" s="13">
        <f t="shared" si="33"/>
        <v>3.4933650838190529E-27</v>
      </c>
      <c r="AJ260" s="10"/>
      <c r="AK260" s="10"/>
      <c r="AL260" s="10"/>
      <c r="AM260" s="10"/>
      <c r="AN260" s="10"/>
    </row>
    <row r="261" spans="19:40">
      <c r="S261" s="10"/>
      <c r="T261" s="12">
        <v>255</v>
      </c>
      <c r="U261" s="13">
        <f t="shared" si="34"/>
        <v>0.32524949065332742</v>
      </c>
      <c r="V261" s="13">
        <f t="shared" si="40"/>
        <v>8.0306504427851598E-29</v>
      </c>
      <c r="W261" s="13">
        <f t="shared" si="41"/>
        <v>8.0306504427851598E-29</v>
      </c>
      <c r="X261" s="13">
        <v>0</v>
      </c>
      <c r="Y261" s="13">
        <v>0</v>
      </c>
      <c r="Z261" s="13">
        <v>0</v>
      </c>
      <c r="AA261" s="13">
        <f t="shared" si="42"/>
        <v>9.9642455325531598E-5</v>
      </c>
      <c r="AB261" s="13">
        <f t="shared" si="43"/>
        <v>659.99990035754445</v>
      </c>
      <c r="AC261" s="13">
        <f t="shared" si="35"/>
        <v>659.99999999999977</v>
      </c>
      <c r="AD261" s="13">
        <f t="shared" si="36"/>
        <v>1.070145681521876E-4</v>
      </c>
      <c r="AE261" s="13">
        <f t="shared" si="37"/>
        <v>1.2581118096658035E-8</v>
      </c>
      <c r="AF261" s="13">
        <f t="shared" si="38"/>
        <v>3.3033994442298571E-9</v>
      </c>
      <c r="AG261" s="13">
        <f t="shared" si="39"/>
        <v>3.3033994442298571E-9</v>
      </c>
      <c r="AH261" s="10"/>
      <c r="AI261" s="13">
        <f t="shared" si="33"/>
        <v>2.5239927942554089E-27</v>
      </c>
      <c r="AJ261" s="10"/>
      <c r="AK261" s="10"/>
      <c r="AL261" s="10"/>
      <c r="AM261" s="10"/>
      <c r="AN261" s="10"/>
    </row>
    <row r="262" spans="19:40">
      <c r="S262" s="10"/>
      <c r="T262" s="12">
        <v>256</v>
      </c>
      <c r="U262" s="13">
        <f t="shared" si="34"/>
        <v>0.32570074051396497</v>
      </c>
      <c r="V262" s="13">
        <f t="shared" si="40"/>
        <v>5.4136534468606333E-29</v>
      </c>
      <c r="W262" s="13">
        <f t="shared" si="41"/>
        <v>5.4136534468606333E-29</v>
      </c>
      <c r="X262" s="13">
        <v>0</v>
      </c>
      <c r="Y262" s="13">
        <v>0</v>
      </c>
      <c r="Z262" s="13">
        <v>0</v>
      </c>
      <c r="AA262" s="13">
        <f t="shared" si="42"/>
        <v>9.3369182833995441E-5</v>
      </c>
      <c r="AB262" s="13">
        <f t="shared" si="43"/>
        <v>659.99990663081689</v>
      </c>
      <c r="AC262" s="13">
        <f t="shared" si="35"/>
        <v>659.99999999999977</v>
      </c>
      <c r="AD262" s="13">
        <f t="shared" si="36"/>
        <v>9.9981662097799997E-5</v>
      </c>
      <c r="AE262" s="13">
        <f t="shared" si="37"/>
        <v>1.1789038236615589E-8</v>
      </c>
      <c r="AF262" s="13">
        <f t="shared" si="38"/>
        <v>3.0863028530597151E-9</v>
      </c>
      <c r="AG262" s="13">
        <f t="shared" si="39"/>
        <v>3.0863028530597155E-9</v>
      </c>
      <c r="AH262" s="10"/>
      <c r="AI262" s="13">
        <f t="shared" ref="AI262:AI325" si="44">EXP(-lambda_pacl*(T262^gamma_pacl))</f>
        <v>1.8227874204441732E-27</v>
      </c>
      <c r="AJ262" s="10"/>
      <c r="AK262" s="10"/>
      <c r="AL262" s="10"/>
      <c r="AM262" s="10"/>
      <c r="AN262" s="10"/>
    </row>
    <row r="263" spans="19:40">
      <c r="S263" s="10"/>
      <c r="T263" s="12">
        <v>257</v>
      </c>
      <c r="U263" s="13">
        <f t="shared" ref="U263:U326" si="45">gamma_pacl*lambda_pacl*T263^(gamma_pacl-1)</f>
        <v>0.3261508535161422</v>
      </c>
      <c r="V263" s="13">
        <f t="shared" si="40"/>
        <v>3.6470364533085472E-29</v>
      </c>
      <c r="W263" s="13">
        <f t="shared" si="41"/>
        <v>3.6470364533085472E-29</v>
      </c>
      <c r="X263" s="13">
        <v>0</v>
      </c>
      <c r="Y263" s="13">
        <v>0</v>
      </c>
      <c r="Z263" s="13">
        <v>0</v>
      </c>
      <c r="AA263" s="13">
        <f t="shared" si="42"/>
        <v>8.7490861948423787E-5</v>
      </c>
      <c r="AB263" s="13">
        <f t="shared" si="43"/>
        <v>659.99991250913774</v>
      </c>
      <c r="AC263" s="13">
        <f t="shared" ref="AC263:AC326" si="46">V263+AA263+AB263</f>
        <v>659.99999999999966</v>
      </c>
      <c r="AD263" s="13">
        <f t="shared" ref="AD263:AD326" si="47">(V263*cPFS_PALB_after+AA263*cP)/AC263/(1+rdis_Month)^T262</f>
        <v>9.3410952624904946E-5</v>
      </c>
      <c r="AE263" s="13">
        <f t="shared" ref="AE263:AE326" si="48">(V263+AA263)/AC263/12</f>
        <v>1.1046826003588867E-8</v>
      </c>
      <c r="AF263" s="13">
        <f t="shared" ref="AF263:AF326" si="49">(V263*uS+AA263*uP)/AC263/12/(1+rdis_Month)^T262</f>
        <v>2.883473664513262E-9</v>
      </c>
      <c r="AG263" s="13">
        <f t="shared" ref="AG263:AG326" si="50">(W263*uS/12+X263*(uS+duAE1_PALB)/12+Y263*(uS/12+duAE2_PALB)/12+Z263*(uS+duAE3_PALB)/12+AA263*uP/12)/AC263/(1+rdis_Month)^T262</f>
        <v>2.883473664513262E-9</v>
      </c>
      <c r="AH263" s="10"/>
      <c r="AI263" s="13">
        <f t="shared" si="44"/>
        <v>1.3157949237037163E-27</v>
      </c>
      <c r="AJ263" s="10"/>
      <c r="AK263" s="10"/>
      <c r="AL263" s="10"/>
      <c r="AM263" s="10"/>
      <c r="AN263" s="10"/>
    </row>
    <row r="264" spans="19:40">
      <c r="S264" s="10"/>
      <c r="T264" s="12">
        <v>258</v>
      </c>
      <c r="U264" s="13">
        <f t="shared" si="45"/>
        <v>0.32659983693092615</v>
      </c>
      <c r="V264" s="13">
        <f t="shared" ref="V264:V327" si="51">SUM(W264:Z264)</f>
        <v>2.4552754230243694E-29</v>
      </c>
      <c r="W264" s="13">
        <f t="shared" ref="W264:W327" si="52">(1-($Q$13+U264))*W263</f>
        <v>2.4552754230243694E-29</v>
      </c>
      <c r="X264" s="13">
        <v>0</v>
      </c>
      <c r="Y264" s="13">
        <v>0</v>
      </c>
      <c r="Z264" s="13">
        <v>0</v>
      </c>
      <c r="AA264" s="13">
        <f t="shared" ref="AA264:AA327" si="53">(1-$Q$17)*AA263+(U264*W263)</f>
        <v>8.1982627373826747E-5</v>
      </c>
      <c r="AB264" s="13">
        <f t="shared" ref="AB264:AB327" si="54">(AB263*1)+(AA263*$Q$17)+(W263*$Q$13)</f>
        <v>659.99991801737235</v>
      </c>
      <c r="AC264" s="13">
        <f t="shared" si="46"/>
        <v>659.99999999999977</v>
      </c>
      <c r="AD264" s="13">
        <f t="shared" si="47"/>
        <v>8.727206456877089E-5</v>
      </c>
      <c r="AE264" s="13">
        <f t="shared" si="48"/>
        <v>1.0351341840129644E-8</v>
      </c>
      <c r="AF264" s="13">
        <f t="shared" si="49"/>
        <v>2.6939742370709801E-9</v>
      </c>
      <c r="AG264" s="13">
        <f t="shared" si="50"/>
        <v>2.6939742370709801E-9</v>
      </c>
      <c r="AH264" s="10"/>
      <c r="AI264" s="13">
        <f t="shared" si="44"/>
        <v>9.4939109611106132E-28</v>
      </c>
      <c r="AJ264" s="10"/>
      <c r="AK264" s="10"/>
      <c r="AL264" s="10"/>
      <c r="AM264" s="10"/>
      <c r="AN264" s="10"/>
    </row>
    <row r="265" spans="19:40">
      <c r="S265" s="10"/>
      <c r="T265" s="12">
        <v>259</v>
      </c>
      <c r="U265" s="13">
        <f t="shared" si="45"/>
        <v>0.32704769795491268</v>
      </c>
      <c r="V265" s="13">
        <f t="shared" si="51"/>
        <v>1.6518527077844772E-29</v>
      </c>
      <c r="W265" s="13">
        <f t="shared" si="52"/>
        <v>1.6518527077844772E-29</v>
      </c>
      <c r="X265" s="13">
        <v>0</v>
      </c>
      <c r="Y265" s="13">
        <v>0</v>
      </c>
      <c r="Z265" s="13">
        <v>0</v>
      </c>
      <c r="AA265" s="13">
        <f t="shared" si="53"/>
        <v>7.6821179280161533E-5</v>
      </c>
      <c r="AB265" s="13">
        <f t="shared" si="54"/>
        <v>659.9999231788205</v>
      </c>
      <c r="AC265" s="13">
        <f t="shared" si="46"/>
        <v>659.99999999999977</v>
      </c>
      <c r="AD265" s="13">
        <f t="shared" si="47"/>
        <v>8.1536618994559426E-5</v>
      </c>
      <c r="AE265" s="13">
        <f t="shared" si="48"/>
        <v>9.6996438485052472E-9</v>
      </c>
      <c r="AF265" s="13">
        <f t="shared" si="49"/>
        <v>2.5169285502134997E-9</v>
      </c>
      <c r="AG265" s="13">
        <f t="shared" si="50"/>
        <v>2.5169285502134997E-9</v>
      </c>
      <c r="AH265" s="10"/>
      <c r="AI265" s="13">
        <f t="shared" si="44"/>
        <v>6.8471107910446699E-28</v>
      </c>
      <c r="AJ265" s="10"/>
      <c r="AK265" s="10"/>
      <c r="AL265" s="10"/>
      <c r="AM265" s="10"/>
      <c r="AN265" s="10"/>
    </row>
    <row r="266" spans="19:40">
      <c r="S266" s="10"/>
      <c r="T266" s="12">
        <v>260</v>
      </c>
      <c r="U266" s="13">
        <f t="shared" si="45"/>
        <v>0.32749444371127312</v>
      </c>
      <c r="V266" s="13">
        <f t="shared" si="51"/>
        <v>1.1105904665699337E-29</v>
      </c>
      <c r="W266" s="13">
        <f t="shared" si="52"/>
        <v>1.1105904665699337E-29</v>
      </c>
      <c r="X266" s="13">
        <v>0</v>
      </c>
      <c r="Y266" s="13">
        <v>0</v>
      </c>
      <c r="Z266" s="13">
        <v>0</v>
      </c>
      <c r="AA266" s="13">
        <f t="shared" si="53"/>
        <v>7.1984684744060709E-5</v>
      </c>
      <c r="AB266" s="13">
        <f t="shared" si="54"/>
        <v>659.99992801531505</v>
      </c>
      <c r="AC266" s="13">
        <f t="shared" si="46"/>
        <v>659.99999999999977</v>
      </c>
      <c r="AD266" s="13">
        <f t="shared" si="47"/>
        <v>7.6178102006800997E-5</v>
      </c>
      <c r="AE266" s="13">
        <f t="shared" si="48"/>
        <v>9.0889753464723153E-9</v>
      </c>
      <c r="AF266" s="13">
        <f t="shared" si="49"/>
        <v>2.3515181547420713E-9</v>
      </c>
      <c r="AG266" s="13">
        <f t="shared" si="50"/>
        <v>2.3515181547420713E-9</v>
      </c>
      <c r="AH266" s="10"/>
      <c r="AI266" s="13">
        <f t="shared" si="44"/>
        <v>4.9360016332704993E-28</v>
      </c>
      <c r="AJ266" s="10"/>
      <c r="AK266" s="10"/>
      <c r="AL266" s="10"/>
      <c r="AM266" s="10"/>
      <c r="AN266" s="10"/>
    </row>
    <row r="267" spans="19:40">
      <c r="S267" s="10"/>
      <c r="T267" s="12">
        <v>261</v>
      </c>
      <c r="U267" s="13">
        <f t="shared" si="45"/>
        <v>0.32794008125078272</v>
      </c>
      <c r="V267" s="13">
        <f t="shared" si="51"/>
        <v>7.4618859318320831E-30</v>
      </c>
      <c r="W267" s="13">
        <f t="shared" si="52"/>
        <v>7.4618859318320831E-30</v>
      </c>
      <c r="X267" s="13">
        <v>0</v>
      </c>
      <c r="Y267" s="13">
        <v>0</v>
      </c>
      <c r="Z267" s="13">
        <v>0</v>
      </c>
      <c r="AA267" s="13">
        <f t="shared" si="53"/>
        <v>6.745268539557507E-5</v>
      </c>
      <c r="AB267" s="13">
        <f t="shared" si="54"/>
        <v>659.99993254731442</v>
      </c>
      <c r="AC267" s="13">
        <f t="shared" si="46"/>
        <v>659.99999999999977</v>
      </c>
      <c r="AD267" s="13">
        <f t="shared" si="47"/>
        <v>7.1171742180599733E-5</v>
      </c>
      <c r="AE267" s="13">
        <f t="shared" si="48"/>
        <v>8.5167532065120077E-9</v>
      </c>
      <c r="AF267" s="13">
        <f t="shared" si="49"/>
        <v>2.1969783892405287E-9</v>
      </c>
      <c r="AG267" s="13">
        <f t="shared" si="50"/>
        <v>2.1969783892405287E-9</v>
      </c>
      <c r="AH267" s="10"/>
      <c r="AI267" s="13">
        <f t="shared" si="44"/>
        <v>3.5567181900029444E-28</v>
      </c>
      <c r="AJ267" s="10"/>
      <c r="AK267" s="10"/>
      <c r="AL267" s="10"/>
      <c r="AM267" s="10"/>
      <c r="AN267" s="10"/>
    </row>
    <row r="268" spans="19:40">
      <c r="S268" s="10"/>
      <c r="T268" s="12">
        <v>262</v>
      </c>
      <c r="U268" s="13">
        <f t="shared" si="45"/>
        <v>0.32838461755283044</v>
      </c>
      <c r="V268" s="13">
        <f t="shared" si="51"/>
        <v>5.0102089086360278E-30</v>
      </c>
      <c r="W268" s="13">
        <f t="shared" si="52"/>
        <v>5.0102089086360278E-30</v>
      </c>
      <c r="X268" s="13">
        <v>0</v>
      </c>
      <c r="Y268" s="13">
        <v>0</v>
      </c>
      <c r="Z268" s="13">
        <v>0</v>
      </c>
      <c r="AA268" s="13">
        <f t="shared" si="53"/>
        <v>6.3206010879277003E-5</v>
      </c>
      <c r="AB268" s="13">
        <f t="shared" si="54"/>
        <v>659.99993679398892</v>
      </c>
      <c r="AC268" s="13">
        <f t="shared" si="46"/>
        <v>659.99999999999977</v>
      </c>
      <c r="AD268" s="13">
        <f t="shared" si="47"/>
        <v>6.6494396047955272E-5</v>
      </c>
      <c r="AE268" s="13">
        <f t="shared" si="48"/>
        <v>7.9805569292016443E-9</v>
      </c>
      <c r="AF268" s="13">
        <f t="shared" si="49"/>
        <v>2.0525948451881433E-9</v>
      </c>
      <c r="AG268" s="13">
        <f t="shared" si="50"/>
        <v>2.0525948451881433E-9</v>
      </c>
      <c r="AH268" s="10"/>
      <c r="AI268" s="13">
        <f t="shared" si="44"/>
        <v>2.5617120950176903E-28</v>
      </c>
      <c r="AJ268" s="10"/>
      <c r="AK268" s="10"/>
      <c r="AL268" s="10"/>
      <c r="AM268" s="10"/>
      <c r="AN268" s="10"/>
    </row>
    <row r="269" spans="19:40">
      <c r="S269" s="10"/>
      <c r="T269" s="12">
        <v>263</v>
      </c>
      <c r="U269" s="13">
        <f t="shared" si="45"/>
        <v>0.32882805952641175</v>
      </c>
      <c r="V269" s="13">
        <f t="shared" si="51"/>
        <v>3.3618330794425014E-30</v>
      </c>
      <c r="W269" s="13">
        <f t="shared" si="52"/>
        <v>3.3618330794425014E-30</v>
      </c>
      <c r="X269" s="13">
        <v>0</v>
      </c>
      <c r="Y269" s="13">
        <v>0</v>
      </c>
      <c r="Z269" s="13">
        <v>0</v>
      </c>
      <c r="AA269" s="13">
        <f t="shared" si="53"/>
        <v>5.9226697763664676E-5</v>
      </c>
      <c r="AB269" s="13">
        <f t="shared" si="54"/>
        <v>659.999940773302</v>
      </c>
      <c r="AC269" s="13">
        <f t="shared" si="46"/>
        <v>659.99999999999977</v>
      </c>
      <c r="AD269" s="13">
        <f t="shared" si="47"/>
        <v>6.212444110982517E-5</v>
      </c>
      <c r="AE269" s="13">
        <f t="shared" si="48"/>
        <v>7.4781184045031172E-9</v>
      </c>
      <c r="AF269" s="13">
        <f t="shared" si="49"/>
        <v>1.9177000643822329E-9</v>
      </c>
      <c r="AG269" s="13">
        <f t="shared" si="50"/>
        <v>1.9177000643822329E-9</v>
      </c>
      <c r="AH269" s="10"/>
      <c r="AI269" s="13">
        <f t="shared" si="44"/>
        <v>1.8442439173773184E-28</v>
      </c>
      <c r="AJ269" s="10"/>
      <c r="AK269" s="10"/>
      <c r="AL269" s="10"/>
      <c r="AM269" s="10"/>
      <c r="AN269" s="10"/>
    </row>
    <row r="270" spans="19:40">
      <c r="S270" s="10"/>
      <c r="T270" s="12">
        <v>264</v>
      </c>
      <c r="U270" s="13">
        <f t="shared" si="45"/>
        <v>0.3292704140111023</v>
      </c>
      <c r="V270" s="13">
        <f t="shared" si="51"/>
        <v>2.2542914014975214E-30</v>
      </c>
      <c r="W270" s="13">
        <f t="shared" si="52"/>
        <v>2.2542914014975214E-30</v>
      </c>
      <c r="X270" s="13">
        <v>0</v>
      </c>
      <c r="Y270" s="13">
        <v>0</v>
      </c>
      <c r="Z270" s="13">
        <v>0</v>
      </c>
      <c r="AA270" s="13">
        <f t="shared" si="53"/>
        <v>5.5497913555853999E-5</v>
      </c>
      <c r="AB270" s="13">
        <f t="shared" si="54"/>
        <v>659.99994450208624</v>
      </c>
      <c r="AC270" s="13">
        <f t="shared" si="46"/>
        <v>659.99999999999977</v>
      </c>
      <c r="AD270" s="13">
        <f t="shared" si="47"/>
        <v>5.8041675879343773E-5</v>
      </c>
      <c r="AE270" s="13">
        <f t="shared" si="48"/>
        <v>7.0073123176583363E-9</v>
      </c>
      <c r="AF270" s="13">
        <f t="shared" si="49"/>
        <v>1.7916704534033507E-9</v>
      </c>
      <c r="AG270" s="13">
        <f t="shared" si="50"/>
        <v>1.7916704534033507E-9</v>
      </c>
      <c r="AH270" s="10"/>
      <c r="AI270" s="13">
        <f t="shared" si="44"/>
        <v>1.3271317911289127E-28</v>
      </c>
      <c r="AJ270" s="10"/>
      <c r="AK270" s="10"/>
      <c r="AL270" s="10"/>
      <c r="AM270" s="10"/>
      <c r="AN270" s="10"/>
    </row>
    <row r="271" spans="19:40">
      <c r="S271" s="10"/>
      <c r="T271" s="12">
        <v>265</v>
      </c>
      <c r="U271" s="13">
        <f t="shared" si="45"/>
        <v>0.32971168777801624</v>
      </c>
      <c r="V271" s="13">
        <f t="shared" si="51"/>
        <v>1.5106298816543044E-30</v>
      </c>
      <c r="W271" s="13">
        <f t="shared" si="52"/>
        <v>1.5106298816543044E-30</v>
      </c>
      <c r="X271" s="13">
        <v>0</v>
      </c>
      <c r="Y271" s="13">
        <v>0</v>
      </c>
      <c r="Z271" s="13">
        <v>0</v>
      </c>
      <c r="AA271" s="13">
        <f t="shared" si="53"/>
        <v>5.2003885500140461E-5</v>
      </c>
      <c r="AB271" s="13">
        <f t="shared" si="54"/>
        <v>659.99994799611432</v>
      </c>
      <c r="AC271" s="13">
        <f t="shared" si="46"/>
        <v>659.99999999999977</v>
      </c>
      <c r="AD271" s="13">
        <f t="shared" si="47"/>
        <v>5.4227226494114941E-5</v>
      </c>
      <c r="AE271" s="13">
        <f t="shared" si="48"/>
        <v>6.5661471591086462E-9</v>
      </c>
      <c r="AF271" s="13">
        <f t="shared" si="49"/>
        <v>1.673923400859176E-9</v>
      </c>
      <c r="AG271" s="13">
        <f t="shared" si="50"/>
        <v>1.673923400859176E-9</v>
      </c>
      <c r="AH271" s="10"/>
      <c r="AI271" s="13">
        <f t="shared" si="44"/>
        <v>9.5459217159457369E-29</v>
      </c>
      <c r="AJ271" s="10"/>
      <c r="AK271" s="10"/>
      <c r="AL271" s="10"/>
      <c r="AM271" s="10"/>
      <c r="AN271" s="10"/>
    </row>
    <row r="272" spans="19:40">
      <c r="S272" s="10"/>
      <c r="T272" s="12">
        <v>266</v>
      </c>
      <c r="U272" s="13">
        <f t="shared" si="45"/>
        <v>0.33015188753074648</v>
      </c>
      <c r="V272" s="13">
        <f t="shared" si="51"/>
        <v>1.0116276811483556E-30</v>
      </c>
      <c r="W272" s="13">
        <f t="shared" si="52"/>
        <v>1.0116276811483556E-30</v>
      </c>
      <c r="X272" s="13">
        <v>0</v>
      </c>
      <c r="Y272" s="13">
        <v>0</v>
      </c>
      <c r="Z272" s="13">
        <v>0</v>
      </c>
      <c r="AA272" s="13">
        <f t="shared" si="53"/>
        <v>4.8729833859248835E-5</v>
      </c>
      <c r="AB272" s="13">
        <f t="shared" si="54"/>
        <v>659.99995127016598</v>
      </c>
      <c r="AC272" s="13">
        <f t="shared" si="46"/>
        <v>659.99999999999989</v>
      </c>
      <c r="AD272" s="13">
        <f t="shared" si="47"/>
        <v>5.0663459465865588E-5</v>
      </c>
      <c r="AE272" s="13">
        <f t="shared" si="48"/>
        <v>6.1527568004102071E-9</v>
      </c>
      <c r="AF272" s="13">
        <f t="shared" si="49"/>
        <v>1.5639145840806819E-9</v>
      </c>
      <c r="AG272" s="13">
        <f t="shared" si="50"/>
        <v>1.5639145840806821E-9</v>
      </c>
      <c r="AH272" s="10"/>
      <c r="AI272" s="13">
        <f t="shared" si="44"/>
        <v>6.8632572096596726E-29</v>
      </c>
      <c r="AJ272" s="10"/>
      <c r="AK272" s="10"/>
      <c r="AL272" s="10"/>
      <c r="AM272" s="10"/>
      <c r="AN272" s="10"/>
    </row>
    <row r="273" spans="19:40">
      <c r="S273" s="10"/>
      <c r="T273" s="12">
        <v>267</v>
      </c>
      <c r="U273" s="13">
        <f t="shared" si="45"/>
        <v>0.33059101990628931</v>
      </c>
      <c r="V273" s="13">
        <f t="shared" si="51"/>
        <v>6.7701526216540889E-31</v>
      </c>
      <c r="W273" s="13">
        <f t="shared" si="52"/>
        <v>6.7701526216540889E-31</v>
      </c>
      <c r="X273" s="13">
        <v>0</v>
      </c>
      <c r="Y273" s="13">
        <v>0</v>
      </c>
      <c r="Z273" s="13">
        <v>0</v>
      </c>
      <c r="AA273" s="13">
        <f t="shared" si="53"/>
        <v>4.5661909396050429E-5</v>
      </c>
      <c r="AB273" s="13">
        <f t="shared" si="54"/>
        <v>659.99995433809045</v>
      </c>
      <c r="AC273" s="13">
        <f t="shared" si="46"/>
        <v>659.99999999999989</v>
      </c>
      <c r="AD273" s="13">
        <f t="shared" si="47"/>
        <v>4.7333900164117178E-5</v>
      </c>
      <c r="AE273" s="13">
        <f t="shared" si="48"/>
        <v>5.7653926005114186E-9</v>
      </c>
      <c r="AF273" s="13">
        <f t="shared" si="49"/>
        <v>1.4611354528199331E-9</v>
      </c>
      <c r="AG273" s="13">
        <f t="shared" si="50"/>
        <v>1.4611354528199331E-9</v>
      </c>
      <c r="AH273" s="10"/>
      <c r="AI273" s="13">
        <f t="shared" si="44"/>
        <v>4.9323255881452157E-29</v>
      </c>
      <c r="AJ273" s="10"/>
      <c r="AK273" s="10"/>
      <c r="AL273" s="10"/>
      <c r="AM273" s="10"/>
      <c r="AN273" s="10"/>
    </row>
    <row r="274" spans="19:40">
      <c r="S274" s="10"/>
      <c r="T274" s="12">
        <v>268</v>
      </c>
      <c r="U274" s="13">
        <f t="shared" si="45"/>
        <v>0.33102909147595216</v>
      </c>
      <c r="V274" s="13">
        <f t="shared" si="51"/>
        <v>4.5278479825249814E-31</v>
      </c>
      <c r="W274" s="13">
        <f t="shared" si="52"/>
        <v>4.5278479825249814E-31</v>
      </c>
      <c r="X274" s="13">
        <v>0</v>
      </c>
      <c r="Y274" s="13">
        <v>0</v>
      </c>
      <c r="Z274" s="13">
        <v>0</v>
      </c>
      <c r="AA274" s="13">
        <f t="shared" si="53"/>
        <v>4.2787134791295566E-5</v>
      </c>
      <c r="AB274" s="13">
        <f t="shared" si="54"/>
        <v>659.99995721286507</v>
      </c>
      <c r="AC274" s="13">
        <f t="shared" si="46"/>
        <v>659.99999999999989</v>
      </c>
      <c r="AD274" s="13">
        <f t="shared" si="47"/>
        <v>4.4223156657040814E-5</v>
      </c>
      <c r="AE274" s="13">
        <f t="shared" si="48"/>
        <v>5.4024160090019663E-9</v>
      </c>
      <c r="AF274" s="13">
        <f t="shared" si="49"/>
        <v>1.3651108783171056E-9</v>
      </c>
      <c r="AG274" s="13">
        <f t="shared" si="50"/>
        <v>1.3651108783171056E-9</v>
      </c>
      <c r="AH274" s="10"/>
      <c r="AI274" s="13">
        <f t="shared" si="44"/>
        <v>3.5430943473049464E-29</v>
      </c>
      <c r="AJ274" s="10"/>
      <c r="AK274" s="10"/>
      <c r="AL274" s="10"/>
      <c r="AM274" s="10"/>
      <c r="AN274" s="10"/>
    </row>
    <row r="275" spans="19:40">
      <c r="S275" s="10"/>
      <c r="T275" s="12">
        <v>269</v>
      </c>
      <c r="U275" s="13">
        <f t="shared" si="45"/>
        <v>0.33146610874624688</v>
      </c>
      <c r="V275" s="13">
        <f t="shared" si="51"/>
        <v>3.0262258583288497E-31</v>
      </c>
      <c r="W275" s="13">
        <f t="shared" si="52"/>
        <v>3.0262258583288497E-31</v>
      </c>
      <c r="X275" s="13">
        <v>0</v>
      </c>
      <c r="Y275" s="13">
        <v>0</v>
      </c>
      <c r="Z275" s="13">
        <v>0</v>
      </c>
      <c r="AA275" s="13">
        <f t="shared" si="53"/>
        <v>4.0093349749558366E-5</v>
      </c>
      <c r="AB275" s="13">
        <f t="shared" si="54"/>
        <v>659.99995990665013</v>
      </c>
      <c r="AC275" s="13">
        <f t="shared" si="46"/>
        <v>659.99999999999989</v>
      </c>
      <c r="AD275" s="13">
        <f t="shared" si="47"/>
        <v>4.1316848557426469E-5</v>
      </c>
      <c r="AE275" s="13">
        <f t="shared" si="48"/>
        <v>5.0622916350452491E-9</v>
      </c>
      <c r="AF275" s="13">
        <f t="shared" si="49"/>
        <v>1.2753969568688274E-9</v>
      </c>
      <c r="AG275" s="13">
        <f t="shared" si="50"/>
        <v>1.2753969568688274E-9</v>
      </c>
      <c r="AH275" s="10"/>
      <c r="AI275" s="13">
        <f t="shared" si="44"/>
        <v>2.5440384695517306E-29</v>
      </c>
      <c r="AJ275" s="10"/>
      <c r="AK275" s="10"/>
      <c r="AL275" s="10"/>
      <c r="AM275" s="10"/>
      <c r="AN275" s="10"/>
    </row>
    <row r="276" spans="19:40">
      <c r="S276" s="10"/>
      <c r="T276" s="12">
        <v>270</v>
      </c>
      <c r="U276" s="13">
        <f t="shared" si="45"/>
        <v>0.33190207815976636</v>
      </c>
      <c r="V276" s="13">
        <f t="shared" si="51"/>
        <v>2.0212845487133825E-31</v>
      </c>
      <c r="W276" s="13">
        <f t="shared" si="52"/>
        <v>2.0212845487133825E-31</v>
      </c>
      <c r="X276" s="13">
        <v>0</v>
      </c>
      <c r="Y276" s="13">
        <v>0</v>
      </c>
      <c r="Z276" s="13">
        <v>0</v>
      </c>
      <c r="AA276" s="13">
        <f t="shared" si="53"/>
        <v>3.7569159561191983E-5</v>
      </c>
      <c r="AB276" s="13">
        <f t="shared" si="54"/>
        <v>659.99996243084036</v>
      </c>
      <c r="AC276" s="13">
        <f t="shared" si="46"/>
        <v>659.99999999999989</v>
      </c>
      <c r="AD276" s="13">
        <f t="shared" si="47"/>
        <v>3.8601540544834159E-5</v>
      </c>
      <c r="AE276" s="13">
        <f t="shared" si="48"/>
        <v>4.7435807526757561E-9</v>
      </c>
      <c r="AF276" s="13">
        <f t="shared" si="49"/>
        <v>1.1915789577441261E-9</v>
      </c>
      <c r="AG276" s="13">
        <f t="shared" si="50"/>
        <v>1.1915789577441261E-9</v>
      </c>
      <c r="AH276" s="10"/>
      <c r="AI276" s="13">
        <f t="shared" si="44"/>
        <v>1.8258919119647075E-29</v>
      </c>
      <c r="AJ276" s="10"/>
      <c r="AK276" s="10"/>
      <c r="AL276" s="10"/>
      <c r="AM276" s="10"/>
      <c r="AN276" s="10"/>
    </row>
    <row r="277" spans="19:40">
      <c r="S277" s="10"/>
      <c r="T277" s="12">
        <v>271</v>
      </c>
      <c r="U277" s="13">
        <f t="shared" si="45"/>
        <v>0.33233700609604649</v>
      </c>
      <c r="V277" s="13">
        <f t="shared" si="51"/>
        <v>1.3491824547008054E-31</v>
      </c>
      <c r="W277" s="13">
        <f t="shared" si="52"/>
        <v>1.3491824547008054E-31</v>
      </c>
      <c r="X277" s="13">
        <v>0</v>
      </c>
      <c r="Y277" s="13">
        <v>0</v>
      </c>
      <c r="Z277" s="13">
        <v>0</v>
      </c>
      <c r="AA277" s="13">
        <f t="shared" si="53"/>
        <v>3.5203886902711349E-5</v>
      </c>
      <c r="AB277" s="13">
        <f t="shared" si="54"/>
        <v>659.99996479611298</v>
      </c>
      <c r="AC277" s="13">
        <f t="shared" si="46"/>
        <v>659.99999999999989</v>
      </c>
      <c r="AD277" s="13">
        <f t="shared" si="47"/>
        <v>3.6064680256612717E-5</v>
      </c>
      <c r="AE277" s="13">
        <f t="shared" si="48"/>
        <v>4.4449352149888075E-9</v>
      </c>
      <c r="AF277" s="13">
        <f t="shared" si="49"/>
        <v>1.11326940596159E-9</v>
      </c>
      <c r="AG277" s="13">
        <f t="shared" si="50"/>
        <v>1.1132694059615902E-9</v>
      </c>
      <c r="AH277" s="10"/>
      <c r="AI277" s="13">
        <f t="shared" si="44"/>
        <v>1.3098975890789586E-29</v>
      </c>
      <c r="AJ277" s="10"/>
      <c r="AK277" s="10"/>
      <c r="AL277" s="10"/>
      <c r="AM277" s="10"/>
      <c r="AN277" s="10"/>
    </row>
    <row r="278" spans="19:40">
      <c r="S278" s="10"/>
      <c r="T278" s="12">
        <v>272</v>
      </c>
      <c r="U278" s="13">
        <f t="shared" si="45"/>
        <v>0.33277089887241385</v>
      </c>
      <c r="V278" s="13">
        <f t="shared" si="51"/>
        <v>8.9997721310555551E-32</v>
      </c>
      <c r="W278" s="13">
        <f t="shared" si="52"/>
        <v>8.9997721310555551E-32</v>
      </c>
      <c r="X278" s="13">
        <v>0</v>
      </c>
      <c r="Y278" s="13">
        <v>0</v>
      </c>
      <c r="Z278" s="13">
        <v>0</v>
      </c>
      <c r="AA278" s="13">
        <f t="shared" si="53"/>
        <v>3.2987526671719109E-5</v>
      </c>
      <c r="AB278" s="13">
        <f t="shared" si="54"/>
        <v>659.99996701247323</v>
      </c>
      <c r="AC278" s="13">
        <f t="shared" si="46"/>
        <v>659.99999999999989</v>
      </c>
      <c r="AD278" s="13">
        <f t="shared" si="47"/>
        <v>3.3694540260667698E-5</v>
      </c>
      <c r="AE278" s="13">
        <f t="shared" si="48"/>
        <v>4.1650917514796862E-9</v>
      </c>
      <c r="AF278" s="13">
        <f t="shared" si="49"/>
        <v>1.040106291064773E-9</v>
      </c>
      <c r="AG278" s="13">
        <f t="shared" si="50"/>
        <v>1.040106291064773E-9</v>
      </c>
      <c r="AH278" s="10"/>
      <c r="AI278" s="13">
        <f t="shared" si="44"/>
        <v>9.3931435390732133E-30</v>
      </c>
      <c r="AJ278" s="10"/>
      <c r="AK278" s="10"/>
      <c r="AL278" s="10"/>
      <c r="AM278" s="10"/>
      <c r="AN278" s="10"/>
    </row>
    <row r="279" spans="19:40">
      <c r="S279" s="10"/>
      <c r="T279" s="12">
        <v>273</v>
      </c>
      <c r="U279" s="13">
        <f t="shared" si="45"/>
        <v>0.33320376274481844</v>
      </c>
      <c r="V279" s="13">
        <f t="shared" si="51"/>
        <v>5.9994360546946192E-32</v>
      </c>
      <c r="W279" s="13">
        <f t="shared" si="52"/>
        <v>5.9994360546946192E-32</v>
      </c>
      <c r="X279" s="13">
        <v>0</v>
      </c>
      <c r="Y279" s="13">
        <v>0</v>
      </c>
      <c r="Z279" s="13">
        <v>0</v>
      </c>
      <c r="AA279" s="13">
        <f t="shared" si="53"/>
        <v>3.0910703665326515E-5</v>
      </c>
      <c r="AB279" s="13">
        <f t="shared" si="54"/>
        <v>659.9999690892962</v>
      </c>
      <c r="AC279" s="13">
        <f t="shared" si="46"/>
        <v>659.99999999999989</v>
      </c>
      <c r="AD279" s="13">
        <f t="shared" si="47"/>
        <v>3.1480163841729521E-5</v>
      </c>
      <c r="AE279" s="13">
        <f t="shared" si="48"/>
        <v>3.9028666244099145E-9</v>
      </c>
      <c r="AF279" s="13">
        <f t="shared" si="49"/>
        <v>9.717513936153592E-10</v>
      </c>
      <c r="AG279" s="13">
        <f t="shared" si="50"/>
        <v>9.7175139361535941E-10</v>
      </c>
      <c r="AH279" s="10"/>
      <c r="AI279" s="13">
        <f t="shared" si="44"/>
        <v>6.7328100414193406E-30</v>
      </c>
      <c r="AJ279" s="10"/>
      <c r="AK279" s="10"/>
      <c r="AL279" s="10"/>
      <c r="AM279" s="10"/>
      <c r="AN279" s="10"/>
    </row>
    <row r="280" spans="19:40">
      <c r="S280" s="10"/>
      <c r="T280" s="12">
        <v>274</v>
      </c>
      <c r="U280" s="13">
        <f t="shared" si="45"/>
        <v>0.33363560390865216</v>
      </c>
      <c r="V280" s="13">
        <f t="shared" si="51"/>
        <v>3.996758563428287E-32</v>
      </c>
      <c r="W280" s="13">
        <f t="shared" si="52"/>
        <v>3.996758563428287E-32</v>
      </c>
      <c r="X280" s="13">
        <v>0</v>
      </c>
      <c r="Y280" s="13">
        <v>0</v>
      </c>
      <c r="Z280" s="13">
        <v>0</v>
      </c>
      <c r="AA280" s="13">
        <f t="shared" si="53"/>
        <v>2.8964632923048928E-5</v>
      </c>
      <c r="AB280" s="13">
        <f t="shared" si="54"/>
        <v>659.99997103536691</v>
      </c>
      <c r="AC280" s="13">
        <f t="shared" si="46"/>
        <v>659.99999999999989</v>
      </c>
      <c r="AD280" s="13">
        <f t="shared" si="47"/>
        <v>2.9411314350501745E-5</v>
      </c>
      <c r="AE280" s="13">
        <f t="shared" si="48"/>
        <v>3.6571506215970874E-9</v>
      </c>
      <c r="AF280" s="13">
        <f t="shared" si="49"/>
        <v>9.0788872166776118E-10</v>
      </c>
      <c r="AG280" s="13">
        <f t="shared" si="50"/>
        <v>9.0788872166776118E-10</v>
      </c>
      <c r="AH280" s="10"/>
      <c r="AI280" s="13">
        <f t="shared" si="44"/>
        <v>4.8238522353151697E-30</v>
      </c>
      <c r="AJ280" s="10"/>
      <c r="AK280" s="10"/>
      <c r="AL280" s="10"/>
      <c r="AM280" s="10"/>
      <c r="AN280" s="10"/>
    </row>
    <row r="281" spans="19:40">
      <c r="S281" s="10"/>
      <c r="T281" s="12">
        <v>275</v>
      </c>
      <c r="U281" s="13">
        <f t="shared" si="45"/>
        <v>0.33406642849955387</v>
      </c>
      <c r="V281" s="13">
        <f t="shared" si="51"/>
        <v>2.6608748603405641E-32</v>
      </c>
      <c r="W281" s="13">
        <f t="shared" si="52"/>
        <v>2.6608748603405641E-32</v>
      </c>
      <c r="X281" s="13">
        <v>0</v>
      </c>
      <c r="Y281" s="13">
        <v>0</v>
      </c>
      <c r="Z281" s="13">
        <v>0</v>
      </c>
      <c r="AA281" s="13">
        <f t="shared" si="53"/>
        <v>2.7141082566426521E-5</v>
      </c>
      <c r="AB281" s="13">
        <f t="shared" si="54"/>
        <v>659.99997285891732</v>
      </c>
      <c r="AC281" s="13">
        <f t="shared" si="46"/>
        <v>659.99999999999989</v>
      </c>
      <c r="AD281" s="13">
        <f t="shared" si="47"/>
        <v>2.7478427881540061E-5</v>
      </c>
      <c r="AE281" s="13">
        <f t="shared" si="48"/>
        <v>3.4269043644477934E-9</v>
      </c>
      <c r="AF281" s="13">
        <f t="shared" si="49"/>
        <v>8.4822304999727354E-10</v>
      </c>
      <c r="AG281" s="13">
        <f t="shared" si="50"/>
        <v>8.4822304999727354E-10</v>
      </c>
      <c r="AH281" s="10"/>
      <c r="AI281" s="13">
        <f t="shared" si="44"/>
        <v>3.4546519950947213E-30</v>
      </c>
      <c r="AJ281" s="10"/>
      <c r="AK281" s="10"/>
      <c r="AL281" s="10"/>
      <c r="AM281" s="10"/>
      <c r="AN281" s="10"/>
    </row>
    <row r="282" spans="19:40">
      <c r="S282" s="10"/>
      <c r="T282" s="12">
        <v>276</v>
      </c>
      <c r="U282" s="13">
        <f t="shared" si="45"/>
        <v>0.33449624259420041</v>
      </c>
      <c r="V282" s="13">
        <f t="shared" si="51"/>
        <v>1.770355624738556E-32</v>
      </c>
      <c r="W282" s="13">
        <f t="shared" si="52"/>
        <v>1.770355624738556E-32</v>
      </c>
      <c r="X282" s="13">
        <v>0</v>
      </c>
      <c r="Y282" s="13">
        <v>0</v>
      </c>
      <c r="Z282" s="13">
        <v>0</v>
      </c>
      <c r="AA282" s="13">
        <f t="shared" si="53"/>
        <v>2.5432338978181682E-5</v>
      </c>
      <c r="AB282" s="13">
        <f t="shared" si="54"/>
        <v>659.99997456766096</v>
      </c>
      <c r="AC282" s="13">
        <f t="shared" si="46"/>
        <v>659.99999999999989</v>
      </c>
      <c r="AD282" s="13">
        <f t="shared" si="47"/>
        <v>2.5672569061100716E-5</v>
      </c>
      <c r="AE282" s="13">
        <f t="shared" si="48"/>
        <v>3.2111539113865767E-9</v>
      </c>
      <c r="AF282" s="13">
        <f t="shared" si="49"/>
        <v>7.9247855532890936E-10</v>
      </c>
      <c r="AG282" s="13">
        <f t="shared" si="50"/>
        <v>7.9247855532890936E-10</v>
      </c>
      <c r="AH282" s="10"/>
      <c r="AI282" s="13">
        <f t="shared" si="44"/>
        <v>2.4730205732082898E-30</v>
      </c>
      <c r="AJ282" s="10"/>
      <c r="AK282" s="10"/>
      <c r="AL282" s="10"/>
      <c r="AM282" s="10"/>
      <c r="AN282" s="10"/>
    </row>
    <row r="283" spans="19:40">
      <c r="S283" s="10"/>
      <c r="T283" s="12">
        <v>277</v>
      </c>
      <c r="U283" s="13">
        <f t="shared" si="45"/>
        <v>0.33492505221108515</v>
      </c>
      <c r="V283" s="13">
        <f t="shared" si="51"/>
        <v>1.1771087372446072E-32</v>
      </c>
      <c r="W283" s="13">
        <f t="shared" si="52"/>
        <v>1.1771087372446072E-32</v>
      </c>
      <c r="X283" s="13">
        <v>0</v>
      </c>
      <c r="Y283" s="13">
        <v>0</v>
      </c>
      <c r="Z283" s="13">
        <v>0</v>
      </c>
      <c r="AA283" s="13">
        <f t="shared" si="53"/>
        <v>2.3831174173621014E-5</v>
      </c>
      <c r="AB283" s="13">
        <f t="shared" si="54"/>
        <v>659.99997616882581</v>
      </c>
      <c r="AC283" s="13">
        <f t="shared" si="46"/>
        <v>660</v>
      </c>
      <c r="AD283" s="13">
        <f t="shared" si="47"/>
        <v>2.3985389740573695E-5</v>
      </c>
      <c r="AE283" s="13">
        <f t="shared" si="48"/>
        <v>3.0089866380834613E-9</v>
      </c>
      <c r="AF283" s="13">
        <f t="shared" si="49"/>
        <v>7.4039754125782526E-10</v>
      </c>
      <c r="AG283" s="13">
        <f t="shared" si="50"/>
        <v>7.4039754125782537E-10</v>
      </c>
      <c r="AH283" s="10"/>
      <c r="AI283" s="13">
        <f t="shared" si="44"/>
        <v>1.7695576087289187E-30</v>
      </c>
      <c r="AJ283" s="10"/>
      <c r="AK283" s="10"/>
      <c r="AL283" s="10"/>
      <c r="AM283" s="10"/>
      <c r="AN283" s="10"/>
    </row>
    <row r="284" spans="19:40">
      <c r="S284" s="10"/>
      <c r="T284" s="12">
        <v>278</v>
      </c>
      <c r="U284" s="13">
        <f t="shared" si="45"/>
        <v>0.33535286331128161</v>
      </c>
      <c r="V284" s="13">
        <f t="shared" si="51"/>
        <v>7.8215554204876409E-33</v>
      </c>
      <c r="W284" s="13">
        <f t="shared" si="52"/>
        <v>7.8215554204876409E-33</v>
      </c>
      <c r="X284" s="13">
        <v>0</v>
      </c>
      <c r="Y284" s="13">
        <v>0</v>
      </c>
      <c r="Z284" s="13">
        <v>0</v>
      </c>
      <c r="AA284" s="13">
        <f t="shared" si="53"/>
        <v>2.2330815226262989E-5</v>
      </c>
      <c r="AB284" s="13">
        <f t="shared" si="54"/>
        <v>659.99997766918477</v>
      </c>
      <c r="AC284" s="13">
        <f t="shared" si="46"/>
        <v>660</v>
      </c>
      <c r="AD284" s="13">
        <f t="shared" si="47"/>
        <v>2.2409090404548405E-5</v>
      </c>
      <c r="AE284" s="13">
        <f t="shared" si="48"/>
        <v>2.8195473770534075E-9</v>
      </c>
      <c r="AF284" s="13">
        <f t="shared" si="49"/>
        <v>6.917392469668962E-10</v>
      </c>
      <c r="AG284" s="13">
        <f t="shared" si="50"/>
        <v>6.917392469668962E-10</v>
      </c>
      <c r="AH284" s="10"/>
      <c r="AI284" s="13">
        <f t="shared" si="44"/>
        <v>1.265655963562662E-30</v>
      </c>
      <c r="AJ284" s="10"/>
      <c r="AK284" s="10"/>
      <c r="AL284" s="10"/>
      <c r="AM284" s="10"/>
      <c r="AN284" s="10"/>
    </row>
    <row r="285" spans="19:40">
      <c r="S285" s="10"/>
      <c r="T285" s="12">
        <v>279</v>
      </c>
      <c r="U285" s="13">
        <f t="shared" si="45"/>
        <v>0.33577968179919715</v>
      </c>
      <c r="V285" s="13">
        <f t="shared" si="51"/>
        <v>5.1938644957929993E-33</v>
      </c>
      <c r="W285" s="13">
        <f t="shared" si="52"/>
        <v>5.1938644957929993E-33</v>
      </c>
      <c r="X285" s="13">
        <v>0</v>
      </c>
      <c r="Y285" s="13">
        <v>0</v>
      </c>
      <c r="Z285" s="13">
        <v>0</v>
      </c>
      <c r="AA285" s="13">
        <f t="shared" si="53"/>
        <v>2.0924915618361642E-5</v>
      </c>
      <c r="AB285" s="13">
        <f t="shared" si="54"/>
        <v>659.99997907508441</v>
      </c>
      <c r="AC285" s="13">
        <f t="shared" si="46"/>
        <v>660</v>
      </c>
      <c r="AD285" s="13">
        <f t="shared" si="47"/>
        <v>2.0936384115108072E-5</v>
      </c>
      <c r="AE285" s="13">
        <f t="shared" si="48"/>
        <v>2.6420348002981876E-9</v>
      </c>
      <c r="AF285" s="13">
        <f t="shared" si="49"/>
        <v>6.4627873423434489E-10</v>
      </c>
      <c r="AG285" s="13">
        <f t="shared" si="50"/>
        <v>6.4627873423434479E-10</v>
      </c>
      <c r="AH285" s="10"/>
      <c r="AI285" s="13">
        <f t="shared" si="44"/>
        <v>9.0485929819422482E-31</v>
      </c>
      <c r="AJ285" s="10"/>
      <c r="AK285" s="10"/>
      <c r="AL285" s="10"/>
      <c r="AM285" s="10"/>
      <c r="AN285" s="10"/>
    </row>
    <row r="286" spans="19:40">
      <c r="S286" s="10"/>
      <c r="T286" s="12">
        <v>280</v>
      </c>
      <c r="U286" s="13">
        <f t="shared" si="45"/>
        <v>0.33620551352331152</v>
      </c>
      <c r="V286" s="13">
        <f t="shared" si="51"/>
        <v>3.4467478552827773E-33</v>
      </c>
      <c r="W286" s="13">
        <f t="shared" si="52"/>
        <v>3.4467478552827773E-33</v>
      </c>
      <c r="X286" s="13">
        <v>0</v>
      </c>
      <c r="Y286" s="13">
        <v>0</v>
      </c>
      <c r="Z286" s="13">
        <v>0</v>
      </c>
      <c r="AA286" s="13">
        <f t="shared" si="53"/>
        <v>1.9607528395139049E-5</v>
      </c>
      <c r="AB286" s="13">
        <f t="shared" si="54"/>
        <v>659.99998039247168</v>
      </c>
      <c r="AC286" s="13">
        <f t="shared" si="46"/>
        <v>660.00000000000011</v>
      </c>
      <c r="AD286" s="13">
        <f t="shared" si="47"/>
        <v>1.9560462825674564E-5</v>
      </c>
      <c r="AE286" s="13">
        <f t="shared" si="48"/>
        <v>2.4756980296892735E-9</v>
      </c>
      <c r="AF286" s="13">
        <f t="shared" si="49"/>
        <v>6.0380584758628741E-10</v>
      </c>
      <c r="AG286" s="13">
        <f t="shared" si="50"/>
        <v>6.0380584758628741E-10</v>
      </c>
      <c r="AH286" s="10"/>
      <c r="AI286" s="13">
        <f t="shared" si="44"/>
        <v>6.4663809560239024E-31</v>
      </c>
      <c r="AJ286" s="10"/>
      <c r="AK286" s="10"/>
      <c r="AL286" s="10"/>
      <c r="AM286" s="10"/>
      <c r="AN286" s="10"/>
    </row>
    <row r="287" spans="19:40">
      <c r="S287" s="10"/>
      <c r="T287" s="12">
        <v>281</v>
      </c>
      <c r="U287" s="13">
        <f t="shared" si="45"/>
        <v>0.33663036427690463</v>
      </c>
      <c r="V287" s="13">
        <f t="shared" si="51"/>
        <v>2.2858634710736257E-33</v>
      </c>
      <c r="W287" s="13">
        <f t="shared" si="52"/>
        <v>2.2858634710736257E-33</v>
      </c>
      <c r="X287" s="13">
        <v>0</v>
      </c>
      <c r="Y287" s="13">
        <v>0</v>
      </c>
      <c r="Z287" s="13">
        <v>0</v>
      </c>
      <c r="AA287" s="13">
        <f t="shared" si="53"/>
        <v>1.8373081009169E-5</v>
      </c>
      <c r="AB287" s="13">
        <f t="shared" si="54"/>
        <v>659.99998162691907</v>
      </c>
      <c r="AC287" s="13">
        <f t="shared" si="46"/>
        <v>660.00000000000011</v>
      </c>
      <c r="AD287" s="13">
        <f t="shared" si="47"/>
        <v>1.8274965908678428E-5</v>
      </c>
      <c r="AE287" s="13">
        <f t="shared" si="48"/>
        <v>2.3198334607536612E-9</v>
      </c>
      <c r="AF287" s="13">
        <f t="shared" si="49"/>
        <v>5.6412424278716148E-10</v>
      </c>
      <c r="AG287" s="13">
        <f t="shared" si="50"/>
        <v>5.6412424278716137E-10</v>
      </c>
      <c r="AH287" s="10"/>
      <c r="AI287" s="13">
        <f t="shared" si="44"/>
        <v>4.6190939630130919E-31</v>
      </c>
      <c r="AJ287" s="10"/>
      <c r="AK287" s="10"/>
      <c r="AL287" s="10"/>
      <c r="AM287" s="10"/>
      <c r="AN287" s="10"/>
    </row>
    <row r="288" spans="19:40">
      <c r="S288" s="10"/>
      <c r="T288" s="12">
        <v>282</v>
      </c>
      <c r="U288" s="13">
        <f t="shared" si="45"/>
        <v>0.33705423979877203</v>
      </c>
      <c r="V288" s="13">
        <f t="shared" si="51"/>
        <v>1.5150026631730787E-33</v>
      </c>
      <c r="W288" s="13">
        <f t="shared" si="52"/>
        <v>1.5150026631730787E-33</v>
      </c>
      <c r="X288" s="13">
        <v>0</v>
      </c>
      <c r="Y288" s="13">
        <v>0</v>
      </c>
      <c r="Z288" s="13">
        <v>0</v>
      </c>
      <c r="AA288" s="13">
        <f t="shared" si="53"/>
        <v>1.7216351748503621E-5</v>
      </c>
      <c r="AB288" s="13">
        <f t="shared" si="54"/>
        <v>659.99998278364831</v>
      </c>
      <c r="AC288" s="13">
        <f t="shared" si="46"/>
        <v>660</v>
      </c>
      <c r="AD288" s="13">
        <f t="shared" si="47"/>
        <v>1.7073950751563629E-5</v>
      </c>
      <c r="AE288" s="13">
        <f t="shared" si="48"/>
        <v>2.1737817864272248E-9</v>
      </c>
      <c r="AF288" s="13">
        <f t="shared" si="49"/>
        <v>5.2705047917693515E-10</v>
      </c>
      <c r="AG288" s="13">
        <f t="shared" si="50"/>
        <v>5.2705047917693515E-10</v>
      </c>
      <c r="AH288" s="10"/>
      <c r="AI288" s="13">
        <f t="shared" si="44"/>
        <v>3.2981318129832519E-31</v>
      </c>
      <c r="AJ288" s="10"/>
      <c r="AK288" s="10"/>
      <c r="AL288" s="10"/>
      <c r="AM288" s="10"/>
      <c r="AN288" s="10"/>
    </row>
    <row r="289" spans="19:40">
      <c r="S289" s="10"/>
      <c r="T289" s="12">
        <v>283</v>
      </c>
      <c r="U289" s="13">
        <f t="shared" si="45"/>
        <v>0.33747714577392784</v>
      </c>
      <c r="V289" s="13">
        <f t="shared" si="51"/>
        <v>1.0034582280670566E-33</v>
      </c>
      <c r="W289" s="13">
        <f t="shared" si="52"/>
        <v>1.0034582280670566E-33</v>
      </c>
      <c r="X289" s="13">
        <v>0</v>
      </c>
      <c r="Y289" s="13">
        <v>0</v>
      </c>
      <c r="Z289" s="13">
        <v>0</v>
      </c>
      <c r="AA289" s="13">
        <f t="shared" si="53"/>
        <v>1.6132447648833926E-5</v>
      </c>
      <c r="AB289" s="13">
        <f t="shared" si="54"/>
        <v>659.99998386755237</v>
      </c>
      <c r="AC289" s="13">
        <f t="shared" si="46"/>
        <v>660</v>
      </c>
      <c r="AD289" s="13">
        <f t="shared" si="47"/>
        <v>1.5951865285197782E-5</v>
      </c>
      <c r="AE289" s="13">
        <f t="shared" si="48"/>
        <v>2.036925208186102E-9</v>
      </c>
      <c r="AF289" s="13">
        <f t="shared" si="49"/>
        <v>4.9241317165914028E-10</v>
      </c>
      <c r="AG289" s="13">
        <f t="shared" si="50"/>
        <v>4.9241317165914028E-10</v>
      </c>
      <c r="AH289" s="10"/>
      <c r="AI289" s="13">
        <f t="shared" si="44"/>
        <v>2.3539397588628973E-31</v>
      </c>
      <c r="AJ289" s="10"/>
      <c r="AK289" s="10"/>
      <c r="AL289" s="10"/>
      <c r="AM289" s="10"/>
      <c r="AN289" s="10"/>
    </row>
    <row r="290" spans="19:40">
      <c r="S290" s="10"/>
      <c r="T290" s="12">
        <v>284</v>
      </c>
      <c r="U290" s="13">
        <f t="shared" si="45"/>
        <v>0.33789908783429784</v>
      </c>
      <c r="V290" s="13">
        <f t="shared" si="51"/>
        <v>6.6421464855608117E-34</v>
      </c>
      <c r="W290" s="13">
        <f t="shared" si="52"/>
        <v>6.6421464855608117E-34</v>
      </c>
      <c r="X290" s="13">
        <v>0</v>
      </c>
      <c r="Y290" s="13">
        <v>0</v>
      </c>
      <c r="Z290" s="13">
        <v>0</v>
      </c>
      <c r="AA290" s="13">
        <f t="shared" si="53"/>
        <v>1.5116783796252752E-5</v>
      </c>
      <c r="AB290" s="13">
        <f t="shared" si="54"/>
        <v>659.99998488321626</v>
      </c>
      <c r="AC290" s="13">
        <f t="shared" si="46"/>
        <v>660</v>
      </c>
      <c r="AD290" s="13">
        <f t="shared" si="47"/>
        <v>1.4903522317691735E-5</v>
      </c>
      <c r="AE290" s="13">
        <f t="shared" si="48"/>
        <v>1.9086848227591859E-9</v>
      </c>
      <c r="AF290" s="13">
        <f t="shared" si="49"/>
        <v>4.6005219841952648E-10</v>
      </c>
      <c r="AG290" s="13">
        <f t="shared" si="50"/>
        <v>4.6005219841952654E-10</v>
      </c>
      <c r="AH290" s="10"/>
      <c r="AI290" s="13">
        <f t="shared" si="44"/>
        <v>1.6793422865279637E-31</v>
      </c>
      <c r="AJ290" s="10"/>
      <c r="AK290" s="10"/>
      <c r="AL290" s="10"/>
      <c r="AM290" s="10"/>
      <c r="AN290" s="10"/>
    </row>
    <row r="291" spans="19:40">
      <c r="S291" s="10"/>
      <c r="T291" s="12">
        <v>285</v>
      </c>
      <c r="U291" s="13">
        <f t="shared" si="45"/>
        <v>0.33832007155939958</v>
      </c>
      <c r="V291" s="13">
        <f t="shared" si="51"/>
        <v>4.393810289908408E-34</v>
      </c>
      <c r="W291" s="13">
        <f t="shared" si="52"/>
        <v>4.393810289908408E-34</v>
      </c>
      <c r="X291" s="13">
        <v>0</v>
      </c>
      <c r="Y291" s="13">
        <v>0</v>
      </c>
      <c r="Z291" s="13">
        <v>0</v>
      </c>
      <c r="AA291" s="13">
        <f t="shared" si="53"/>
        <v>1.4165063933070769E-5</v>
      </c>
      <c r="AB291" s="13">
        <f t="shared" si="54"/>
        <v>659.99998583493607</v>
      </c>
      <c r="AC291" s="13">
        <f t="shared" si="46"/>
        <v>660</v>
      </c>
      <c r="AD291" s="13">
        <f t="shared" si="47"/>
        <v>1.3924075554978687E-5</v>
      </c>
      <c r="AE291" s="13">
        <f t="shared" si="48"/>
        <v>1.7885181733675214E-9</v>
      </c>
      <c r="AF291" s="13">
        <f t="shared" si="49"/>
        <v>4.2981796071277112E-10</v>
      </c>
      <c r="AG291" s="13">
        <f t="shared" si="50"/>
        <v>4.2981796071277112E-10</v>
      </c>
      <c r="AH291" s="10"/>
      <c r="AI291" s="13">
        <f t="shared" si="44"/>
        <v>1.197567673854159E-31</v>
      </c>
      <c r="AJ291" s="10"/>
      <c r="AK291" s="10"/>
      <c r="AL291" s="10"/>
      <c r="AM291" s="10"/>
      <c r="AN291" s="10"/>
    </row>
    <row r="292" spans="19:40">
      <c r="S292" s="10"/>
      <c r="T292" s="12">
        <v>286</v>
      </c>
      <c r="U292" s="13">
        <f t="shared" si="45"/>
        <v>0.33874010247701142</v>
      </c>
      <c r="V292" s="13">
        <f t="shared" si="51"/>
        <v>2.9046800735386897E-34</v>
      </c>
      <c r="W292" s="13">
        <f t="shared" si="52"/>
        <v>2.9046800735386897E-34</v>
      </c>
      <c r="X292" s="13">
        <v>0</v>
      </c>
      <c r="Y292" s="13">
        <v>0</v>
      </c>
      <c r="Z292" s="13">
        <v>0</v>
      </c>
      <c r="AA292" s="13">
        <f t="shared" si="53"/>
        <v>1.3273262284648175E-5</v>
      </c>
      <c r="AB292" s="13">
        <f t="shared" si="54"/>
        <v>659.99998672673769</v>
      </c>
      <c r="AC292" s="13">
        <f t="shared" si="46"/>
        <v>660</v>
      </c>
      <c r="AD292" s="13">
        <f t="shared" si="47"/>
        <v>1.300899719730035E-5</v>
      </c>
      <c r="AE292" s="13">
        <f t="shared" si="48"/>
        <v>1.6759169551323453E-9</v>
      </c>
      <c r="AF292" s="13">
        <f t="shared" si="49"/>
        <v>4.0157069129537276E-10</v>
      </c>
      <c r="AG292" s="13">
        <f t="shared" si="50"/>
        <v>4.0157069129537276E-10</v>
      </c>
      <c r="AH292" s="10"/>
      <c r="AI292" s="13">
        <f t="shared" si="44"/>
        <v>8.5364692720211223E-32</v>
      </c>
      <c r="AJ292" s="10"/>
      <c r="AK292" s="10"/>
      <c r="AL292" s="10"/>
      <c r="AM292" s="10"/>
      <c r="AN292" s="10"/>
    </row>
    <row r="293" spans="19:40">
      <c r="S293" s="10"/>
      <c r="T293" s="12">
        <v>287</v>
      </c>
      <c r="U293" s="13">
        <f t="shared" si="45"/>
        <v>0.33915918606383333</v>
      </c>
      <c r="V293" s="13">
        <f t="shared" si="51"/>
        <v>1.9190217992031452E-34</v>
      </c>
      <c r="W293" s="13">
        <f t="shared" si="52"/>
        <v>1.9190217992031452E-34</v>
      </c>
      <c r="X293" s="13">
        <v>0</v>
      </c>
      <c r="Y293" s="13">
        <v>0</v>
      </c>
      <c r="Z293" s="13">
        <v>0</v>
      </c>
      <c r="AA293" s="13">
        <f t="shared" si="53"/>
        <v>1.2437606530369586E-5</v>
      </c>
      <c r="AB293" s="13">
        <f t="shared" si="54"/>
        <v>659.99998756239347</v>
      </c>
      <c r="AC293" s="13">
        <f t="shared" si="46"/>
        <v>660</v>
      </c>
      <c r="AD293" s="13">
        <f t="shared" si="47"/>
        <v>1.2154057008032908E-5</v>
      </c>
      <c r="AE293" s="13">
        <f t="shared" si="48"/>
        <v>1.5704048649456548E-9</v>
      </c>
      <c r="AF293" s="13">
        <f t="shared" si="49"/>
        <v>3.7517980830774555E-10</v>
      </c>
      <c r="AG293" s="13">
        <f t="shared" si="50"/>
        <v>3.751798083077455E-10</v>
      </c>
      <c r="AH293" s="10"/>
      <c r="AI293" s="13">
        <f t="shared" si="44"/>
        <v>6.0823903302297037E-32</v>
      </c>
      <c r="AJ293" s="10"/>
      <c r="AK293" s="10"/>
      <c r="AL293" s="10"/>
      <c r="AM293" s="10"/>
      <c r="AN293" s="10"/>
    </row>
    <row r="294" spans="19:40">
      <c r="S294" s="10"/>
      <c r="T294" s="12">
        <v>288</v>
      </c>
      <c r="U294" s="13">
        <f t="shared" si="45"/>
        <v>0.33957732774613236</v>
      </c>
      <c r="V294" s="13">
        <f t="shared" si="51"/>
        <v>1.2670289982140701E-34</v>
      </c>
      <c r="W294" s="13">
        <f t="shared" si="52"/>
        <v>1.2670289982140701E-34</v>
      </c>
      <c r="X294" s="13">
        <v>0</v>
      </c>
      <c r="Y294" s="13">
        <v>0</v>
      </c>
      <c r="Z294" s="13">
        <v>0</v>
      </c>
      <c r="AA294" s="13">
        <f t="shared" si="53"/>
        <v>1.1654561846729344E-5</v>
      </c>
      <c r="AB294" s="13">
        <f t="shared" si="54"/>
        <v>659.99998834543817</v>
      </c>
      <c r="AC294" s="13">
        <f t="shared" si="46"/>
        <v>660</v>
      </c>
      <c r="AD294" s="13">
        <f t="shared" si="47"/>
        <v>1.1355302758091854E-5</v>
      </c>
      <c r="AE294" s="13">
        <f t="shared" si="48"/>
        <v>1.4715355867082505E-9</v>
      </c>
      <c r="AF294" s="13">
        <f t="shared" si="49"/>
        <v>3.5052331161863029E-10</v>
      </c>
      <c r="AG294" s="13">
        <f t="shared" si="50"/>
        <v>3.5052331161863023E-10</v>
      </c>
      <c r="AH294" s="10"/>
      <c r="AI294" s="13">
        <f t="shared" si="44"/>
        <v>4.3320004367722733E-32</v>
      </c>
      <c r="AJ294" s="10"/>
      <c r="AK294" s="10"/>
      <c r="AL294" s="10"/>
      <c r="AM294" s="10"/>
      <c r="AN294" s="10"/>
    </row>
    <row r="295" spans="19:40">
      <c r="S295" s="10"/>
      <c r="T295" s="12">
        <v>289</v>
      </c>
      <c r="U295" s="13">
        <f t="shared" si="45"/>
        <v>0.33999453290038273</v>
      </c>
      <c r="V295" s="13">
        <f t="shared" si="51"/>
        <v>8.36023888261343E-35</v>
      </c>
      <c r="W295" s="13">
        <f t="shared" si="52"/>
        <v>8.36023888261343E-35</v>
      </c>
      <c r="X295" s="13">
        <v>0</v>
      </c>
      <c r="Y295" s="13">
        <v>0</v>
      </c>
      <c r="Z295" s="13">
        <v>0</v>
      </c>
      <c r="AA295" s="13">
        <f t="shared" si="53"/>
        <v>1.0920815955029501E-5</v>
      </c>
      <c r="AB295" s="13">
        <f t="shared" si="54"/>
        <v>659.99998907918405</v>
      </c>
      <c r="AC295" s="13">
        <f t="shared" si="46"/>
        <v>660</v>
      </c>
      <c r="AD295" s="13">
        <f t="shared" si="47"/>
        <v>1.0609041955513865E-5</v>
      </c>
      <c r="AE295" s="13">
        <f t="shared" si="48"/>
        <v>1.3788909034128157E-9</v>
      </c>
      <c r="AF295" s="13">
        <f t="shared" si="49"/>
        <v>3.2748721884123525E-10</v>
      </c>
      <c r="AG295" s="13">
        <f t="shared" si="50"/>
        <v>3.2748721884123525E-10</v>
      </c>
      <c r="AH295" s="10"/>
      <c r="AI295" s="13">
        <f t="shared" si="44"/>
        <v>3.0840492399003182E-32</v>
      </c>
      <c r="AJ295" s="10"/>
      <c r="AK295" s="10"/>
      <c r="AL295" s="10"/>
      <c r="AM295" s="10"/>
      <c r="AN295" s="10"/>
    </row>
    <row r="296" spans="19:40">
      <c r="S296" s="10"/>
      <c r="T296" s="12">
        <v>290</v>
      </c>
      <c r="U296" s="13">
        <f t="shared" si="45"/>
        <v>0.34041080685389169</v>
      </c>
      <c r="V296" s="13">
        <f t="shared" si="51"/>
        <v>5.5128572248179808E-35</v>
      </c>
      <c r="W296" s="13">
        <f t="shared" si="52"/>
        <v>5.5128572248179808E-35</v>
      </c>
      <c r="X296" s="13">
        <v>0</v>
      </c>
      <c r="Y296" s="13">
        <v>0</v>
      </c>
      <c r="Z296" s="13">
        <v>0</v>
      </c>
      <c r="AA296" s="13">
        <f t="shared" si="53"/>
        <v>1.0233265110442259E-5</v>
      </c>
      <c r="AB296" s="13">
        <f t="shared" si="54"/>
        <v>659.99998976673487</v>
      </c>
      <c r="AC296" s="13">
        <f t="shared" si="46"/>
        <v>660</v>
      </c>
      <c r="AD296" s="13">
        <f t="shared" si="47"/>
        <v>9.9118247757549565E-6</v>
      </c>
      <c r="AE296" s="13">
        <f t="shared" si="48"/>
        <v>1.2920789280861439E-9</v>
      </c>
      <c r="AF296" s="13">
        <f t="shared" si="49"/>
        <v>3.0596503841391546E-10</v>
      </c>
      <c r="AG296" s="13">
        <f t="shared" si="50"/>
        <v>3.0596503841391551E-10</v>
      </c>
      <c r="AH296" s="10"/>
      <c r="AI296" s="13">
        <f t="shared" si="44"/>
        <v>2.1946897104709679E-32</v>
      </c>
      <c r="AJ296" s="10"/>
      <c r="AK296" s="10"/>
      <c r="AL296" s="10"/>
      <c r="AM296" s="10"/>
      <c r="AN296" s="10"/>
    </row>
    <row r="297" spans="19:40">
      <c r="S297" s="10"/>
      <c r="T297" s="12">
        <v>291</v>
      </c>
      <c r="U297" s="13">
        <f t="shared" si="45"/>
        <v>0.34082615488541762</v>
      </c>
      <c r="V297" s="13">
        <f t="shared" si="51"/>
        <v>3.6329645975375288E-35</v>
      </c>
      <c r="W297" s="13">
        <f t="shared" si="52"/>
        <v>3.6329645975375288E-35</v>
      </c>
      <c r="X297" s="13">
        <v>0</v>
      </c>
      <c r="Y297" s="13">
        <v>0</v>
      </c>
      <c r="Z297" s="13">
        <v>0</v>
      </c>
      <c r="AA297" s="13">
        <f t="shared" si="53"/>
        <v>9.5890009731705942E-6</v>
      </c>
      <c r="AB297" s="13">
        <f t="shared" si="54"/>
        <v>659.99999041099898</v>
      </c>
      <c r="AC297" s="13">
        <f t="shared" si="46"/>
        <v>660</v>
      </c>
      <c r="AD297" s="13">
        <f t="shared" si="47"/>
        <v>9.2604281137948652E-6</v>
      </c>
      <c r="AE297" s="13">
        <f t="shared" si="48"/>
        <v>1.2107324461073982E-9</v>
      </c>
      <c r="AF297" s="13">
        <f t="shared" si="49"/>
        <v>2.8585727730953945E-10</v>
      </c>
      <c r="AG297" s="13">
        <f t="shared" si="50"/>
        <v>2.858572773095395E-10</v>
      </c>
      <c r="AH297" s="10"/>
      <c r="AI297" s="13">
        <f t="shared" si="44"/>
        <v>1.5611490439299648E-32</v>
      </c>
      <c r="AJ297" s="10"/>
      <c r="AK297" s="10"/>
      <c r="AL297" s="10"/>
      <c r="AM297" s="10"/>
      <c r="AN297" s="10"/>
    </row>
    <row r="298" spans="19:40">
      <c r="S298" s="10"/>
      <c r="T298" s="12">
        <v>292</v>
      </c>
      <c r="U298" s="13">
        <f t="shared" si="45"/>
        <v>0.34124058222577758</v>
      </c>
      <c r="V298" s="13">
        <f t="shared" si="51"/>
        <v>2.3926125912600432E-35</v>
      </c>
      <c r="W298" s="13">
        <f t="shared" si="52"/>
        <v>2.3926125912600432E-35</v>
      </c>
      <c r="X298" s="13">
        <v>0</v>
      </c>
      <c r="Y298" s="13">
        <v>0</v>
      </c>
      <c r="Z298" s="13">
        <v>0</v>
      </c>
      <c r="AA298" s="13">
        <f t="shared" si="53"/>
        <v>8.9852983061720728E-6</v>
      </c>
      <c r="AB298" s="13">
        <f t="shared" si="54"/>
        <v>659.99999101470166</v>
      </c>
      <c r="AC298" s="13">
        <f t="shared" si="46"/>
        <v>660</v>
      </c>
      <c r="AD298" s="13">
        <f t="shared" si="47"/>
        <v>8.65184068432349E-6</v>
      </c>
      <c r="AE298" s="13">
        <f t="shared" si="48"/>
        <v>1.1345073618904132E-9</v>
      </c>
      <c r="AF298" s="13">
        <f t="shared" si="49"/>
        <v>2.6707098109777539E-10</v>
      </c>
      <c r="AG298" s="13">
        <f t="shared" si="50"/>
        <v>2.6707098109777539E-10</v>
      </c>
      <c r="AH298" s="10"/>
      <c r="AI298" s="13">
        <f t="shared" si="44"/>
        <v>1.1100318090195413E-32</v>
      </c>
      <c r="AJ298" s="10"/>
      <c r="AK298" s="10"/>
      <c r="AL298" s="10"/>
      <c r="AM298" s="10"/>
      <c r="AN298" s="10"/>
    </row>
    <row r="299" spans="19:40">
      <c r="S299" s="10"/>
      <c r="T299" s="12">
        <v>293</v>
      </c>
      <c r="U299" s="13">
        <f t="shared" si="45"/>
        <v>0.34165409405844521</v>
      </c>
      <c r="V299" s="13">
        <f t="shared" si="51"/>
        <v>1.5747471517910857E-35</v>
      </c>
      <c r="W299" s="13">
        <f t="shared" si="52"/>
        <v>1.5747471517910857E-35</v>
      </c>
      <c r="X299" s="13">
        <v>0</v>
      </c>
      <c r="Y299" s="13">
        <v>0</v>
      </c>
      <c r="Z299" s="13">
        <v>0</v>
      </c>
      <c r="AA299" s="13">
        <f t="shared" si="53"/>
        <v>8.4196034474072612E-6</v>
      </c>
      <c r="AB299" s="13">
        <f t="shared" si="54"/>
        <v>659.99999158039657</v>
      </c>
      <c r="AC299" s="13">
        <f t="shared" si="46"/>
        <v>660</v>
      </c>
      <c r="AD299" s="13">
        <f t="shared" si="47"/>
        <v>8.0832491011304144E-6</v>
      </c>
      <c r="AE299" s="13">
        <f t="shared" si="48"/>
        <v>1.0630812433595026E-9</v>
      </c>
      <c r="AF299" s="13">
        <f t="shared" si="49"/>
        <v>2.4951930423409237E-10</v>
      </c>
      <c r="AG299" s="13">
        <f t="shared" si="50"/>
        <v>2.4951930423409237E-10</v>
      </c>
      <c r="AH299" s="10"/>
      <c r="AI299" s="13">
        <f t="shared" si="44"/>
        <v>7.8894494203313179E-33</v>
      </c>
      <c r="AJ299" s="10"/>
      <c r="AK299" s="10"/>
      <c r="AL299" s="10"/>
      <c r="AM299" s="10"/>
      <c r="AN299" s="10"/>
    </row>
    <row r="300" spans="19:40">
      <c r="S300" s="10"/>
      <c r="T300" s="12">
        <v>294</v>
      </c>
      <c r="U300" s="13">
        <f t="shared" si="45"/>
        <v>0.34206669552013891</v>
      </c>
      <c r="V300" s="13">
        <f t="shared" si="51"/>
        <v>1.0358024604150479E-35</v>
      </c>
      <c r="W300" s="13">
        <f t="shared" si="52"/>
        <v>1.0358024604150479E-35</v>
      </c>
      <c r="X300" s="13">
        <v>0</v>
      </c>
      <c r="Y300" s="13">
        <v>0</v>
      </c>
      <c r="Z300" s="13">
        <v>0</v>
      </c>
      <c r="AA300" s="13">
        <f t="shared" si="53"/>
        <v>7.8895235078503206E-6</v>
      </c>
      <c r="AB300" s="13">
        <f t="shared" si="54"/>
        <v>659.99999211047646</v>
      </c>
      <c r="AC300" s="13">
        <f t="shared" si="46"/>
        <v>660</v>
      </c>
      <c r="AD300" s="13">
        <f t="shared" si="47"/>
        <v>7.5520248713450151E-6</v>
      </c>
      <c r="AE300" s="13">
        <f t="shared" si="48"/>
        <v>9.9615195806190917E-10</v>
      </c>
      <c r="AF300" s="13">
        <f t="shared" si="49"/>
        <v>2.331211085890011E-10</v>
      </c>
      <c r="AG300" s="13">
        <f t="shared" si="50"/>
        <v>2.331211085890011E-10</v>
      </c>
      <c r="AH300" s="10"/>
      <c r="AI300" s="13">
        <f t="shared" si="44"/>
        <v>5.6050382458344099E-33</v>
      </c>
      <c r="AJ300" s="10"/>
      <c r="AK300" s="10"/>
      <c r="AL300" s="10"/>
      <c r="AM300" s="10"/>
      <c r="AN300" s="10"/>
    </row>
    <row r="301" spans="19:40">
      <c r="S301" s="10"/>
      <c r="T301" s="12">
        <v>295</v>
      </c>
      <c r="U301" s="13">
        <f t="shared" si="45"/>
        <v>0.34247839170140126</v>
      </c>
      <c r="V301" s="13">
        <f t="shared" si="51"/>
        <v>6.8088086842122835E-36</v>
      </c>
      <c r="W301" s="13">
        <f t="shared" si="52"/>
        <v>6.8088086842122835E-36</v>
      </c>
      <c r="X301" s="13">
        <v>0</v>
      </c>
      <c r="Y301" s="13">
        <v>0</v>
      </c>
      <c r="Z301" s="13">
        <v>0</v>
      </c>
      <c r="AA301" s="13">
        <f t="shared" si="53"/>
        <v>7.3928162495693871E-6</v>
      </c>
      <c r="AB301" s="13">
        <f t="shared" si="54"/>
        <v>659.99999260718369</v>
      </c>
      <c r="AC301" s="13">
        <f t="shared" si="46"/>
        <v>659.99999999999989</v>
      </c>
      <c r="AD301" s="13">
        <f t="shared" si="47"/>
        <v>7.0557122444040229E-6</v>
      </c>
      <c r="AE301" s="13">
        <f t="shared" si="48"/>
        <v>9.3343639514765009E-10</v>
      </c>
      <c r="AF301" s="13">
        <f t="shared" si="49"/>
        <v>2.178005883616098E-10</v>
      </c>
      <c r="AG301" s="13">
        <f t="shared" si="50"/>
        <v>2.178005883616098E-10</v>
      </c>
      <c r="AH301" s="10"/>
      <c r="AI301" s="13">
        <f t="shared" si="44"/>
        <v>3.9804435634190854E-33</v>
      </c>
      <c r="AJ301" s="10"/>
      <c r="AK301" s="10"/>
      <c r="AL301" s="10"/>
      <c r="AM301" s="10"/>
      <c r="AN301" s="10"/>
    </row>
    <row r="302" spans="19:40">
      <c r="S302" s="10"/>
      <c r="T302" s="12">
        <v>296</v>
      </c>
      <c r="U302" s="13">
        <f t="shared" si="45"/>
        <v>0.34288918764716897</v>
      </c>
      <c r="V302" s="13">
        <f t="shared" si="51"/>
        <v>4.4729478595457539E-36</v>
      </c>
      <c r="W302" s="13">
        <f t="shared" si="52"/>
        <v>4.4729478595457539E-36</v>
      </c>
      <c r="X302" s="13">
        <v>0</v>
      </c>
      <c r="Y302" s="13">
        <v>0</v>
      </c>
      <c r="Z302" s="13">
        <v>0</v>
      </c>
      <c r="AA302" s="13">
        <f t="shared" si="53"/>
        <v>6.9273806010610171E-6</v>
      </c>
      <c r="AB302" s="13">
        <f t="shared" si="54"/>
        <v>659.9999930726193</v>
      </c>
      <c r="AC302" s="13">
        <f t="shared" si="46"/>
        <v>659.99999999999989</v>
      </c>
      <c r="AD302" s="13">
        <f t="shared" si="47"/>
        <v>6.5920168595745755E-6</v>
      </c>
      <c r="AE302" s="13">
        <f t="shared" si="48"/>
        <v>8.7466926781073467E-10</v>
      </c>
      <c r="AF302" s="13">
        <f t="shared" si="49"/>
        <v>2.034869196435416E-10</v>
      </c>
      <c r="AG302" s="13">
        <f t="shared" si="50"/>
        <v>2.034869196435416E-10</v>
      </c>
      <c r="AH302" s="10"/>
      <c r="AI302" s="13">
        <f t="shared" si="44"/>
        <v>2.8255679727666486E-33</v>
      </c>
      <c r="AJ302" s="10"/>
      <c r="AK302" s="10"/>
      <c r="AL302" s="10"/>
      <c r="AM302" s="10"/>
      <c r="AN302" s="10"/>
    </row>
    <row r="303" spans="19:40">
      <c r="S303" s="10"/>
      <c r="T303" s="12">
        <v>297</v>
      </c>
      <c r="U303" s="13">
        <f t="shared" si="45"/>
        <v>0.34329908835733408</v>
      </c>
      <c r="V303" s="13">
        <f t="shared" si="51"/>
        <v>2.9366045915696105E-36</v>
      </c>
      <c r="W303" s="13">
        <f t="shared" si="52"/>
        <v>2.9366045915696105E-36</v>
      </c>
      <c r="X303" s="13">
        <v>0</v>
      </c>
      <c r="Y303" s="13">
        <v>0</v>
      </c>
      <c r="Z303" s="13">
        <v>0</v>
      </c>
      <c r="AA303" s="13">
        <f t="shared" si="53"/>
        <v>6.4912477697185717E-6</v>
      </c>
      <c r="AB303" s="13">
        <f t="shared" si="54"/>
        <v>659.99999350875214</v>
      </c>
      <c r="AC303" s="13">
        <f t="shared" si="46"/>
        <v>659.99999999999989</v>
      </c>
      <c r="AD303" s="13">
        <f t="shared" si="47"/>
        <v>6.158795139552343E-6</v>
      </c>
      <c r="AE303" s="13">
        <f t="shared" si="48"/>
        <v>8.1960199112608234E-10</v>
      </c>
      <c r="AF303" s="13">
        <f t="shared" si="49"/>
        <v>1.9011393301321157E-10</v>
      </c>
      <c r="AG303" s="13">
        <f t="shared" si="50"/>
        <v>1.9011393301321157E-10</v>
      </c>
      <c r="AH303" s="10"/>
      <c r="AI303" s="13">
        <f t="shared" si="44"/>
        <v>2.0049421035341439E-33</v>
      </c>
      <c r="AJ303" s="10"/>
      <c r="AK303" s="10"/>
      <c r="AL303" s="10"/>
      <c r="AM303" s="10"/>
      <c r="AN303" s="10"/>
    </row>
    <row r="304" spans="19:40">
      <c r="S304" s="10"/>
      <c r="T304" s="12">
        <v>298</v>
      </c>
      <c r="U304" s="13">
        <f t="shared" si="45"/>
        <v>0.34370809878729613</v>
      </c>
      <c r="V304" s="13">
        <f t="shared" si="51"/>
        <v>1.9267548676278552E-36</v>
      </c>
      <c r="W304" s="13">
        <f t="shared" si="52"/>
        <v>1.9267548676278552E-36</v>
      </c>
      <c r="X304" s="13">
        <v>0</v>
      </c>
      <c r="Y304" s="13">
        <v>0</v>
      </c>
      <c r="Z304" s="13">
        <v>0</v>
      </c>
      <c r="AA304" s="13">
        <f t="shared" si="53"/>
        <v>6.0825729138402782E-6</v>
      </c>
      <c r="AB304" s="13">
        <f t="shared" si="54"/>
        <v>659.99999391742699</v>
      </c>
      <c r="AC304" s="13">
        <f t="shared" si="46"/>
        <v>659.99999999999989</v>
      </c>
      <c r="AD304" s="13">
        <f t="shared" si="47"/>
        <v>5.7540443811033374E-6</v>
      </c>
      <c r="AE304" s="13">
        <f t="shared" si="48"/>
        <v>7.6800163053538878E-10</v>
      </c>
      <c r="AF304" s="13">
        <f t="shared" si="49"/>
        <v>1.7761980764692868E-10</v>
      </c>
      <c r="AG304" s="13">
        <f t="shared" si="50"/>
        <v>1.7761980764692868E-10</v>
      </c>
      <c r="AH304" s="10"/>
      <c r="AI304" s="13">
        <f t="shared" si="44"/>
        <v>1.4220670991659478E-33</v>
      </c>
      <c r="AJ304" s="10"/>
      <c r="AK304" s="10"/>
      <c r="AL304" s="10"/>
      <c r="AM304" s="10"/>
      <c r="AN304" s="10"/>
    </row>
    <row r="305" spans="19:40">
      <c r="S305" s="10"/>
      <c r="T305" s="12">
        <v>299</v>
      </c>
      <c r="U305" s="13">
        <f t="shared" si="45"/>
        <v>0.3441162238485061</v>
      </c>
      <c r="V305" s="13">
        <f t="shared" si="51"/>
        <v>1.2633893957509788E-36</v>
      </c>
      <c r="W305" s="13">
        <f t="shared" si="52"/>
        <v>1.2633893957509788E-36</v>
      </c>
      <c r="X305" s="13">
        <v>0</v>
      </c>
      <c r="Y305" s="13">
        <v>0</v>
      </c>
      <c r="Z305" s="13">
        <v>0</v>
      </c>
      <c r="AA305" s="13">
        <f t="shared" si="53"/>
        <v>5.6996273389495734E-6</v>
      </c>
      <c r="AB305" s="13">
        <f t="shared" si="54"/>
        <v>659.99999430037258</v>
      </c>
      <c r="AC305" s="13">
        <f t="shared" si="46"/>
        <v>659.99999999999989</v>
      </c>
      <c r="AD305" s="13">
        <f t="shared" si="47"/>
        <v>5.3758934969402902E-6</v>
      </c>
      <c r="AE305" s="13">
        <f t="shared" si="48"/>
        <v>7.1964991653403718E-10</v>
      </c>
      <c r="AF305" s="13">
        <f t="shared" si="49"/>
        <v>1.6594678553275491E-10</v>
      </c>
      <c r="AG305" s="13">
        <f t="shared" si="50"/>
        <v>1.6594678553275493E-10</v>
      </c>
      <c r="AH305" s="10"/>
      <c r="AI305" s="13">
        <f t="shared" si="44"/>
        <v>1.0082329880171549E-33</v>
      </c>
      <c r="AJ305" s="10"/>
      <c r="AK305" s="10"/>
      <c r="AL305" s="10"/>
      <c r="AM305" s="10"/>
      <c r="AN305" s="10"/>
    </row>
    <row r="306" spans="19:40">
      <c r="S306" s="10"/>
      <c r="T306" s="12">
        <v>300</v>
      </c>
      <c r="U306" s="13">
        <f t="shared" si="45"/>
        <v>0.34452346840900161</v>
      </c>
      <c r="V306" s="13">
        <f t="shared" si="51"/>
        <v>8.2790055985778316E-37</v>
      </c>
      <c r="W306" s="13">
        <f t="shared" si="52"/>
        <v>8.2790055985778316E-37</v>
      </c>
      <c r="X306" s="13">
        <v>0</v>
      </c>
      <c r="Y306" s="13">
        <v>0</v>
      </c>
      <c r="Z306" s="13">
        <v>0</v>
      </c>
      <c r="AA306" s="13">
        <f t="shared" si="53"/>
        <v>5.3407911854181567E-6</v>
      </c>
      <c r="AB306" s="13">
        <f t="shared" si="54"/>
        <v>659.99999465920871</v>
      </c>
      <c r="AC306" s="13">
        <f t="shared" si="46"/>
        <v>659.99999999999989</v>
      </c>
      <c r="AD306" s="13">
        <f t="shared" si="47"/>
        <v>5.0225943660349868E-6</v>
      </c>
      <c r="AE306" s="13">
        <f t="shared" si="48"/>
        <v>6.7434232139118158E-10</v>
      </c>
      <c r="AF306" s="13">
        <f t="shared" si="49"/>
        <v>1.5504090446598529E-10</v>
      </c>
      <c r="AG306" s="13">
        <f t="shared" si="50"/>
        <v>1.5504090446598529E-10</v>
      </c>
      <c r="AH306" s="10"/>
      <c r="AI306" s="13">
        <f t="shared" si="44"/>
        <v>7.1453690070283387E-34</v>
      </c>
      <c r="AJ306" s="10"/>
      <c r="AK306" s="10"/>
      <c r="AL306" s="10"/>
      <c r="AM306" s="10"/>
      <c r="AN306" s="10"/>
    </row>
    <row r="307" spans="19:40">
      <c r="S307" s="10"/>
      <c r="T307" s="12">
        <v>301</v>
      </c>
      <c r="U307" s="13">
        <f t="shared" si="45"/>
        <v>0.34492983729393384</v>
      </c>
      <c r="V307" s="13">
        <f t="shared" si="51"/>
        <v>5.4218777947438144E-37</v>
      </c>
      <c r="W307" s="13">
        <f t="shared" si="52"/>
        <v>5.4218777947438144E-37</v>
      </c>
      <c r="X307" s="13">
        <v>0</v>
      </c>
      <c r="Y307" s="13">
        <v>0</v>
      </c>
      <c r="Z307" s="13">
        <v>0</v>
      </c>
      <c r="AA307" s="13">
        <f t="shared" si="53"/>
        <v>5.0045465764604163E-6</v>
      </c>
      <c r="AB307" s="13">
        <f t="shared" si="54"/>
        <v>659.99999499545333</v>
      </c>
      <c r="AC307" s="13">
        <f t="shared" si="46"/>
        <v>659.99999999999989</v>
      </c>
      <c r="AD307" s="13">
        <f t="shared" si="47"/>
        <v>4.6925137523807187E-6</v>
      </c>
      <c r="AE307" s="13">
        <f t="shared" si="48"/>
        <v>6.318871939975274E-10</v>
      </c>
      <c r="AF307" s="13">
        <f t="shared" si="49"/>
        <v>1.4485174859193742E-10</v>
      </c>
      <c r="AG307" s="13">
        <f t="shared" si="50"/>
        <v>1.4485174859193742E-10</v>
      </c>
      <c r="AH307" s="10"/>
      <c r="AI307" s="13">
        <f t="shared" si="44"/>
        <v>5.0618788566085828E-34</v>
      </c>
      <c r="AJ307" s="10"/>
      <c r="AK307" s="10"/>
      <c r="AL307" s="10"/>
      <c r="AM307" s="10"/>
      <c r="AN307" s="10"/>
    </row>
    <row r="308" spans="19:40">
      <c r="S308" s="10"/>
      <c r="T308" s="12">
        <v>302</v>
      </c>
      <c r="U308" s="13">
        <f t="shared" si="45"/>
        <v>0.34533533528608662</v>
      </c>
      <c r="V308" s="13">
        <f t="shared" si="51"/>
        <v>3.5485610652325284E-37</v>
      </c>
      <c r="W308" s="13">
        <f t="shared" si="52"/>
        <v>3.5485610652325284E-37</v>
      </c>
      <c r="X308" s="13">
        <v>0</v>
      </c>
      <c r="Y308" s="13">
        <v>0</v>
      </c>
      <c r="Z308" s="13">
        <v>0</v>
      </c>
      <c r="AA308" s="13">
        <f t="shared" si="53"/>
        <v>4.6894711975152308E-6</v>
      </c>
      <c r="AB308" s="13">
        <f t="shared" si="54"/>
        <v>659.99999531052867</v>
      </c>
      <c r="AC308" s="13">
        <f t="shared" si="46"/>
        <v>659.99999999999989</v>
      </c>
      <c r="AD308" s="13">
        <f t="shared" si="47"/>
        <v>4.384125754846751E-6</v>
      </c>
      <c r="AE308" s="13">
        <f t="shared" si="48"/>
        <v>5.9210494918121618E-10</v>
      </c>
      <c r="AF308" s="13">
        <f t="shared" si="49"/>
        <v>1.3533221534285572E-10</v>
      </c>
      <c r="AG308" s="13">
        <f t="shared" si="50"/>
        <v>1.3533221534285572E-10</v>
      </c>
      <c r="AH308" s="10"/>
      <c r="AI308" s="13">
        <f t="shared" si="44"/>
        <v>3.584450093128289E-34</v>
      </c>
      <c r="AJ308" s="10"/>
      <c r="AK308" s="10"/>
      <c r="AL308" s="10"/>
      <c r="AM308" s="10"/>
      <c r="AN308" s="10"/>
    </row>
    <row r="309" spans="19:40">
      <c r="S309" s="10"/>
      <c r="T309" s="12">
        <v>303</v>
      </c>
      <c r="U309" s="13">
        <f t="shared" si="45"/>
        <v>0.34573996712638716</v>
      </c>
      <c r="V309" s="13">
        <f t="shared" si="51"/>
        <v>2.3210594278106899E-37</v>
      </c>
      <c r="W309" s="13">
        <f t="shared" si="52"/>
        <v>2.3210594278106899E-37</v>
      </c>
      <c r="X309" s="13">
        <v>0</v>
      </c>
      <c r="Y309" s="13">
        <v>0</v>
      </c>
      <c r="Z309" s="13">
        <v>0</v>
      </c>
      <c r="AA309" s="13">
        <f t="shared" si="53"/>
        <v>4.3942322798559481E-6</v>
      </c>
      <c r="AB309" s="13">
        <f t="shared" si="54"/>
        <v>659.99999560576759</v>
      </c>
      <c r="AC309" s="13">
        <f t="shared" si="46"/>
        <v>659.99999999999989</v>
      </c>
      <c r="AD309" s="13">
        <f t="shared" si="47"/>
        <v>4.0960047532219083E-6</v>
      </c>
      <c r="AE309" s="13">
        <f t="shared" si="48"/>
        <v>5.548273080626198E-10</v>
      </c>
      <c r="AF309" s="13">
        <f t="shared" si="49"/>
        <v>1.264382976915233E-10</v>
      </c>
      <c r="AG309" s="13">
        <f t="shared" si="50"/>
        <v>1.264382976915233E-10</v>
      </c>
      <c r="AH309" s="10"/>
      <c r="AI309" s="13">
        <f t="shared" si="44"/>
        <v>2.5372158252789527E-34</v>
      </c>
      <c r="AJ309" s="10"/>
      <c r="AK309" s="10"/>
      <c r="AL309" s="10"/>
      <c r="AM309" s="10"/>
      <c r="AN309" s="10"/>
    </row>
    <row r="310" spans="19:40">
      <c r="S310" s="10"/>
      <c r="T310" s="12">
        <v>304</v>
      </c>
      <c r="U310" s="13">
        <f t="shared" si="45"/>
        <v>0.34614373751440947</v>
      </c>
      <c r="V310" s="13">
        <f t="shared" si="51"/>
        <v>1.5172322373791016E-37</v>
      </c>
      <c r="W310" s="13">
        <f t="shared" si="52"/>
        <v>1.5172322373791016E-37</v>
      </c>
      <c r="X310" s="13">
        <v>0</v>
      </c>
      <c r="Y310" s="13">
        <v>0</v>
      </c>
      <c r="Z310" s="13">
        <v>0</v>
      </c>
      <c r="AA310" s="13">
        <f t="shared" si="53"/>
        <v>4.1175809629792035E-6</v>
      </c>
      <c r="AB310" s="13">
        <f t="shared" si="54"/>
        <v>659.99999588241894</v>
      </c>
      <c r="AC310" s="13">
        <f t="shared" si="46"/>
        <v>659.99999999999989</v>
      </c>
      <c r="AD310" s="13">
        <f t="shared" si="47"/>
        <v>3.8268188178381572E-6</v>
      </c>
      <c r="AE310" s="13">
        <f t="shared" si="48"/>
        <v>5.1989658623474803E-10</v>
      </c>
      <c r="AF310" s="13">
        <f t="shared" si="49"/>
        <v>1.181288807149806E-10</v>
      </c>
      <c r="AG310" s="13">
        <f t="shared" si="50"/>
        <v>1.181288807149806E-10</v>
      </c>
      <c r="AH310" s="10"/>
      <c r="AI310" s="13">
        <f t="shared" si="44"/>
        <v>1.7952161349694856E-34</v>
      </c>
      <c r="AJ310" s="10"/>
      <c r="AK310" s="10"/>
      <c r="AL310" s="10"/>
      <c r="AM310" s="10"/>
      <c r="AN310" s="10"/>
    </row>
    <row r="311" spans="19:40">
      <c r="S311" s="10"/>
      <c r="T311" s="12">
        <v>305</v>
      </c>
      <c r="U311" s="13">
        <f t="shared" si="45"/>
        <v>0.34654665110886901</v>
      </c>
      <c r="V311" s="13">
        <f t="shared" si="51"/>
        <v>9.9117443509961138E-38</v>
      </c>
      <c r="W311" s="13">
        <f t="shared" si="52"/>
        <v>9.9117443509961138E-38</v>
      </c>
      <c r="X311" s="13">
        <v>0</v>
      </c>
      <c r="Y311" s="13">
        <v>0</v>
      </c>
      <c r="Z311" s="13">
        <v>0</v>
      </c>
      <c r="AA311" s="13">
        <f t="shared" si="53"/>
        <v>3.8583470119254931E-6</v>
      </c>
      <c r="AB311" s="13">
        <f t="shared" si="54"/>
        <v>659.9999961416529</v>
      </c>
      <c r="AC311" s="13">
        <f t="shared" si="46"/>
        <v>659.99999999999989</v>
      </c>
      <c r="AD311" s="13">
        <f t="shared" si="47"/>
        <v>3.575323552308105E-6</v>
      </c>
      <c r="AE311" s="13">
        <f t="shared" si="48"/>
        <v>4.8716502675826943E-10</v>
      </c>
      <c r="AF311" s="13">
        <f t="shared" si="49"/>
        <v>1.1036555152790269E-10</v>
      </c>
      <c r="AG311" s="13">
        <f t="shared" si="50"/>
        <v>1.1036555152790269E-10</v>
      </c>
      <c r="AH311" s="10"/>
      <c r="AI311" s="13">
        <f t="shared" si="44"/>
        <v>1.2696993734459346E-34</v>
      </c>
      <c r="AJ311" s="10"/>
      <c r="AK311" s="10"/>
      <c r="AL311" s="10"/>
      <c r="AM311" s="10"/>
      <c r="AN311" s="10"/>
    </row>
    <row r="312" spans="19:40">
      <c r="S312" s="10"/>
      <c r="T312" s="12">
        <v>306</v>
      </c>
      <c r="U312" s="13">
        <f t="shared" si="45"/>
        <v>0.34694871252811166</v>
      </c>
      <c r="V312" s="13">
        <f t="shared" si="51"/>
        <v>6.471139353855923E-38</v>
      </c>
      <c r="W312" s="13">
        <f t="shared" si="52"/>
        <v>6.471139353855923E-38</v>
      </c>
      <c r="X312" s="13">
        <v>0</v>
      </c>
      <c r="Y312" s="13">
        <v>0</v>
      </c>
      <c r="Z312" s="13">
        <v>0</v>
      </c>
      <c r="AA312" s="13">
        <f t="shared" si="53"/>
        <v>3.6154338671857635E-6</v>
      </c>
      <c r="AB312" s="13">
        <f t="shared" si="54"/>
        <v>659.99999638456609</v>
      </c>
      <c r="AC312" s="13">
        <f t="shared" si="46"/>
        <v>660</v>
      </c>
      <c r="AD312" s="13">
        <f t="shared" si="47"/>
        <v>3.3403563409125199E-6</v>
      </c>
      <c r="AE312" s="13">
        <f t="shared" si="48"/>
        <v>4.564941751497176E-10</v>
      </c>
      <c r="AF312" s="13">
        <f t="shared" si="49"/>
        <v>1.0311242170699287E-10</v>
      </c>
      <c r="AG312" s="13">
        <f t="shared" si="50"/>
        <v>1.0311242170699286E-10</v>
      </c>
      <c r="AH312" s="10"/>
      <c r="AI312" s="13">
        <f t="shared" si="44"/>
        <v>8.9765668540872564E-35</v>
      </c>
      <c r="AJ312" s="10"/>
      <c r="AK312" s="10"/>
      <c r="AL312" s="10"/>
      <c r="AM312" s="10"/>
      <c r="AN312" s="10"/>
    </row>
    <row r="313" spans="19:40">
      <c r="S313" s="10"/>
      <c r="T313" s="12">
        <v>307</v>
      </c>
      <c r="U313" s="13">
        <f t="shared" si="45"/>
        <v>0.34734992635059359</v>
      </c>
      <c r="V313" s="13">
        <f t="shared" si="51"/>
        <v>4.2222548411804431E-38</v>
      </c>
      <c r="W313" s="13">
        <f t="shared" si="52"/>
        <v>4.2222548411804431E-38</v>
      </c>
      <c r="X313" s="13">
        <v>0</v>
      </c>
      <c r="Y313" s="13">
        <v>0</v>
      </c>
      <c r="Z313" s="13">
        <v>0</v>
      </c>
      <c r="AA313" s="13">
        <f t="shared" si="53"/>
        <v>3.3878140062551274E-6</v>
      </c>
      <c r="AB313" s="13">
        <f t="shared" si="54"/>
        <v>659.9999966121859</v>
      </c>
      <c r="AC313" s="13">
        <f t="shared" si="46"/>
        <v>659.99999999999989</v>
      </c>
      <c r="AD313" s="13">
        <f t="shared" si="47"/>
        <v>3.120830974044649E-6</v>
      </c>
      <c r="AE313" s="13">
        <f t="shared" si="48"/>
        <v>4.2775429371908182E-10</v>
      </c>
      <c r="AF313" s="13">
        <f t="shared" si="49"/>
        <v>9.6335961385493619E-11</v>
      </c>
      <c r="AG313" s="13">
        <f t="shared" si="50"/>
        <v>9.6335961385493619E-11</v>
      </c>
      <c r="AH313" s="10"/>
      <c r="AI313" s="13">
        <f t="shared" si="44"/>
        <v>6.3437375209357123E-35</v>
      </c>
      <c r="AJ313" s="10"/>
      <c r="AK313" s="10"/>
      <c r="AL313" s="10"/>
      <c r="AM313" s="10"/>
      <c r="AN313" s="10"/>
    </row>
    <row r="314" spans="19:40">
      <c r="S314" s="10"/>
      <c r="T314" s="12">
        <v>308</v>
      </c>
      <c r="U314" s="13">
        <f t="shared" si="45"/>
        <v>0.34775029711535405</v>
      </c>
      <c r="V314" s="13">
        <f t="shared" si="51"/>
        <v>2.7532240799509847E-38</v>
      </c>
      <c r="W314" s="13">
        <f t="shared" si="52"/>
        <v>2.7532240799509847E-38</v>
      </c>
      <c r="X314" s="13">
        <v>0</v>
      </c>
      <c r="Y314" s="13">
        <v>0</v>
      </c>
      <c r="Z314" s="13">
        <v>0</v>
      </c>
      <c r="AA314" s="13">
        <f t="shared" si="53"/>
        <v>3.1745245972130805E-6</v>
      </c>
      <c r="AB314" s="13">
        <f t="shared" si="54"/>
        <v>659.99999682547525</v>
      </c>
      <c r="AC314" s="13">
        <f t="shared" si="46"/>
        <v>659.99999999999989</v>
      </c>
      <c r="AD314" s="13">
        <f t="shared" si="47"/>
        <v>2.9157326268657353E-6</v>
      </c>
      <c r="AE314" s="13">
        <f t="shared" si="48"/>
        <v>4.0082381277942946E-10</v>
      </c>
      <c r="AF314" s="13">
        <f t="shared" si="49"/>
        <v>9.0004844250864174E-11</v>
      </c>
      <c r="AG314" s="13">
        <f t="shared" si="50"/>
        <v>9.0004844250864174E-11</v>
      </c>
      <c r="AH314" s="10"/>
      <c r="AI314" s="13">
        <f t="shared" si="44"/>
        <v>4.4813212610972711E-35</v>
      </c>
      <c r="AJ314" s="10"/>
      <c r="AK314" s="10"/>
      <c r="AL314" s="10"/>
      <c r="AM314" s="10"/>
      <c r="AN314" s="10"/>
    </row>
    <row r="315" spans="19:40">
      <c r="S315" s="10"/>
      <c r="T315" s="12">
        <v>309</v>
      </c>
      <c r="U315" s="13">
        <f t="shared" si="45"/>
        <v>0.34814982932248245</v>
      </c>
      <c r="V315" s="13">
        <f t="shared" si="51"/>
        <v>1.7942067998976581E-38</v>
      </c>
      <c r="W315" s="13">
        <f t="shared" si="52"/>
        <v>1.7942067998976581E-38</v>
      </c>
      <c r="X315" s="13">
        <v>0</v>
      </c>
      <c r="Y315" s="13">
        <v>0</v>
      </c>
      <c r="Z315" s="13">
        <v>0</v>
      </c>
      <c r="AA315" s="13">
        <f t="shared" si="53"/>
        <v>2.9746634259448638E-6</v>
      </c>
      <c r="AB315" s="13">
        <f t="shared" si="54"/>
        <v>659.99999702533637</v>
      </c>
      <c r="AC315" s="13">
        <f t="shared" si="46"/>
        <v>659.99999999999977</v>
      </c>
      <c r="AD315" s="13">
        <f t="shared" si="47"/>
        <v>2.7241131679590068E-6</v>
      </c>
      <c r="AE315" s="13">
        <f t="shared" si="48"/>
        <v>3.755888164071799E-10</v>
      </c>
      <c r="AF315" s="13">
        <f t="shared" si="49"/>
        <v>8.4089802729078833E-11</v>
      </c>
      <c r="AG315" s="13">
        <f t="shared" si="50"/>
        <v>8.4089802729078846E-11</v>
      </c>
      <c r="AH315" s="10"/>
      <c r="AI315" s="13">
        <f t="shared" si="44"/>
        <v>3.1644137025773534E-35</v>
      </c>
      <c r="AJ315" s="10"/>
      <c r="AK315" s="10"/>
      <c r="AL315" s="10"/>
      <c r="AM315" s="10"/>
      <c r="AN315" s="10"/>
    </row>
    <row r="316" spans="19:40">
      <c r="S316" s="10"/>
      <c r="T316" s="12">
        <v>310</v>
      </c>
      <c r="U316" s="13">
        <f t="shared" si="45"/>
        <v>0.3485485274335765</v>
      </c>
      <c r="V316" s="13">
        <f t="shared" si="51"/>
        <v>1.1685240420569793E-38</v>
      </c>
      <c r="W316" s="13">
        <f t="shared" si="52"/>
        <v>1.1685240420569793E-38</v>
      </c>
      <c r="X316" s="13">
        <v>0</v>
      </c>
      <c r="Y316" s="13">
        <v>0</v>
      </c>
      <c r="Z316" s="13">
        <v>0</v>
      </c>
      <c r="AA316" s="13">
        <f t="shared" si="53"/>
        <v>2.7873850797761189E-6</v>
      </c>
      <c r="AB316" s="13">
        <f t="shared" si="54"/>
        <v>659.99999721261474</v>
      </c>
      <c r="AC316" s="13">
        <f t="shared" si="46"/>
        <v>659.99999999999977</v>
      </c>
      <c r="AD316" s="13">
        <f t="shared" si="47"/>
        <v>2.5450867762949279E-6</v>
      </c>
      <c r="AE316" s="13">
        <f t="shared" si="48"/>
        <v>3.519425605777929E-10</v>
      </c>
      <c r="AF316" s="13">
        <f t="shared" si="49"/>
        <v>7.8563492686089563E-11</v>
      </c>
      <c r="AG316" s="13">
        <f t="shared" si="50"/>
        <v>7.8563492686089563E-11</v>
      </c>
      <c r="AH316" s="10"/>
      <c r="AI316" s="13">
        <f t="shared" si="44"/>
        <v>2.2336087403125998E-35</v>
      </c>
      <c r="AJ316" s="10"/>
      <c r="AK316" s="10"/>
      <c r="AL316" s="10"/>
      <c r="AM316" s="10"/>
      <c r="AN316" s="10"/>
    </row>
    <row r="317" spans="19:40">
      <c r="S317" s="10"/>
      <c r="T317" s="12">
        <v>311</v>
      </c>
      <c r="U317" s="13">
        <f t="shared" si="45"/>
        <v>0.34894639587219495</v>
      </c>
      <c r="V317" s="13">
        <f t="shared" si="51"/>
        <v>7.6056688471244543E-39</v>
      </c>
      <c r="W317" s="13">
        <f t="shared" si="52"/>
        <v>7.6056688471244543E-39</v>
      </c>
      <c r="X317" s="13">
        <v>0</v>
      </c>
      <c r="Y317" s="13">
        <v>0</v>
      </c>
      <c r="Z317" s="13">
        <v>0</v>
      </c>
      <c r="AA317" s="13">
        <f t="shared" si="53"/>
        <v>2.6118973713776152E-6</v>
      </c>
      <c r="AB317" s="13">
        <f t="shared" si="54"/>
        <v>659.99999738810243</v>
      </c>
      <c r="AC317" s="13">
        <f t="shared" si="46"/>
        <v>659.99999999999977</v>
      </c>
      <c r="AD317" s="13">
        <f t="shared" si="47"/>
        <v>2.3778258462457457E-6</v>
      </c>
      <c r="AE317" s="13">
        <f t="shared" si="48"/>
        <v>3.2978502163858787E-10</v>
      </c>
      <c r="AF317" s="13">
        <f t="shared" si="49"/>
        <v>7.3400367020992511E-11</v>
      </c>
      <c r="AG317" s="13">
        <f t="shared" si="50"/>
        <v>7.3400367020992524E-11</v>
      </c>
      <c r="AH317" s="10"/>
      <c r="AI317" s="13">
        <f t="shared" si="44"/>
        <v>1.5759700951152355E-35</v>
      </c>
      <c r="AJ317" s="10"/>
      <c r="AK317" s="10"/>
      <c r="AL317" s="10"/>
      <c r="AM317" s="10"/>
      <c r="AN317" s="10"/>
    </row>
    <row r="318" spans="19:40">
      <c r="S318" s="10"/>
      <c r="T318" s="12">
        <v>312</v>
      </c>
      <c r="U318" s="13">
        <f t="shared" si="45"/>
        <v>0.3493434390243032</v>
      </c>
      <c r="V318" s="13">
        <f t="shared" si="51"/>
        <v>4.9473446579534707E-39</v>
      </c>
      <c r="W318" s="13">
        <f t="shared" si="52"/>
        <v>4.9473446579534707E-39</v>
      </c>
      <c r="X318" s="13">
        <v>0</v>
      </c>
      <c r="Y318" s="13">
        <v>0</v>
      </c>
      <c r="Z318" s="13">
        <v>0</v>
      </c>
      <c r="AA318" s="13">
        <f t="shared" si="53"/>
        <v>2.4474579878131639E-6</v>
      </c>
      <c r="AB318" s="13">
        <f t="shared" si="54"/>
        <v>659.9999975525418</v>
      </c>
      <c r="AC318" s="13">
        <f t="shared" si="46"/>
        <v>659.99999999999977</v>
      </c>
      <c r="AD318" s="13">
        <f t="shared" si="47"/>
        <v>2.2215571617189916E-6</v>
      </c>
      <c r="AE318" s="13">
        <f t="shared" si="48"/>
        <v>3.0902247320873294E-10</v>
      </c>
      <c r="AF318" s="13">
        <f t="shared" si="49"/>
        <v>6.8576557566544358E-11</v>
      </c>
      <c r="AG318" s="13">
        <f t="shared" si="50"/>
        <v>6.8576557566544358E-11</v>
      </c>
      <c r="AH318" s="10"/>
      <c r="AI318" s="13">
        <f t="shared" si="44"/>
        <v>1.1115173124280203E-35</v>
      </c>
      <c r="AJ318" s="10"/>
      <c r="AK318" s="10"/>
      <c r="AL318" s="10"/>
      <c r="AM318" s="10"/>
      <c r="AN318" s="10"/>
    </row>
    <row r="319" spans="19:40">
      <c r="S319" s="10"/>
      <c r="T319" s="12">
        <v>313</v>
      </c>
      <c r="U319" s="13">
        <f t="shared" si="45"/>
        <v>0.34973966123871164</v>
      </c>
      <c r="V319" s="13">
        <f t="shared" si="51"/>
        <v>3.2161944807496367E-39</v>
      </c>
      <c r="W319" s="13">
        <f t="shared" si="52"/>
        <v>3.2161944807496367E-39</v>
      </c>
      <c r="X319" s="13">
        <v>0</v>
      </c>
      <c r="Y319" s="13">
        <v>0</v>
      </c>
      <c r="Z319" s="13">
        <v>0</v>
      </c>
      <c r="AA319" s="13">
        <f t="shared" si="53"/>
        <v>2.293371350556197E-6</v>
      </c>
      <c r="AB319" s="13">
        <f t="shared" si="54"/>
        <v>659.99999770662839</v>
      </c>
      <c r="AC319" s="13">
        <f t="shared" si="46"/>
        <v>659.99999999999977</v>
      </c>
      <c r="AD319" s="13">
        <f t="shared" si="47"/>
        <v>2.075558321723652E-6</v>
      </c>
      <c r="AE319" s="13">
        <f t="shared" si="48"/>
        <v>2.8956708971669165E-10</v>
      </c>
      <c r="AF319" s="13">
        <f t="shared" si="49"/>
        <v>6.4069764751075251E-11</v>
      </c>
      <c r="AG319" s="13">
        <f t="shared" si="50"/>
        <v>6.4069764751075251E-11</v>
      </c>
      <c r="AH319" s="10"/>
      <c r="AI319" s="13">
        <f t="shared" si="44"/>
        <v>7.836321318504794E-36</v>
      </c>
      <c r="AJ319" s="10"/>
      <c r="AK319" s="10"/>
      <c r="AL319" s="10"/>
      <c r="AM319" s="10"/>
      <c r="AN319" s="10"/>
    </row>
    <row r="320" spans="19:40">
      <c r="S320" s="10"/>
      <c r="T320" s="12">
        <v>314</v>
      </c>
      <c r="U320" s="13">
        <f t="shared" si="45"/>
        <v>0.35013506682750806</v>
      </c>
      <c r="V320" s="13">
        <f t="shared" si="51"/>
        <v>2.089528041449301E-39</v>
      </c>
      <c r="W320" s="13">
        <f t="shared" si="52"/>
        <v>2.089528041449301E-39</v>
      </c>
      <c r="X320" s="13">
        <v>0</v>
      </c>
      <c r="Y320" s="13">
        <v>0</v>
      </c>
      <c r="Z320" s="13">
        <v>0</v>
      </c>
      <c r="AA320" s="13">
        <f t="shared" si="53"/>
        <v>2.1489856731928763E-6</v>
      </c>
      <c r="AB320" s="13">
        <f t="shared" si="54"/>
        <v>659.99999785101409</v>
      </c>
      <c r="AC320" s="13">
        <f t="shared" si="46"/>
        <v>659.99999999999977</v>
      </c>
      <c r="AD320" s="13">
        <f t="shared" si="47"/>
        <v>1.9391544008450866E-6</v>
      </c>
      <c r="AE320" s="13">
        <f t="shared" si="48"/>
        <v>2.7133657489809053E-10</v>
      </c>
      <c r="AF320" s="13">
        <f t="shared" si="49"/>
        <v>5.9859154511727043E-11</v>
      </c>
      <c r="AG320" s="13">
        <f t="shared" si="50"/>
        <v>5.9859154511727043E-11</v>
      </c>
      <c r="AH320" s="10"/>
      <c r="AI320" s="13">
        <f t="shared" si="44"/>
        <v>5.5225078223352985E-36</v>
      </c>
      <c r="AJ320" s="10"/>
      <c r="AK320" s="10"/>
      <c r="AL320" s="10"/>
      <c r="AM320" s="10"/>
      <c r="AN320" s="10"/>
    </row>
    <row r="321" spans="19:40">
      <c r="S321" s="10"/>
      <c r="T321" s="12">
        <v>315</v>
      </c>
      <c r="U321" s="13">
        <f t="shared" si="45"/>
        <v>0.35052966006648423</v>
      </c>
      <c r="V321" s="13">
        <f t="shared" si="51"/>
        <v>1.3567200820438841E-39</v>
      </c>
      <c r="W321" s="13">
        <f t="shared" si="52"/>
        <v>1.3567200820438841E-39</v>
      </c>
      <c r="X321" s="13">
        <v>0</v>
      </c>
      <c r="Y321" s="13">
        <v>0</v>
      </c>
      <c r="Z321" s="13">
        <v>0</v>
      </c>
      <c r="AA321" s="13">
        <f t="shared" si="53"/>
        <v>2.0136902043658263E-6</v>
      </c>
      <c r="AB321" s="13">
        <f t="shared" si="54"/>
        <v>659.99999798630961</v>
      </c>
      <c r="AC321" s="13">
        <f t="shared" si="46"/>
        <v>659.99999999999977</v>
      </c>
      <c r="AD321" s="13">
        <f t="shared" si="47"/>
        <v>1.8117148291906831E-6</v>
      </c>
      <c r="AE321" s="13">
        <f t="shared" si="48"/>
        <v>2.542538136825539E-10</v>
      </c>
      <c r="AF321" s="13">
        <f t="shared" si="49"/>
        <v>5.5925261982465438E-11</v>
      </c>
      <c r="AG321" s="13">
        <f t="shared" si="50"/>
        <v>5.5925261982465438E-11</v>
      </c>
      <c r="AH321" s="10"/>
      <c r="AI321" s="13">
        <f t="shared" si="44"/>
        <v>3.8903519993204729E-36</v>
      </c>
      <c r="AJ321" s="10"/>
      <c r="AK321" s="10"/>
      <c r="AL321" s="10"/>
      <c r="AM321" s="10"/>
      <c r="AN321" s="10"/>
    </row>
    <row r="322" spans="19:40">
      <c r="S322" s="10"/>
      <c r="T322" s="12">
        <v>316</v>
      </c>
      <c r="U322" s="13">
        <f t="shared" si="45"/>
        <v>0.3509234451955543</v>
      </c>
      <c r="V322" s="13">
        <f t="shared" si="51"/>
        <v>8.8037729153873206E-40</v>
      </c>
      <c r="W322" s="13">
        <f t="shared" si="52"/>
        <v>8.8037729153873206E-40</v>
      </c>
      <c r="X322" s="13">
        <v>0</v>
      </c>
      <c r="Y322" s="13">
        <v>0</v>
      </c>
      <c r="Z322" s="13">
        <v>0</v>
      </c>
      <c r="AA322" s="13">
        <f t="shared" si="53"/>
        <v>1.8869126442961367E-6</v>
      </c>
      <c r="AB322" s="13">
        <f t="shared" si="54"/>
        <v>659.99999811308714</v>
      </c>
      <c r="AC322" s="13">
        <f t="shared" si="46"/>
        <v>659.99999999999977</v>
      </c>
      <c r="AD322" s="13">
        <f t="shared" si="47"/>
        <v>1.6926504773828171E-6</v>
      </c>
      <c r="AE322" s="13">
        <f t="shared" si="48"/>
        <v>2.3824654599698703E-10</v>
      </c>
      <c r="AF322" s="13">
        <f t="shared" si="49"/>
        <v>5.2249901511633577E-11</v>
      </c>
      <c r="AG322" s="13">
        <f t="shared" si="50"/>
        <v>5.2249901511633577E-11</v>
      </c>
      <c r="AH322" s="10"/>
      <c r="AI322" s="13">
        <f t="shared" si="44"/>
        <v>2.7394934252067942E-36</v>
      </c>
      <c r="AJ322" s="10"/>
      <c r="AK322" s="10"/>
      <c r="AL322" s="10"/>
      <c r="AM322" s="10"/>
      <c r="AN322" s="10"/>
    </row>
    <row r="323" spans="19:40">
      <c r="S323" s="10"/>
      <c r="T323" s="12">
        <v>317</v>
      </c>
      <c r="U323" s="13">
        <f t="shared" si="45"/>
        <v>0.35131642641916971</v>
      </c>
      <c r="V323" s="13">
        <f t="shared" si="51"/>
        <v>5.709319106381358E-40</v>
      </c>
      <c r="W323" s="13">
        <f t="shared" si="52"/>
        <v>5.709319106381358E-40</v>
      </c>
      <c r="X323" s="13">
        <v>0</v>
      </c>
      <c r="Y323" s="13">
        <v>0</v>
      </c>
      <c r="Z323" s="13">
        <v>0</v>
      </c>
      <c r="AA323" s="13">
        <f t="shared" si="53"/>
        <v>1.7681167239555263E-6</v>
      </c>
      <c r="AB323" s="13">
        <f t="shared" si="54"/>
        <v>659.99999823188307</v>
      </c>
      <c r="AC323" s="13">
        <f t="shared" si="46"/>
        <v>659.99999999999977</v>
      </c>
      <c r="AD323" s="13">
        <f t="shared" si="47"/>
        <v>1.5814109331235867E-6</v>
      </c>
      <c r="AE323" s="13">
        <f t="shared" si="48"/>
        <v>2.2324706110549583E-10</v>
      </c>
      <c r="AF323" s="13">
        <f t="shared" si="49"/>
        <v>4.8816082593075322E-11</v>
      </c>
      <c r="AG323" s="13">
        <f t="shared" si="50"/>
        <v>4.8816082593075322E-11</v>
      </c>
      <c r="AH323" s="10"/>
      <c r="AI323" s="13">
        <f t="shared" si="44"/>
        <v>1.9283274468988894E-36</v>
      </c>
      <c r="AJ323" s="10"/>
      <c r="AK323" s="10"/>
      <c r="AL323" s="10"/>
      <c r="AM323" s="10"/>
      <c r="AN323" s="10"/>
    </row>
    <row r="324" spans="19:40">
      <c r="S324" s="10"/>
      <c r="T324" s="12">
        <v>318</v>
      </c>
      <c r="U324" s="13">
        <f t="shared" si="45"/>
        <v>0.35170860790672603</v>
      </c>
      <c r="V324" s="13">
        <f t="shared" si="51"/>
        <v>3.7003012842562679E-40</v>
      </c>
      <c r="W324" s="13">
        <f t="shared" si="52"/>
        <v>3.7003012842562679E-40</v>
      </c>
      <c r="X324" s="13">
        <v>0</v>
      </c>
      <c r="Y324" s="13">
        <v>0</v>
      </c>
      <c r="Z324" s="13">
        <v>0</v>
      </c>
      <c r="AA324" s="13">
        <f t="shared" si="53"/>
        <v>1.6567999366485686E-6</v>
      </c>
      <c r="AB324" s="13">
        <f t="shared" si="54"/>
        <v>659.99999834319988</v>
      </c>
      <c r="AC324" s="13">
        <f t="shared" si="46"/>
        <v>659.99999999999977</v>
      </c>
      <c r="AD324" s="13">
        <f t="shared" si="47"/>
        <v>1.4774819567413906E-6</v>
      </c>
      <c r="AE324" s="13">
        <f t="shared" si="48"/>
        <v>2.0919191119300117E-10</v>
      </c>
      <c r="AF324" s="13">
        <f t="shared" si="49"/>
        <v>4.5607931322193355E-11</v>
      </c>
      <c r="AG324" s="13">
        <f t="shared" si="50"/>
        <v>4.5607931322193362E-11</v>
      </c>
      <c r="AH324" s="10"/>
      <c r="AI324" s="13">
        <f t="shared" si="44"/>
        <v>1.356815535015314E-36</v>
      </c>
      <c r="AJ324" s="10"/>
      <c r="AK324" s="10"/>
      <c r="AL324" s="10"/>
      <c r="AM324" s="10"/>
      <c r="AN324" s="10"/>
    </row>
    <row r="325" spans="19:40">
      <c r="S325" s="10"/>
      <c r="T325" s="12">
        <v>319</v>
      </c>
      <c r="U325" s="13">
        <f t="shared" si="45"/>
        <v>0.35209999379296369</v>
      </c>
      <c r="V325" s="13">
        <f t="shared" si="51"/>
        <v>2.3967763655288619E-40</v>
      </c>
      <c r="W325" s="13">
        <f t="shared" si="52"/>
        <v>2.3967763655288619E-40</v>
      </c>
      <c r="X325" s="13">
        <v>0</v>
      </c>
      <c r="Y325" s="13">
        <v>0</v>
      </c>
      <c r="Z325" s="13">
        <v>0</v>
      </c>
      <c r="AA325" s="13">
        <f t="shared" si="53"/>
        <v>1.5524914124095726E-6</v>
      </c>
      <c r="AB325" s="13">
        <f t="shared" si="54"/>
        <v>659.99999844750835</v>
      </c>
      <c r="AC325" s="13">
        <f t="shared" si="46"/>
        <v>659.99999999999977</v>
      </c>
      <c r="AD325" s="13">
        <f t="shared" si="47"/>
        <v>1.380383103956808E-6</v>
      </c>
      <c r="AE325" s="13">
        <f t="shared" si="48"/>
        <v>1.960216429810067E-10</v>
      </c>
      <c r="AF325" s="13">
        <f t="shared" si="49"/>
        <v>4.261061701384804E-11</v>
      </c>
      <c r="AG325" s="13">
        <f t="shared" si="50"/>
        <v>4.261061701384804E-11</v>
      </c>
      <c r="AH325" s="10"/>
      <c r="AI325" s="13">
        <f t="shared" si="44"/>
        <v>9.5431265440368631E-37</v>
      </c>
      <c r="AJ325" s="10"/>
      <c r="AK325" s="10"/>
      <c r="AL325" s="10"/>
      <c r="AM325" s="10"/>
      <c r="AN325" s="10"/>
    </row>
    <row r="326" spans="19:40">
      <c r="S326" s="10"/>
      <c r="T326" s="12">
        <v>320</v>
      </c>
      <c r="U326" s="13">
        <f t="shared" si="45"/>
        <v>0.35249058817836537</v>
      </c>
      <c r="V326" s="13">
        <f t="shared" si="51"/>
        <v>1.5515149724114508E-40</v>
      </c>
      <c r="W326" s="13">
        <f t="shared" si="52"/>
        <v>1.5515149724114508E-40</v>
      </c>
      <c r="X326" s="13">
        <v>0</v>
      </c>
      <c r="Y326" s="13">
        <v>0</v>
      </c>
      <c r="Z326" s="13">
        <v>0</v>
      </c>
      <c r="AA326" s="13">
        <f t="shared" si="53"/>
        <v>1.4547499262228148E-6</v>
      </c>
      <c r="AB326" s="13">
        <f t="shared" si="54"/>
        <v>659.99999854524981</v>
      </c>
      <c r="AC326" s="13">
        <f t="shared" si="46"/>
        <v>659.99999999999977</v>
      </c>
      <c r="AD326" s="13">
        <f t="shared" si="47"/>
        <v>1.289665504878278E-6</v>
      </c>
      <c r="AE326" s="13">
        <f t="shared" si="48"/>
        <v>1.8368054624025445E-10</v>
      </c>
      <c r="AF326" s="13">
        <f t="shared" si="49"/>
        <v>3.9810283642865247E-11</v>
      </c>
      <c r="AG326" s="13">
        <f t="shared" si="50"/>
        <v>3.9810283642865247E-11</v>
      </c>
      <c r="AH326" s="10"/>
      <c r="AI326" s="13">
        <f t="shared" ref="AI326:AI389" si="55">EXP(-lambda_pacl*(T326^gamma_pacl))</f>
        <v>6.7095092082475773E-37</v>
      </c>
      <c r="AJ326" s="10"/>
      <c r="AK326" s="10"/>
      <c r="AL326" s="10"/>
      <c r="AM326" s="10"/>
      <c r="AN326" s="10"/>
    </row>
    <row r="327" spans="19:40">
      <c r="S327" s="10"/>
      <c r="T327" s="12">
        <v>321</v>
      </c>
      <c r="U327" s="13">
        <f t="shared" ref="U327:U390" si="56">gamma_pacl*lambda_pacl*T327^(gamma_pacl-1)</f>
        <v>0.35288039512954406</v>
      </c>
      <c r="V327" s="13">
        <f t="shared" si="51"/>
        <v>1.0037436928503611E-40</v>
      </c>
      <c r="W327" s="13">
        <f t="shared" si="52"/>
        <v>1.0037436928503611E-40</v>
      </c>
      <c r="X327" s="13">
        <v>0</v>
      </c>
      <c r="Y327" s="13">
        <v>0</v>
      </c>
      <c r="Z327" s="13">
        <v>0</v>
      </c>
      <c r="AA327" s="13">
        <f t="shared" si="53"/>
        <v>1.3631620316409013E-6</v>
      </c>
      <c r="AB327" s="13">
        <f t="shared" si="54"/>
        <v>659.99999863683774</v>
      </c>
      <c r="AC327" s="13">
        <f t="shared" ref="AC327:AC390" si="57">V327+AA327+AB327</f>
        <v>659.99999999999977</v>
      </c>
      <c r="AD327" s="13">
        <f t="shared" ref="AD327:AD390" si="58">(V327*cPFS_PALB_after+AA327*cP)/AC327/(1+rdis_Month)^T326</f>
        <v>1.2049097889602874E-6</v>
      </c>
      <c r="AE327" s="13">
        <f t="shared" ref="AE327:AE390" si="59">(V327+AA327)/AC327/12</f>
        <v>1.7211641813647749E-10</v>
      </c>
      <c r="AF327" s="13">
        <f t="shared" ref="AF327:AF390" si="60">(V327*uS+AA327*uP)/AC327/12/(1+rdis_Month)^T326</f>
        <v>3.7193985790215639E-11</v>
      </c>
      <c r="AG327" s="13">
        <f t="shared" ref="AG327:AG390" si="61">(W327*uS/12+X327*(uS+duAE1_PALB)/12+Y327*(uS/12+duAE2_PALB)/12+Z327*(uS+duAE3_PALB)/12+AA327*uP/12)/AC327/(1+rdis_Month)^T326</f>
        <v>3.7193985790215633E-11</v>
      </c>
      <c r="AH327" s="10"/>
      <c r="AI327" s="13">
        <f t="shared" si="55"/>
        <v>4.7154306490409408E-37</v>
      </c>
      <c r="AJ327" s="10"/>
      <c r="AK327" s="10"/>
      <c r="AL327" s="10"/>
      <c r="AM327" s="10"/>
      <c r="AN327" s="10"/>
    </row>
    <row r="328" spans="19:40">
      <c r="S328" s="10"/>
      <c r="T328" s="12">
        <v>322</v>
      </c>
      <c r="U328" s="13">
        <f t="shared" si="56"/>
        <v>0.35326941867962874</v>
      </c>
      <c r="V328" s="13">
        <f t="shared" ref="V328:V391" si="62">SUM(W328:Z328)</f>
        <v>6.4897573234932348E-41</v>
      </c>
      <c r="W328" s="13">
        <f t="shared" ref="W328:W391" si="63">(1-($Q$13+U328))*W327</f>
        <v>6.4897573234932348E-41</v>
      </c>
      <c r="X328" s="13">
        <v>0</v>
      </c>
      <c r="Y328" s="13">
        <v>0</v>
      </c>
      <c r="Z328" s="13">
        <v>0</v>
      </c>
      <c r="AA328" s="13">
        <f t="shared" ref="AA328:AA391" si="64">(1-$Q$17)*AA327+(U328*W327)</f>
        <v>1.2773403119064596E-6</v>
      </c>
      <c r="AB328" s="13">
        <f t="shared" ref="AB328:AB391" si="65">(AB327*1)+(AA327*$Q$17)+(W327*$Q$13)</f>
        <v>659.99999872265948</v>
      </c>
      <c r="AC328" s="13">
        <f t="shared" si="57"/>
        <v>659.99999999999977</v>
      </c>
      <c r="AD328" s="13">
        <f t="shared" si="58"/>
        <v>1.1257241463315323E-6</v>
      </c>
      <c r="AE328" s="13">
        <f t="shared" si="59"/>
        <v>1.612803424124318E-10</v>
      </c>
      <c r="AF328" s="13">
        <f t="shared" si="60"/>
        <v>3.4749628798756187E-11</v>
      </c>
      <c r="AG328" s="13">
        <f t="shared" si="61"/>
        <v>3.4749628798756187E-11</v>
      </c>
      <c r="AH328" s="10"/>
      <c r="AI328" s="13">
        <f t="shared" si="55"/>
        <v>3.3127056614199328E-37</v>
      </c>
      <c r="AJ328" s="10"/>
      <c r="AK328" s="10"/>
      <c r="AL328" s="10"/>
      <c r="AM328" s="10"/>
      <c r="AN328" s="10"/>
    </row>
    <row r="329" spans="19:40">
      <c r="S329" s="10"/>
      <c r="T329" s="12">
        <v>323</v>
      </c>
      <c r="U329" s="13">
        <f t="shared" si="56"/>
        <v>0.35365766282864208</v>
      </c>
      <c r="V329" s="13">
        <f t="shared" si="62"/>
        <v>4.1934669167126206E-41</v>
      </c>
      <c r="W329" s="13">
        <f t="shared" si="63"/>
        <v>4.1934669167126206E-41</v>
      </c>
      <c r="X329" s="13">
        <v>0</v>
      </c>
      <c r="Y329" s="13">
        <v>0</v>
      </c>
      <c r="Z329" s="13">
        <v>0</v>
      </c>
      <c r="AA329" s="13">
        <f t="shared" si="64"/>
        <v>1.1969217411794114E-6</v>
      </c>
      <c r="AB329" s="13">
        <f t="shared" si="65"/>
        <v>659.99999880307803</v>
      </c>
      <c r="AC329" s="13">
        <f t="shared" si="57"/>
        <v>659.99999999999977</v>
      </c>
      <c r="AD329" s="13">
        <f t="shared" si="58"/>
        <v>1.0517425165309405E-6</v>
      </c>
      <c r="AE329" s="13">
        <f t="shared" si="59"/>
        <v>1.5112648247214794E-10</v>
      </c>
      <c r="AF329" s="13">
        <f t="shared" si="60"/>
        <v>3.2465912861885419E-11</v>
      </c>
      <c r="AG329" s="13">
        <f t="shared" si="61"/>
        <v>3.2465912861885419E-11</v>
      </c>
      <c r="AH329" s="10"/>
      <c r="AI329" s="13">
        <f t="shared" si="55"/>
        <v>2.3263526860556929E-37</v>
      </c>
      <c r="AJ329" s="10"/>
      <c r="AK329" s="10"/>
      <c r="AL329" s="10"/>
      <c r="AM329" s="10"/>
      <c r="AN329" s="10"/>
    </row>
    <row r="330" spans="19:40">
      <c r="S330" s="10"/>
      <c r="T330" s="12">
        <v>324</v>
      </c>
      <c r="U330" s="13">
        <f t="shared" si="56"/>
        <v>0.3540451315438749</v>
      </c>
      <c r="V330" s="13">
        <f t="shared" si="62"/>
        <v>2.7080550329014082E-41</v>
      </c>
      <c r="W330" s="13">
        <f t="shared" si="63"/>
        <v>2.7080550329014082E-41</v>
      </c>
      <c r="X330" s="13">
        <v>0</v>
      </c>
      <c r="Y330" s="13">
        <v>0</v>
      </c>
      <c r="Z330" s="13">
        <v>0</v>
      </c>
      <c r="AA330" s="13">
        <f t="shared" si="64"/>
        <v>1.1215661489378139E-6</v>
      </c>
      <c r="AB330" s="13">
        <f t="shared" si="65"/>
        <v>659.99999887843364</v>
      </c>
      <c r="AC330" s="13">
        <f t="shared" si="57"/>
        <v>659.99999999999977</v>
      </c>
      <c r="AD330" s="13">
        <f t="shared" si="58"/>
        <v>9.8262289627841419E-7</v>
      </c>
      <c r="AE330" s="13">
        <f t="shared" si="59"/>
        <v>1.4161188749214827E-10</v>
      </c>
      <c r="AF330" s="13">
        <f t="shared" si="60"/>
        <v>3.0332280786644392E-11</v>
      </c>
      <c r="AG330" s="13">
        <f t="shared" si="61"/>
        <v>3.0332280786644392E-11</v>
      </c>
      <c r="AH330" s="10"/>
      <c r="AI330" s="13">
        <f t="shared" si="55"/>
        <v>1.6330512683228831E-37</v>
      </c>
      <c r="AJ330" s="10"/>
      <c r="AK330" s="10"/>
      <c r="AL330" s="10"/>
      <c r="AM330" s="10"/>
      <c r="AN330" s="10"/>
    </row>
    <row r="331" spans="19:40">
      <c r="S331" s="10"/>
      <c r="T331" s="12">
        <v>325</v>
      </c>
      <c r="U331" s="13">
        <f t="shared" si="56"/>
        <v>0.35443182876025303</v>
      </c>
      <c r="V331" s="13">
        <f t="shared" si="62"/>
        <v>1.74775926920987E-41</v>
      </c>
      <c r="W331" s="13">
        <f t="shared" si="63"/>
        <v>1.74775926920987E-41</v>
      </c>
      <c r="X331" s="13">
        <v>0</v>
      </c>
      <c r="Y331" s="13">
        <v>0</v>
      </c>
      <c r="Z331" s="13">
        <v>0</v>
      </c>
      <c r="AA331" s="13">
        <f t="shared" si="64"/>
        <v>1.0509547810566885E-6</v>
      </c>
      <c r="AB331" s="13">
        <f t="shared" si="65"/>
        <v>659.99999894904499</v>
      </c>
      <c r="AC331" s="13">
        <f t="shared" si="57"/>
        <v>659.99999999999977</v>
      </c>
      <c r="AD331" s="13">
        <f t="shared" si="58"/>
        <v>9.180457584574356E-7</v>
      </c>
      <c r="AE331" s="13">
        <f t="shared" si="59"/>
        <v>1.326963107394809E-10</v>
      </c>
      <c r="AF331" s="13">
        <f t="shared" si="60"/>
        <v>2.8338869189782144E-11</v>
      </c>
      <c r="AG331" s="13">
        <f t="shared" si="61"/>
        <v>2.8338869189782144E-11</v>
      </c>
      <c r="AH331" s="10"/>
      <c r="AI331" s="13">
        <f t="shared" si="55"/>
        <v>1.1459244193216122E-37</v>
      </c>
      <c r="AJ331" s="10"/>
      <c r="AK331" s="10"/>
      <c r="AL331" s="10"/>
      <c r="AM331" s="10"/>
      <c r="AN331" s="10"/>
    </row>
    <row r="332" spans="19:40">
      <c r="S332" s="10"/>
      <c r="T332" s="12">
        <v>326</v>
      </c>
      <c r="U332" s="13">
        <f t="shared" si="56"/>
        <v>0.35481775838070062</v>
      </c>
      <c r="V332" s="13">
        <f t="shared" si="62"/>
        <v>1.1273167680157908E-41</v>
      </c>
      <c r="W332" s="13">
        <f t="shared" si="63"/>
        <v>1.1273167680157908E-41</v>
      </c>
      <c r="X332" s="13">
        <v>0</v>
      </c>
      <c r="Y332" s="13">
        <v>0</v>
      </c>
      <c r="Z332" s="13">
        <v>0</v>
      </c>
      <c r="AA332" s="13">
        <f t="shared" si="64"/>
        <v>9.8478895147819957E-7</v>
      </c>
      <c r="AB332" s="13">
        <f t="shared" si="65"/>
        <v>659.99999901521085</v>
      </c>
      <c r="AC332" s="13">
        <f t="shared" si="57"/>
        <v>659.99999999999977</v>
      </c>
      <c r="AD332" s="13">
        <f t="shared" si="58"/>
        <v>8.5771257500078535E-7</v>
      </c>
      <c r="AE332" s="13">
        <f t="shared" si="59"/>
        <v>1.2434203932805554E-10</v>
      </c>
      <c r="AF332" s="13">
        <f t="shared" si="60"/>
        <v>2.6476462901174027E-11</v>
      </c>
      <c r="AG332" s="13">
        <f t="shared" si="61"/>
        <v>2.6476462901174027E-11</v>
      </c>
      <c r="AH332" s="10"/>
      <c r="AI332" s="13">
        <f t="shared" si="55"/>
        <v>8.0379325131007537E-38</v>
      </c>
      <c r="AJ332" s="10"/>
      <c r="AK332" s="10"/>
      <c r="AL332" s="10"/>
      <c r="AM332" s="10"/>
      <c r="AN332" s="10"/>
    </row>
    <row r="333" spans="19:40">
      <c r="S333" s="10"/>
      <c r="T333" s="12">
        <v>327</v>
      </c>
      <c r="U333" s="13">
        <f t="shared" si="56"/>
        <v>0.35520292427649708</v>
      </c>
      <c r="V333" s="13">
        <f t="shared" si="62"/>
        <v>7.2669287687746769E-42</v>
      </c>
      <c r="W333" s="13">
        <f t="shared" si="63"/>
        <v>7.2669287687746769E-42</v>
      </c>
      <c r="X333" s="13">
        <v>0</v>
      </c>
      <c r="Y333" s="13">
        <v>0</v>
      </c>
      <c r="Z333" s="13">
        <v>0</v>
      </c>
      <c r="AA333" s="13">
        <f t="shared" si="64"/>
        <v>9.2278877876975012E-7</v>
      </c>
      <c r="AB333" s="13">
        <f t="shared" si="65"/>
        <v>659.99999907721099</v>
      </c>
      <c r="AC333" s="13">
        <f t="shared" si="57"/>
        <v>659.99999999999977</v>
      </c>
      <c r="AD333" s="13">
        <f t="shared" si="58"/>
        <v>8.0134443685095069E-7</v>
      </c>
      <c r="AE333" s="13">
        <f t="shared" si="59"/>
        <v>1.1651373469315031E-10</v>
      </c>
      <c r="AF333" s="13">
        <f t="shared" si="60"/>
        <v>2.4736452363808422E-11</v>
      </c>
      <c r="AG333" s="13">
        <f t="shared" si="61"/>
        <v>2.4736452363808422E-11</v>
      </c>
      <c r="AH333" s="10"/>
      <c r="AI333" s="13">
        <f t="shared" si="55"/>
        <v>5.635926175432379E-38</v>
      </c>
      <c r="AJ333" s="10"/>
      <c r="AK333" s="10"/>
      <c r="AL333" s="10"/>
      <c r="AM333" s="10"/>
      <c r="AN333" s="10"/>
    </row>
    <row r="334" spans="19:40">
      <c r="S334" s="10"/>
      <c r="T334" s="12">
        <v>328</v>
      </c>
      <c r="U334" s="13">
        <f t="shared" si="56"/>
        <v>0.35558733028763057</v>
      </c>
      <c r="V334" s="13">
        <f t="shared" si="62"/>
        <v>4.6816266896010251E-42</v>
      </c>
      <c r="W334" s="13">
        <f t="shared" si="63"/>
        <v>4.6816266896010251E-42</v>
      </c>
      <c r="X334" s="13">
        <v>0</v>
      </c>
      <c r="Y334" s="13">
        <v>0</v>
      </c>
      <c r="Z334" s="13">
        <v>0</v>
      </c>
      <c r="AA334" s="13">
        <f t="shared" si="64"/>
        <v>8.6469200222563365E-7</v>
      </c>
      <c r="AB334" s="13">
        <f t="shared" si="65"/>
        <v>659.9999991353078</v>
      </c>
      <c r="AC334" s="13">
        <f t="shared" si="57"/>
        <v>659.99999999999977</v>
      </c>
      <c r="AD334" s="13">
        <f t="shared" si="58"/>
        <v>7.4868076461555835E-7</v>
      </c>
      <c r="AE334" s="13">
        <f t="shared" si="59"/>
        <v>1.0917828310929722E-10</v>
      </c>
      <c r="AF334" s="13">
        <f t="shared" si="60"/>
        <v>2.3110793833410081E-11</v>
      </c>
      <c r="AG334" s="13">
        <f t="shared" si="61"/>
        <v>2.3110793833410081E-11</v>
      </c>
      <c r="AH334" s="10"/>
      <c r="AI334" s="13">
        <f t="shared" si="55"/>
        <v>3.9502003721450256E-38</v>
      </c>
      <c r="AJ334" s="10"/>
      <c r="AK334" s="10"/>
      <c r="AL334" s="10"/>
      <c r="AM334" s="10"/>
      <c r="AN334" s="10"/>
    </row>
    <row r="335" spans="19:40">
      <c r="S335" s="10"/>
      <c r="T335" s="12">
        <v>329</v>
      </c>
      <c r="U335" s="13">
        <f t="shared" si="56"/>
        <v>0.35597098022314455</v>
      </c>
      <c r="V335" s="13">
        <f t="shared" si="62"/>
        <v>3.0142825098492559E-42</v>
      </c>
      <c r="W335" s="13">
        <f t="shared" si="63"/>
        <v>3.0142825098492559E-42</v>
      </c>
      <c r="X335" s="13">
        <v>0</v>
      </c>
      <c r="Y335" s="13">
        <v>0</v>
      </c>
      <c r="Z335" s="13">
        <v>0</v>
      </c>
      <c r="AA335" s="13">
        <f t="shared" si="64"/>
        <v>8.1025287250435447E-7</v>
      </c>
      <c r="AB335" s="13">
        <f t="shared" si="65"/>
        <v>659.99999918974697</v>
      </c>
      <c r="AC335" s="13">
        <f t="shared" si="57"/>
        <v>659.99999999999989</v>
      </c>
      <c r="AD335" s="13">
        <f t="shared" si="58"/>
        <v>6.9947810395742931E-7</v>
      </c>
      <c r="AE335" s="13">
        <f t="shared" si="59"/>
        <v>1.023046556192367E-10</v>
      </c>
      <c r="AF335" s="13">
        <f t="shared" si="60"/>
        <v>2.1591972193710071E-11</v>
      </c>
      <c r="AG335" s="13">
        <f t="shared" si="61"/>
        <v>2.1591972193710074E-11</v>
      </c>
      <c r="AH335" s="10"/>
      <c r="AI335" s="13">
        <f t="shared" si="55"/>
        <v>2.7676181776717809E-38</v>
      </c>
      <c r="AJ335" s="10"/>
      <c r="AK335" s="10"/>
      <c r="AL335" s="10"/>
      <c r="AM335" s="10"/>
      <c r="AN335" s="10"/>
    </row>
    <row r="336" spans="19:40">
      <c r="S336" s="10"/>
      <c r="T336" s="12">
        <v>330</v>
      </c>
      <c r="U336" s="13">
        <f t="shared" si="56"/>
        <v>0.35635387786148087</v>
      </c>
      <c r="V336" s="13">
        <f t="shared" si="62"/>
        <v>1.9396026845429869E-42</v>
      </c>
      <c r="W336" s="13">
        <f t="shared" si="63"/>
        <v>1.9396026845429869E-42</v>
      </c>
      <c r="X336" s="13">
        <v>0</v>
      </c>
      <c r="Y336" s="13">
        <v>0</v>
      </c>
      <c r="Z336" s="13">
        <v>0</v>
      </c>
      <c r="AA336" s="13">
        <f t="shared" si="64"/>
        <v>7.5924111210901115E-7</v>
      </c>
      <c r="AB336" s="13">
        <f t="shared" si="65"/>
        <v>659.99999924075871</v>
      </c>
      <c r="AC336" s="13">
        <f t="shared" si="57"/>
        <v>659.99999999999977</v>
      </c>
      <c r="AD336" s="13">
        <f t="shared" si="58"/>
        <v>6.5350900015057345E-7</v>
      </c>
      <c r="AE336" s="13">
        <f t="shared" si="59"/>
        <v>9.5863776781440847E-11</v>
      </c>
      <c r="AF336" s="13">
        <f t="shared" si="60"/>
        <v>2.0172966215464597E-11</v>
      </c>
      <c r="AG336" s="13">
        <f t="shared" si="61"/>
        <v>2.0172966215464597E-11</v>
      </c>
      <c r="AH336" s="10"/>
      <c r="AI336" s="13">
        <f t="shared" si="55"/>
        <v>1.9383257695225904E-38</v>
      </c>
      <c r="AJ336" s="10"/>
      <c r="AK336" s="10"/>
      <c r="AL336" s="10"/>
      <c r="AM336" s="10"/>
      <c r="AN336" s="10"/>
    </row>
    <row r="337" spans="19:40">
      <c r="S337" s="10"/>
      <c r="T337" s="12">
        <v>331</v>
      </c>
      <c r="U337" s="13">
        <f t="shared" si="56"/>
        <v>0.35673602695081674</v>
      </c>
      <c r="V337" s="13">
        <f t="shared" si="62"/>
        <v>1.2473364135436881E-42</v>
      </c>
      <c r="W337" s="13">
        <f t="shared" si="63"/>
        <v>1.2473364135436881E-42</v>
      </c>
      <c r="X337" s="13">
        <v>0</v>
      </c>
      <c r="Y337" s="13">
        <v>0</v>
      </c>
      <c r="Z337" s="13">
        <v>0</v>
      </c>
      <c r="AA337" s="13">
        <f t="shared" si="64"/>
        <v>7.1144094131357757E-7</v>
      </c>
      <c r="AB337" s="13">
        <f t="shared" si="65"/>
        <v>659.99999928855891</v>
      </c>
      <c r="AC337" s="13">
        <f t="shared" si="57"/>
        <v>659.99999999999989</v>
      </c>
      <c r="AD337" s="13">
        <f t="shared" si="58"/>
        <v>6.1056094659940088E-7</v>
      </c>
      <c r="AE337" s="13">
        <f t="shared" si="59"/>
        <v>8.9828401681007293E-11</v>
      </c>
      <c r="AF337" s="13">
        <f t="shared" si="60"/>
        <v>1.8847216098621307E-11</v>
      </c>
      <c r="AG337" s="13">
        <f t="shared" si="61"/>
        <v>1.8847216098621307E-11</v>
      </c>
      <c r="AH337" s="10"/>
      <c r="AI337" s="13">
        <f t="shared" si="55"/>
        <v>1.3570043418482877E-38</v>
      </c>
      <c r="AJ337" s="10"/>
      <c r="AK337" s="10"/>
      <c r="AL337" s="10"/>
      <c r="AM337" s="10"/>
      <c r="AN337" s="10"/>
    </row>
    <row r="338" spans="19:40">
      <c r="S338" s="10"/>
      <c r="T338" s="12">
        <v>332</v>
      </c>
      <c r="U338" s="13">
        <f t="shared" si="56"/>
        <v>0.35711743120939921</v>
      </c>
      <c r="V338" s="13">
        <f t="shared" si="62"/>
        <v>8.0167211330820032E-43</v>
      </c>
      <c r="W338" s="13">
        <f t="shared" si="63"/>
        <v>8.0167211330820032E-43</v>
      </c>
      <c r="X338" s="13">
        <v>0</v>
      </c>
      <c r="Y338" s="13">
        <v>0</v>
      </c>
      <c r="Z338" s="13">
        <v>0</v>
      </c>
      <c r="AA338" s="13">
        <f t="shared" si="64"/>
        <v>6.6665016541474774E-7</v>
      </c>
      <c r="AB338" s="13">
        <f t="shared" si="65"/>
        <v>659.99999933334971</v>
      </c>
      <c r="AC338" s="13">
        <f t="shared" si="57"/>
        <v>659.99999999999989</v>
      </c>
      <c r="AD338" s="13">
        <f t="shared" si="58"/>
        <v>5.7043540246035496E-7</v>
      </c>
      <c r="AE338" s="13">
        <f t="shared" si="59"/>
        <v>8.4173000683680291E-11</v>
      </c>
      <c r="AF338" s="13">
        <f t="shared" si="60"/>
        <v>1.7608593147586802E-11</v>
      </c>
      <c r="AG338" s="13">
        <f t="shared" si="61"/>
        <v>1.7608593147586802E-11</v>
      </c>
      <c r="AH338" s="10"/>
      <c r="AI338" s="13">
        <f t="shared" si="55"/>
        <v>9.4966383913166916E-39</v>
      </c>
      <c r="AJ338" s="10"/>
      <c r="AK338" s="10"/>
      <c r="AL338" s="10"/>
      <c r="AM338" s="10"/>
      <c r="AN338" s="10"/>
    </row>
    <row r="339" spans="19:40">
      <c r="S339" s="10"/>
      <c r="T339" s="12">
        <v>333</v>
      </c>
      <c r="U339" s="13">
        <f t="shared" si="56"/>
        <v>0.35749809432587187</v>
      </c>
      <c r="V339" s="13">
        <f t="shared" si="62"/>
        <v>5.1493528479110629E-43</v>
      </c>
      <c r="W339" s="13">
        <f t="shared" si="63"/>
        <v>5.1493528479110629E-43</v>
      </c>
      <c r="X339" s="13">
        <v>0</v>
      </c>
      <c r="Y339" s="13">
        <v>0</v>
      </c>
      <c r="Z339" s="13">
        <v>0</v>
      </c>
      <c r="AA339" s="13">
        <f t="shared" si="64"/>
        <v>6.2467931944842218E-7</v>
      </c>
      <c r="AB339" s="13">
        <f t="shared" si="65"/>
        <v>659.9999993753205</v>
      </c>
      <c r="AC339" s="13">
        <f t="shared" si="57"/>
        <v>659.99999999999977</v>
      </c>
      <c r="AD339" s="13">
        <f t="shared" si="58"/>
        <v>5.3294687482461136E-7</v>
      </c>
      <c r="AE339" s="13">
        <f t="shared" si="59"/>
        <v>7.8873651445507874E-11</v>
      </c>
      <c r="AF339" s="13">
        <f t="shared" si="60"/>
        <v>1.6451371439409688E-11</v>
      </c>
      <c r="AG339" s="13">
        <f t="shared" si="61"/>
        <v>1.6451371439409688E-11</v>
      </c>
      <c r="AH339" s="10"/>
      <c r="AI339" s="13">
        <f t="shared" si="55"/>
        <v>6.6434410392930034E-39</v>
      </c>
      <c r="AJ339" s="10"/>
      <c r="AK339" s="10"/>
      <c r="AL339" s="10"/>
      <c r="AM339" s="10"/>
      <c r="AN339" s="10"/>
    </row>
    <row r="340" spans="19:40">
      <c r="S340" s="10"/>
      <c r="T340" s="12">
        <v>334</v>
      </c>
      <c r="U340" s="13">
        <f t="shared" si="56"/>
        <v>0.35787801995959989</v>
      </c>
      <c r="V340" s="13">
        <f t="shared" si="62"/>
        <v>3.3056096913536223E-43</v>
      </c>
      <c r="W340" s="13">
        <f t="shared" si="63"/>
        <v>3.3056096913536223E-43</v>
      </c>
      <c r="X340" s="13">
        <v>0</v>
      </c>
      <c r="Y340" s="13">
        <v>0</v>
      </c>
      <c r="Z340" s="13">
        <v>0</v>
      </c>
      <c r="AA340" s="13">
        <f t="shared" si="64"/>
        <v>5.8535086675298572E-7</v>
      </c>
      <c r="AB340" s="13">
        <f t="shared" si="65"/>
        <v>659.99999941464898</v>
      </c>
      <c r="AC340" s="13">
        <f t="shared" si="57"/>
        <v>659.99999999999989</v>
      </c>
      <c r="AD340" s="13">
        <f t="shared" si="58"/>
        <v>4.9792206121894765E-7</v>
      </c>
      <c r="AE340" s="13">
        <f t="shared" si="59"/>
        <v>7.3907937721336596E-11</v>
      </c>
      <c r="AF340" s="13">
        <f t="shared" si="60"/>
        <v>1.5370201353906347E-11</v>
      </c>
      <c r="AG340" s="13">
        <f t="shared" si="61"/>
        <v>1.5370201353906347E-11</v>
      </c>
      <c r="AH340" s="10"/>
      <c r="AI340" s="13">
        <f t="shared" si="55"/>
        <v>4.6456994379939622E-39</v>
      </c>
      <c r="AJ340" s="10"/>
      <c r="AK340" s="10"/>
      <c r="AL340" s="10"/>
      <c r="AM340" s="10"/>
      <c r="AN340" s="10"/>
    </row>
    <row r="341" spans="19:40">
      <c r="S341" s="10"/>
      <c r="T341" s="12">
        <v>335</v>
      </c>
      <c r="U341" s="13">
        <f t="shared" si="56"/>
        <v>0.35825721174098846</v>
      </c>
      <c r="V341" s="13">
        <f t="shared" si="62"/>
        <v>2.1207715311331032E-43</v>
      </c>
      <c r="W341" s="13">
        <f t="shared" si="63"/>
        <v>2.1207715311331032E-43</v>
      </c>
      <c r="X341" s="13">
        <v>0</v>
      </c>
      <c r="Y341" s="13">
        <v>0</v>
      </c>
      <c r="Z341" s="13">
        <v>0</v>
      </c>
      <c r="AA341" s="13">
        <f t="shared" si="64"/>
        <v>5.4849844798929986E-7</v>
      </c>
      <c r="AB341" s="13">
        <f t="shared" si="65"/>
        <v>659.99999945150137</v>
      </c>
      <c r="AC341" s="13">
        <f t="shared" si="57"/>
        <v>659.99999999999977</v>
      </c>
      <c r="AD341" s="13">
        <f t="shared" si="58"/>
        <v>4.6519904846072356E-7</v>
      </c>
      <c r="AE341" s="13">
        <f t="shared" si="59"/>
        <v>6.9254854544103539E-11</v>
      </c>
      <c r="AF341" s="13">
        <f t="shared" si="60"/>
        <v>1.4360084843364372E-11</v>
      </c>
      <c r="AG341" s="13">
        <f t="shared" si="61"/>
        <v>1.4360084843364372E-11</v>
      </c>
      <c r="AH341" s="10"/>
      <c r="AI341" s="13">
        <f t="shared" si="55"/>
        <v>3.2474636061165917E-39</v>
      </c>
      <c r="AJ341" s="10"/>
      <c r="AK341" s="10"/>
      <c r="AL341" s="10"/>
      <c r="AM341" s="10"/>
      <c r="AN341" s="10"/>
    </row>
    <row r="342" spans="19:40">
      <c r="S342" s="10"/>
      <c r="T342" s="12">
        <v>336</v>
      </c>
      <c r="U342" s="13">
        <f t="shared" si="56"/>
        <v>0.35863567327179852</v>
      </c>
      <c r="V342" s="13">
        <f t="shared" si="62"/>
        <v>1.3598153212281897E-43</v>
      </c>
      <c r="W342" s="13">
        <f t="shared" si="63"/>
        <v>1.3598153212281897E-43</v>
      </c>
      <c r="X342" s="13">
        <v>0</v>
      </c>
      <c r="Y342" s="13">
        <v>0</v>
      </c>
      <c r="Z342" s="13">
        <v>0</v>
      </c>
      <c r="AA342" s="13">
        <f t="shared" si="64"/>
        <v>5.1396617744076513E-7</v>
      </c>
      <c r="AB342" s="13">
        <f t="shared" si="65"/>
        <v>659.99999948603363</v>
      </c>
      <c r="AC342" s="13">
        <f t="shared" si="57"/>
        <v>659.99999999999977</v>
      </c>
      <c r="AD342" s="13">
        <f t="shared" si="58"/>
        <v>4.3462656416342659E-7</v>
      </c>
      <c r="AE342" s="13">
        <f t="shared" si="59"/>
        <v>6.4894719373834001E-11</v>
      </c>
      <c r="AF342" s="13">
        <f t="shared" si="60"/>
        <v>1.3416352327499876E-11</v>
      </c>
      <c r="AG342" s="13">
        <f t="shared" si="61"/>
        <v>1.3416352327499873E-11</v>
      </c>
      <c r="AH342" s="10"/>
      <c r="AI342" s="13">
        <f t="shared" si="55"/>
        <v>2.2692009373607989E-39</v>
      </c>
      <c r="AJ342" s="10"/>
      <c r="AK342" s="10"/>
      <c r="AL342" s="10"/>
      <c r="AM342" s="10"/>
      <c r="AN342" s="10"/>
    </row>
    <row r="343" spans="19:40">
      <c r="S343" s="10"/>
      <c r="T343" s="12">
        <v>337</v>
      </c>
      <c r="U343" s="13">
        <f t="shared" si="56"/>
        <v>0.35901340812545607</v>
      </c>
      <c r="V343" s="13">
        <f t="shared" si="62"/>
        <v>8.7138494042456856E-44</v>
      </c>
      <c r="W343" s="13">
        <f t="shared" si="63"/>
        <v>8.7138494042456856E-44</v>
      </c>
      <c r="X343" s="13">
        <v>0</v>
      </c>
      <c r="Y343" s="13">
        <v>0</v>
      </c>
      <c r="Z343" s="13">
        <v>0</v>
      </c>
      <c r="AA343" s="13">
        <f t="shared" si="64"/>
        <v>4.8160798361680201E-7</v>
      </c>
      <c r="AB343" s="13">
        <f t="shared" si="65"/>
        <v>659.99999951839186</v>
      </c>
      <c r="AC343" s="13">
        <f t="shared" si="57"/>
        <v>659.99999999999989</v>
      </c>
      <c r="AD343" s="13">
        <f t="shared" si="58"/>
        <v>4.0606327743263616E-7</v>
      </c>
      <c r="AE343" s="13">
        <f t="shared" si="59"/>
        <v>6.0809088840505314E-11</v>
      </c>
      <c r="AF343" s="13">
        <f t="shared" si="60"/>
        <v>1.2534641106858532E-11</v>
      </c>
      <c r="AG343" s="13">
        <f t="shared" si="61"/>
        <v>1.2534641106858532E-11</v>
      </c>
      <c r="AH343" s="10"/>
      <c r="AI343" s="13">
        <f t="shared" si="55"/>
        <v>1.5850297207941476E-39</v>
      </c>
      <c r="AJ343" s="10"/>
      <c r="AK343" s="10"/>
      <c r="AL343" s="10"/>
      <c r="AM343" s="10"/>
      <c r="AN343" s="10"/>
    </row>
    <row r="344" spans="19:40">
      <c r="S344" s="10"/>
      <c r="T344" s="12">
        <v>338</v>
      </c>
      <c r="U344" s="13">
        <f t="shared" si="56"/>
        <v>0.35939041984735992</v>
      </c>
      <c r="V344" s="13">
        <f t="shared" si="62"/>
        <v>5.5806474073724332E-44</v>
      </c>
      <c r="W344" s="13">
        <f t="shared" si="63"/>
        <v>5.5806474073724332E-44</v>
      </c>
      <c r="X344" s="13">
        <v>0</v>
      </c>
      <c r="Y344" s="13">
        <v>0</v>
      </c>
      <c r="Z344" s="13">
        <v>0</v>
      </c>
      <c r="AA344" s="13">
        <f t="shared" si="64"/>
        <v>4.512869913705046E-7</v>
      </c>
      <c r="AB344" s="13">
        <f t="shared" si="65"/>
        <v>659.99999954871282</v>
      </c>
      <c r="AC344" s="13">
        <f t="shared" si="57"/>
        <v>659.99999999999977</v>
      </c>
      <c r="AD344" s="13">
        <f t="shared" si="58"/>
        <v>3.7937714551965066E-7</v>
      </c>
      <c r="AE344" s="13">
        <f t="shared" si="59"/>
        <v>5.6980680728599087E-11</v>
      </c>
      <c r="AF344" s="13">
        <f t="shared" si="60"/>
        <v>1.1710875194869489E-11</v>
      </c>
      <c r="AG344" s="13">
        <f t="shared" si="61"/>
        <v>1.1710875194869489E-11</v>
      </c>
      <c r="AH344" s="10"/>
      <c r="AI344" s="13">
        <f t="shared" si="55"/>
        <v>1.1067205516696858E-39</v>
      </c>
      <c r="AJ344" s="10"/>
      <c r="AK344" s="10"/>
      <c r="AL344" s="10"/>
      <c r="AM344" s="10"/>
      <c r="AN344" s="10"/>
    </row>
    <row r="345" spans="19:40">
      <c r="S345" s="10"/>
      <c r="T345" s="12">
        <v>339</v>
      </c>
      <c r="U345" s="13">
        <f t="shared" si="56"/>
        <v>0.35976671195518234</v>
      </c>
      <c r="V345" s="13">
        <f t="shared" si="62"/>
        <v>3.5719376549049318E-44</v>
      </c>
      <c r="W345" s="13">
        <f t="shared" si="63"/>
        <v>3.5719376549049318E-44</v>
      </c>
      <c r="X345" s="13">
        <v>0</v>
      </c>
      <c r="Y345" s="13">
        <v>0</v>
      </c>
      <c r="Z345" s="13">
        <v>0</v>
      </c>
      <c r="AA345" s="13">
        <f t="shared" si="64"/>
        <v>4.2287494291682408E-7</v>
      </c>
      <c r="AB345" s="13">
        <f t="shared" si="65"/>
        <v>659.99999957712487</v>
      </c>
      <c r="AC345" s="13">
        <f t="shared" si="57"/>
        <v>659.99999999999977</v>
      </c>
      <c r="AD345" s="13">
        <f t="shared" si="58"/>
        <v>3.5444480341248037E-7</v>
      </c>
      <c r="AE345" s="13">
        <f t="shared" si="59"/>
        <v>5.3393300873336394E-11</v>
      </c>
      <c r="AF345" s="13">
        <f t="shared" si="60"/>
        <v>1.0941246475319385E-11</v>
      </c>
      <c r="AG345" s="13">
        <f t="shared" si="61"/>
        <v>1.0941246475319385E-11</v>
      </c>
      <c r="AH345" s="10"/>
      <c r="AI345" s="13">
        <f t="shared" si="55"/>
        <v>7.724581539044018E-40</v>
      </c>
      <c r="AJ345" s="10"/>
      <c r="AK345" s="10"/>
      <c r="AL345" s="10"/>
      <c r="AM345" s="10"/>
      <c r="AN345" s="10"/>
    </row>
    <row r="346" spans="19:40">
      <c r="S346" s="10"/>
      <c r="T346" s="12">
        <v>340</v>
      </c>
      <c r="U346" s="13">
        <f t="shared" si="56"/>
        <v>0.36014228793916769</v>
      </c>
      <c r="V346" s="13">
        <f t="shared" si="62"/>
        <v>2.2849055049502599E-44</v>
      </c>
      <c r="W346" s="13">
        <f t="shared" si="63"/>
        <v>2.2849055049502599E-44</v>
      </c>
      <c r="X346" s="13">
        <v>0</v>
      </c>
      <c r="Y346" s="13">
        <v>0</v>
      </c>
      <c r="Z346" s="13">
        <v>0</v>
      </c>
      <c r="AA346" s="13">
        <f t="shared" si="64"/>
        <v>3.9625165530218921E-7</v>
      </c>
      <c r="AB346" s="13">
        <f t="shared" si="65"/>
        <v>659.99999960374817</v>
      </c>
      <c r="AC346" s="13">
        <f t="shared" si="57"/>
        <v>659.99999999999977</v>
      </c>
      <c r="AD346" s="13">
        <f t="shared" si="58"/>
        <v>3.3115099354239961E-7</v>
      </c>
      <c r="AE346" s="13">
        <f t="shared" si="59"/>
        <v>5.0031774659367338E-11</v>
      </c>
      <c r="AF346" s="13">
        <f t="shared" si="60"/>
        <v>1.0222197098141222E-11</v>
      </c>
      <c r="AG346" s="13">
        <f t="shared" si="61"/>
        <v>1.0222197098141223E-11</v>
      </c>
      <c r="AH346" s="10"/>
      <c r="AI346" s="13">
        <f t="shared" si="55"/>
        <v>5.3895025648338737E-40</v>
      </c>
      <c r="AJ346" s="10"/>
      <c r="AK346" s="10"/>
      <c r="AL346" s="10"/>
      <c r="AM346" s="10"/>
      <c r="AN346" s="10"/>
    </row>
    <row r="347" spans="19:40">
      <c r="S347" s="10"/>
      <c r="T347" s="12">
        <v>341</v>
      </c>
      <c r="U347" s="13">
        <f t="shared" si="56"/>
        <v>0.36051715126242595</v>
      </c>
      <c r="V347" s="13">
        <f t="shared" si="62"/>
        <v>1.4607572160100966E-44</v>
      </c>
      <c r="W347" s="13">
        <f t="shared" si="63"/>
        <v>1.4607572160100966E-44</v>
      </c>
      <c r="X347" s="13">
        <v>0</v>
      </c>
      <c r="Y347" s="13">
        <v>0</v>
      </c>
      <c r="Z347" s="13">
        <v>0</v>
      </c>
      <c r="AA347" s="13">
        <f t="shared" si="64"/>
        <v>3.7130451203066096E-7</v>
      </c>
      <c r="AB347" s="13">
        <f t="shared" si="65"/>
        <v>659.99999962869526</v>
      </c>
      <c r="AC347" s="13">
        <f t="shared" si="57"/>
        <v>659.99999999999977</v>
      </c>
      <c r="AD347" s="13">
        <f t="shared" si="58"/>
        <v>3.093880329696974E-7</v>
      </c>
      <c r="AE347" s="13">
        <f t="shared" si="59"/>
        <v>4.6881882832154176E-11</v>
      </c>
      <c r="AF347" s="13">
        <f t="shared" si="60"/>
        <v>9.5504030321368427E-12</v>
      </c>
      <c r="AG347" s="13">
        <f t="shared" si="61"/>
        <v>9.5504030321368427E-12</v>
      </c>
      <c r="AH347" s="10"/>
      <c r="AI347" s="13">
        <f t="shared" si="55"/>
        <v>3.7588885424397289E-40</v>
      </c>
      <c r="AJ347" s="10"/>
      <c r="AK347" s="10"/>
      <c r="AL347" s="10"/>
      <c r="AM347" s="10"/>
      <c r="AN347" s="10"/>
    </row>
    <row r="348" spans="19:40">
      <c r="S348" s="10"/>
      <c r="T348" s="12">
        <v>342</v>
      </c>
      <c r="U348" s="13">
        <f t="shared" si="56"/>
        <v>0.36089130536122294</v>
      </c>
      <c r="V348" s="13">
        <f t="shared" si="62"/>
        <v>9.3332648912027819E-45</v>
      </c>
      <c r="W348" s="13">
        <f t="shared" si="63"/>
        <v>9.3332648912027819E-45</v>
      </c>
      <c r="X348" s="13">
        <v>0</v>
      </c>
      <c r="Y348" s="13">
        <v>0</v>
      </c>
      <c r="Z348" s="13">
        <v>0</v>
      </c>
      <c r="AA348" s="13">
        <f t="shared" si="64"/>
        <v>3.4792798669619985E-7</v>
      </c>
      <c r="AB348" s="13">
        <f t="shared" si="65"/>
        <v>659.99999965207178</v>
      </c>
      <c r="AC348" s="13">
        <f t="shared" si="57"/>
        <v>659.99999999999977</v>
      </c>
      <c r="AD348" s="13">
        <f t="shared" si="58"/>
        <v>2.8905531558552536E-7</v>
      </c>
      <c r="AE348" s="13">
        <f t="shared" si="59"/>
        <v>4.3930301350530299E-11</v>
      </c>
      <c r="AF348" s="13">
        <f t="shared" si="60"/>
        <v>8.9227586986005246E-12</v>
      </c>
      <c r="AG348" s="13">
        <f t="shared" si="61"/>
        <v>8.9227586986005246E-12</v>
      </c>
      <c r="AH348" s="10"/>
      <c r="AI348" s="13">
        <f t="shared" si="55"/>
        <v>2.6206412140514866E-40</v>
      </c>
      <c r="AJ348" s="10"/>
      <c r="AK348" s="10"/>
      <c r="AL348" s="10"/>
      <c r="AM348" s="10"/>
      <c r="AN348" s="10"/>
    </row>
    <row r="349" spans="19:40">
      <c r="S349" s="10"/>
      <c r="T349" s="12">
        <v>343</v>
      </c>
      <c r="U349" s="13">
        <f t="shared" si="56"/>
        <v>0.361264753645266</v>
      </c>
      <c r="V349" s="13">
        <f t="shared" si="62"/>
        <v>5.959848632121102E-45</v>
      </c>
      <c r="W349" s="13">
        <f t="shared" si="63"/>
        <v>5.959848632121102E-45</v>
      </c>
      <c r="X349" s="13">
        <v>0</v>
      </c>
      <c r="Y349" s="13">
        <v>0</v>
      </c>
      <c r="Z349" s="13">
        <v>0</v>
      </c>
      <c r="AA349" s="13">
        <f t="shared" si="64"/>
        <v>3.2602319660601063E-7</v>
      </c>
      <c r="AB349" s="13">
        <f t="shared" si="65"/>
        <v>659.99999967397662</v>
      </c>
      <c r="AC349" s="13">
        <f t="shared" si="57"/>
        <v>659.99999999999977</v>
      </c>
      <c r="AD349" s="13">
        <f t="shared" si="58"/>
        <v>2.7005884702861507E-7</v>
      </c>
      <c r="AE349" s="13">
        <f t="shared" si="59"/>
        <v>4.116454502601146E-11</v>
      </c>
      <c r="AF349" s="13">
        <f t="shared" si="60"/>
        <v>8.33636261480766E-12</v>
      </c>
      <c r="AG349" s="13">
        <f t="shared" si="61"/>
        <v>8.33636261480766E-12</v>
      </c>
      <c r="AH349" s="10"/>
      <c r="AI349" s="13">
        <f t="shared" si="55"/>
        <v>1.8263892637287966E-40</v>
      </c>
      <c r="AJ349" s="10"/>
      <c r="AK349" s="10"/>
      <c r="AL349" s="10"/>
      <c r="AM349" s="10"/>
      <c r="AN349" s="10"/>
    </row>
    <row r="350" spans="19:40">
      <c r="S350" s="10"/>
      <c r="T350" s="12">
        <v>344</v>
      </c>
      <c r="U350" s="13">
        <f t="shared" si="56"/>
        <v>0.36163749949798574</v>
      </c>
      <c r="V350" s="13">
        <f t="shared" si="62"/>
        <v>3.8034987971468742E-45</v>
      </c>
      <c r="W350" s="13">
        <f t="shared" si="63"/>
        <v>3.8034987971468742E-45</v>
      </c>
      <c r="X350" s="13">
        <v>0</v>
      </c>
      <c r="Y350" s="13">
        <v>0</v>
      </c>
      <c r="Z350" s="13">
        <v>0</v>
      </c>
      <c r="AA350" s="13">
        <f t="shared" si="64"/>
        <v>3.0549748450679147E-7</v>
      </c>
      <c r="AB350" s="13">
        <f t="shared" si="65"/>
        <v>659.99999969450232</v>
      </c>
      <c r="AC350" s="13">
        <f t="shared" si="57"/>
        <v>659.99999999999977</v>
      </c>
      <c r="AD350" s="13">
        <f t="shared" si="58"/>
        <v>2.5231081016687263E-7</v>
      </c>
      <c r="AE350" s="13">
        <f t="shared" si="59"/>
        <v>3.8572914710453483E-11</v>
      </c>
      <c r="AF350" s="13">
        <f t="shared" si="60"/>
        <v>7.7885039810011498E-12</v>
      </c>
      <c r="AG350" s="13">
        <f t="shared" si="61"/>
        <v>7.7885039810011514E-12</v>
      </c>
      <c r="AH350" s="10"/>
      <c r="AI350" s="13">
        <f t="shared" si="55"/>
        <v>1.2723807512493784E-40</v>
      </c>
      <c r="AJ350" s="10"/>
      <c r="AK350" s="10"/>
      <c r="AL350" s="10"/>
      <c r="AM350" s="10"/>
      <c r="AN350" s="10"/>
    </row>
    <row r="351" spans="19:40">
      <c r="S351" s="10"/>
      <c r="T351" s="12">
        <v>345</v>
      </c>
      <c r="U351" s="13">
        <f t="shared" si="56"/>
        <v>0.36200954627681453</v>
      </c>
      <c r="V351" s="13">
        <f t="shared" si="62"/>
        <v>2.4259289678090598E-45</v>
      </c>
      <c r="W351" s="13">
        <f t="shared" si="63"/>
        <v>2.4259289678090598E-45</v>
      </c>
      <c r="X351" s="13">
        <v>0</v>
      </c>
      <c r="Y351" s="13">
        <v>0</v>
      </c>
      <c r="Z351" s="13">
        <v>0</v>
      </c>
      <c r="AA351" s="13">
        <f t="shared" si="64"/>
        <v>2.862640266445896E-7</v>
      </c>
      <c r="AB351" s="13">
        <f t="shared" si="65"/>
        <v>659.99999971373575</v>
      </c>
      <c r="AC351" s="13">
        <f t="shared" si="57"/>
        <v>659.99999999999977</v>
      </c>
      <c r="AD351" s="13">
        <f t="shared" si="58"/>
        <v>2.357291591351503E-7</v>
      </c>
      <c r="AE351" s="13">
        <f t="shared" si="59"/>
        <v>3.6144447808660316E-11</v>
      </c>
      <c r="AF351" s="13">
        <f t="shared" si="60"/>
        <v>7.2766501488695557E-12</v>
      </c>
      <c r="AG351" s="13">
        <f t="shared" si="61"/>
        <v>7.2766501488695557E-12</v>
      </c>
      <c r="AH351" s="10"/>
      <c r="AI351" s="13">
        <f t="shared" si="55"/>
        <v>8.8609259205283067E-41</v>
      </c>
      <c r="AJ351" s="10"/>
      <c r="AK351" s="10"/>
      <c r="AL351" s="10"/>
      <c r="AM351" s="10"/>
      <c r="AN351" s="10"/>
    </row>
    <row r="352" spans="19:40">
      <c r="S352" s="10"/>
      <c r="T352" s="12">
        <v>346</v>
      </c>
      <c r="U352" s="13">
        <f t="shared" si="56"/>
        <v>0.36238089731346085</v>
      </c>
      <c r="V352" s="13">
        <f t="shared" si="62"/>
        <v>1.546393257334739E-45</v>
      </c>
      <c r="W352" s="13">
        <f t="shared" si="63"/>
        <v>1.546393257334739E-45</v>
      </c>
      <c r="X352" s="13">
        <v>0</v>
      </c>
      <c r="Y352" s="13">
        <v>0</v>
      </c>
      <c r="Z352" s="13">
        <v>0</v>
      </c>
      <c r="AA352" s="13">
        <f t="shared" si="64"/>
        <v>2.6824146550035681E-7</v>
      </c>
      <c r="AB352" s="13">
        <f t="shared" si="65"/>
        <v>659.99999973175829</v>
      </c>
      <c r="AC352" s="13">
        <f t="shared" si="57"/>
        <v>659.99999999999977</v>
      </c>
      <c r="AD352" s="13">
        <f t="shared" si="58"/>
        <v>2.2023724005251079E-7</v>
      </c>
      <c r="AE352" s="13">
        <f t="shared" si="59"/>
        <v>3.3868871906610718E-11</v>
      </c>
      <c r="AF352" s="13">
        <f t="shared" si="60"/>
        <v>6.7984349135861982E-12</v>
      </c>
      <c r="AG352" s="13">
        <f t="shared" si="61"/>
        <v>6.7984349135861982E-12</v>
      </c>
      <c r="AH352" s="10"/>
      <c r="AI352" s="13">
        <f t="shared" si="55"/>
        <v>6.1685017808137342E-41</v>
      </c>
      <c r="AJ352" s="10"/>
      <c r="AK352" s="10"/>
      <c r="AL352" s="10"/>
      <c r="AM352" s="10"/>
      <c r="AN352" s="10"/>
    </row>
    <row r="353" spans="19:40">
      <c r="S353" s="10"/>
      <c r="T353" s="12">
        <v>347</v>
      </c>
      <c r="U353" s="13">
        <f t="shared" si="56"/>
        <v>0.36275155591418046</v>
      </c>
      <c r="V353" s="13">
        <f t="shared" si="62"/>
        <v>9.8516553224313479E-46</v>
      </c>
      <c r="W353" s="13">
        <f t="shared" si="63"/>
        <v>9.8516553224313479E-46</v>
      </c>
      <c r="X353" s="13">
        <v>0</v>
      </c>
      <c r="Y353" s="13">
        <v>0</v>
      </c>
      <c r="Z353" s="13">
        <v>0</v>
      </c>
      <c r="AA353" s="13">
        <f t="shared" si="64"/>
        <v>2.5135356564767665E-7</v>
      </c>
      <c r="AB353" s="13">
        <f t="shared" si="65"/>
        <v>659.99999974864625</v>
      </c>
      <c r="AC353" s="13">
        <f t="shared" si="57"/>
        <v>659.99999999999977</v>
      </c>
      <c r="AD353" s="13">
        <f t="shared" si="58"/>
        <v>2.0576343666562814E-7</v>
      </c>
      <c r="AE353" s="13">
        <f t="shared" si="59"/>
        <v>3.1736561319151099E-11</v>
      </c>
      <c r="AF353" s="13">
        <f t="shared" si="60"/>
        <v>6.3516475752854473E-12</v>
      </c>
      <c r="AG353" s="13">
        <f t="shared" si="61"/>
        <v>6.3516475752854473E-12</v>
      </c>
      <c r="AH353" s="10"/>
      <c r="AI353" s="13">
        <f t="shared" si="55"/>
        <v>4.2925875131839302E-41</v>
      </c>
      <c r="AJ353" s="10"/>
      <c r="AK353" s="10"/>
      <c r="AL353" s="10"/>
      <c r="AM353" s="10"/>
      <c r="AN353" s="10"/>
    </row>
    <row r="354" spans="19:40">
      <c r="S354" s="10"/>
      <c r="T354" s="12">
        <v>348</v>
      </c>
      <c r="U354" s="13">
        <f t="shared" si="56"/>
        <v>0.36312152536004327</v>
      </c>
      <c r="V354" s="13">
        <f t="shared" si="62"/>
        <v>6.2725796955751879E-46</v>
      </c>
      <c r="W354" s="13">
        <f t="shared" si="63"/>
        <v>6.2725796955751879E-46</v>
      </c>
      <c r="X354" s="13">
        <v>0</v>
      </c>
      <c r="Y354" s="13">
        <v>0</v>
      </c>
      <c r="Z354" s="13">
        <v>0</v>
      </c>
      <c r="AA354" s="13">
        <f t="shared" si="64"/>
        <v>2.3552889127694115E-7</v>
      </c>
      <c r="AB354" s="13">
        <f t="shared" si="65"/>
        <v>659.99999976447089</v>
      </c>
      <c r="AC354" s="13">
        <f t="shared" si="57"/>
        <v>659.99999999999977</v>
      </c>
      <c r="AD354" s="13">
        <f t="shared" si="58"/>
        <v>1.9224083928020181E-7</v>
      </c>
      <c r="AE354" s="13">
        <f t="shared" si="59"/>
        <v>2.9738496373351165E-11</v>
      </c>
      <c r="AF354" s="13">
        <f t="shared" si="60"/>
        <v>5.9342227194094276E-12</v>
      </c>
      <c r="AG354" s="13">
        <f t="shared" si="61"/>
        <v>5.9342227194094276E-12</v>
      </c>
      <c r="AH354" s="10"/>
      <c r="AI354" s="13">
        <f t="shared" si="55"/>
        <v>2.9860549548400519E-41</v>
      </c>
      <c r="AJ354" s="10"/>
      <c r="AK354" s="10"/>
      <c r="AL354" s="10"/>
      <c r="AM354" s="10"/>
      <c r="AN354" s="10"/>
    </row>
    <row r="355" spans="19:40">
      <c r="S355" s="10"/>
      <c r="T355" s="12">
        <v>349</v>
      </c>
      <c r="U355" s="13">
        <f t="shared" si="56"/>
        <v>0.36349080890719693</v>
      </c>
      <c r="V355" s="13">
        <f t="shared" si="62"/>
        <v>3.9914547114492577E-46</v>
      </c>
      <c r="W355" s="13">
        <f t="shared" si="63"/>
        <v>3.9914547114492577E-46</v>
      </c>
      <c r="X355" s="13">
        <v>0</v>
      </c>
      <c r="Y355" s="13">
        <v>0</v>
      </c>
      <c r="Z355" s="13">
        <v>0</v>
      </c>
      <c r="AA355" s="13">
        <f t="shared" si="64"/>
        <v>2.2070050402190476E-7</v>
      </c>
      <c r="AB355" s="13">
        <f t="shared" si="65"/>
        <v>659.99999977929929</v>
      </c>
      <c r="AC355" s="13">
        <f t="shared" si="57"/>
        <v>659.99999999999977</v>
      </c>
      <c r="AD355" s="13">
        <f t="shared" si="58"/>
        <v>1.7960693544991619E-7</v>
      </c>
      <c r="AE355" s="13">
        <f t="shared" si="59"/>
        <v>2.7866225255291013E-11</v>
      </c>
      <c r="AF355" s="13">
        <f t="shared" si="60"/>
        <v>5.5442306686816492E-12</v>
      </c>
      <c r="AG355" s="13">
        <f t="shared" si="61"/>
        <v>5.5442306686816492E-12</v>
      </c>
      <c r="AH355" s="10"/>
      <c r="AI355" s="13">
        <f t="shared" si="55"/>
        <v>2.0764233679082641E-41</v>
      </c>
      <c r="AJ355" s="10"/>
      <c r="AK355" s="10"/>
      <c r="AL355" s="10"/>
      <c r="AM355" s="10"/>
      <c r="AN355" s="10"/>
    </row>
    <row r="356" spans="19:40">
      <c r="S356" s="10"/>
      <c r="T356" s="12">
        <v>350</v>
      </c>
      <c r="U356" s="13">
        <f t="shared" si="56"/>
        <v>0.36385940978712683</v>
      </c>
      <c r="V356" s="13">
        <f t="shared" si="62"/>
        <v>2.5384264417682411E-46</v>
      </c>
      <c r="W356" s="13">
        <f t="shared" si="63"/>
        <v>2.5384264417682411E-46</v>
      </c>
      <c r="X356" s="13">
        <v>0</v>
      </c>
      <c r="Y356" s="13">
        <v>0</v>
      </c>
      <c r="Z356" s="13">
        <v>0</v>
      </c>
      <c r="AA356" s="13">
        <f t="shared" si="64"/>
        <v>2.0680567981042207E-7</v>
      </c>
      <c r="AB356" s="13">
        <f t="shared" si="65"/>
        <v>659.99999979319409</v>
      </c>
      <c r="AC356" s="13">
        <f t="shared" si="57"/>
        <v>659.99999999999977</v>
      </c>
      <c r="AD356" s="13">
        <f t="shared" si="58"/>
        <v>1.6780332099305693E-7</v>
      </c>
      <c r="AE356" s="13">
        <f t="shared" si="59"/>
        <v>2.6111828258891686E-11</v>
      </c>
      <c r="AF356" s="13">
        <f t="shared" si="60"/>
        <v>5.1798685625687608E-12</v>
      </c>
      <c r="AG356" s="13">
        <f t="shared" si="61"/>
        <v>5.17986856256876E-12</v>
      </c>
      <c r="AH356" s="10"/>
      <c r="AI356" s="13">
        <f t="shared" si="55"/>
        <v>1.443357090086375E-41</v>
      </c>
      <c r="AJ356" s="10"/>
      <c r="AK356" s="10"/>
      <c r="AL356" s="10"/>
      <c r="AM356" s="10"/>
      <c r="AN356" s="10"/>
    </row>
    <row r="357" spans="19:40">
      <c r="S357" s="10"/>
      <c r="T357" s="12">
        <v>351</v>
      </c>
      <c r="U357" s="13">
        <f t="shared" si="56"/>
        <v>0.3642273312069132</v>
      </c>
      <c r="V357" s="13">
        <f t="shared" si="62"/>
        <v>1.6134170323298672E-46</v>
      </c>
      <c r="W357" s="13">
        <f t="shared" si="63"/>
        <v>1.6134170323298672E-46</v>
      </c>
      <c r="X357" s="13">
        <v>0</v>
      </c>
      <c r="Y357" s="13">
        <v>0</v>
      </c>
      <c r="Z357" s="13">
        <v>0</v>
      </c>
      <c r="AA357" s="13">
        <f t="shared" si="64"/>
        <v>1.9378564354164767E-7</v>
      </c>
      <c r="AB357" s="13">
        <f t="shared" si="65"/>
        <v>659.99999980621408</v>
      </c>
      <c r="AC357" s="13">
        <f t="shared" si="57"/>
        <v>659.99999999999977</v>
      </c>
      <c r="AD357" s="13">
        <f t="shared" si="58"/>
        <v>1.5677543000086876E-7</v>
      </c>
      <c r="AE357" s="13">
        <f t="shared" si="59"/>
        <v>2.4467884285561582E-11</v>
      </c>
      <c r="AF357" s="13">
        <f t="shared" si="60"/>
        <v>4.8394520229924414E-12</v>
      </c>
      <c r="AG357" s="13">
        <f t="shared" si="61"/>
        <v>4.8394520229924422E-12</v>
      </c>
      <c r="AH357" s="10"/>
      <c r="AI357" s="13">
        <f t="shared" si="55"/>
        <v>1.0029325774863528E-41</v>
      </c>
      <c r="AJ357" s="10"/>
      <c r="AK357" s="10"/>
      <c r="AL357" s="10"/>
      <c r="AM357" s="10"/>
      <c r="AN357" s="10"/>
    </row>
    <row r="358" spans="19:40">
      <c r="S358" s="10"/>
      <c r="T358" s="12">
        <v>352</v>
      </c>
      <c r="U358" s="13">
        <f t="shared" si="56"/>
        <v>0.36459457634948395</v>
      </c>
      <c r="V358" s="13">
        <f t="shared" si="62"/>
        <v>1.0248910151838093E-46</v>
      </c>
      <c r="W358" s="13">
        <f t="shared" si="63"/>
        <v>1.0248910151838093E-46</v>
      </c>
      <c r="X358" s="13">
        <v>0</v>
      </c>
      <c r="Y358" s="13">
        <v>0</v>
      </c>
      <c r="Z358" s="13">
        <v>0</v>
      </c>
      <c r="AA358" s="13">
        <f t="shared" si="64"/>
        <v>1.8158532046738322E-7</v>
      </c>
      <c r="AB358" s="13">
        <f t="shared" si="65"/>
        <v>659.99999981841438</v>
      </c>
      <c r="AC358" s="13">
        <f t="shared" si="57"/>
        <v>659.99999999999966</v>
      </c>
      <c r="AD358" s="13">
        <f t="shared" si="58"/>
        <v>1.4647228258953393E-7</v>
      </c>
      <c r="AE358" s="13">
        <f t="shared" si="59"/>
        <v>2.2927439452952439E-11</v>
      </c>
      <c r="AF358" s="13">
        <f t="shared" si="60"/>
        <v>4.5214073677636381E-12</v>
      </c>
      <c r="AG358" s="13">
        <f t="shared" si="61"/>
        <v>4.5214073677636381E-12</v>
      </c>
      <c r="AH358" s="10"/>
      <c r="AI358" s="13">
        <f t="shared" si="55"/>
        <v>6.9664263107671861E-42</v>
      </c>
      <c r="AJ358" s="10"/>
      <c r="AK358" s="10"/>
      <c r="AL358" s="10"/>
      <c r="AM358" s="10"/>
      <c r="AN358" s="10"/>
    </row>
    <row r="359" spans="19:40">
      <c r="S359" s="10"/>
      <c r="T359" s="12">
        <v>353</v>
      </c>
      <c r="U359" s="13">
        <f t="shared" si="56"/>
        <v>0.36496114837386456</v>
      </c>
      <c r="V359" s="13">
        <f t="shared" si="62"/>
        <v>6.5066589545010959E-47</v>
      </c>
      <c r="W359" s="13">
        <f t="shared" si="63"/>
        <v>6.5066589545010959E-47</v>
      </c>
      <c r="X359" s="13">
        <v>0</v>
      </c>
      <c r="Y359" s="13">
        <v>0</v>
      </c>
      <c r="Z359" s="13">
        <v>0</v>
      </c>
      <c r="AA359" s="13">
        <f t="shared" si="64"/>
        <v>1.7015310322591457E-7</v>
      </c>
      <c r="AB359" s="13">
        <f t="shared" si="65"/>
        <v>659.99999982984662</v>
      </c>
      <c r="AC359" s="13">
        <f t="shared" si="57"/>
        <v>659.99999999999977</v>
      </c>
      <c r="AD359" s="13">
        <f t="shared" si="58"/>
        <v>1.3684624922967453E-7</v>
      </c>
      <c r="AE359" s="13">
        <f t="shared" si="59"/>
        <v>2.1483977680039726E-11</v>
      </c>
      <c r="AF359" s="13">
        <f t="shared" si="60"/>
        <v>4.2242643357432115E-12</v>
      </c>
      <c r="AG359" s="13">
        <f t="shared" si="61"/>
        <v>4.2242643357432115E-12</v>
      </c>
      <c r="AH359" s="10"/>
      <c r="AI359" s="13">
        <f t="shared" si="55"/>
        <v>4.8371439352796574E-42</v>
      </c>
      <c r="AJ359" s="10"/>
      <c r="AK359" s="10"/>
      <c r="AL359" s="10"/>
      <c r="AM359" s="10"/>
      <c r="AN359" s="10"/>
    </row>
    <row r="360" spans="19:40">
      <c r="S360" s="10"/>
      <c r="T360" s="12">
        <v>354</v>
      </c>
      <c r="U360" s="13">
        <f t="shared" si="56"/>
        <v>0.36532705041542507</v>
      </c>
      <c r="V360" s="13">
        <f t="shared" si="62"/>
        <v>4.1284594674108238E-47</v>
      </c>
      <c r="W360" s="13">
        <f t="shared" si="63"/>
        <v>4.1284594674108238E-47</v>
      </c>
      <c r="X360" s="13">
        <v>0</v>
      </c>
      <c r="Y360" s="13">
        <v>0</v>
      </c>
      <c r="Z360" s="13">
        <v>0</v>
      </c>
      <c r="AA360" s="13">
        <f t="shared" si="64"/>
        <v>1.5944063354289248E-7</v>
      </c>
      <c r="AB360" s="13">
        <f t="shared" si="65"/>
        <v>659.9999998405591</v>
      </c>
      <c r="AC360" s="13">
        <f t="shared" si="57"/>
        <v>659.99999999999977</v>
      </c>
      <c r="AD360" s="13">
        <f t="shared" si="58"/>
        <v>1.2785283056391932E-7</v>
      </c>
      <c r="AE360" s="13">
        <f t="shared" si="59"/>
        <v>2.0131393124102591E-11</v>
      </c>
      <c r="AF360" s="13">
        <f t="shared" si="60"/>
        <v>3.9466492900988415E-12</v>
      </c>
      <c r="AG360" s="13">
        <f t="shared" si="61"/>
        <v>3.9466492900988423E-12</v>
      </c>
      <c r="AH360" s="10"/>
      <c r="AI360" s="13">
        <f t="shared" si="55"/>
        <v>3.3574450919778436E-42</v>
      </c>
      <c r="AJ360" s="10"/>
      <c r="AK360" s="10"/>
      <c r="AL360" s="10"/>
      <c r="AM360" s="10"/>
      <c r="AN360" s="10"/>
    </row>
    <row r="361" spans="19:40">
      <c r="S361" s="10"/>
      <c r="T361" s="12">
        <v>355</v>
      </c>
      <c r="U361" s="13">
        <f t="shared" si="56"/>
        <v>0.36569228558612343</v>
      </c>
      <c r="V361" s="13">
        <f t="shared" si="62"/>
        <v>2.6179897504262891E-47</v>
      </c>
      <c r="W361" s="13">
        <f t="shared" si="63"/>
        <v>2.6179897504262891E-47</v>
      </c>
      <c r="X361" s="13">
        <v>0</v>
      </c>
      <c r="Y361" s="13">
        <v>0</v>
      </c>
      <c r="Z361" s="13">
        <v>0</v>
      </c>
      <c r="AA361" s="13">
        <f t="shared" si="64"/>
        <v>1.494025976758514E-7</v>
      </c>
      <c r="AB361" s="13">
        <f t="shared" si="65"/>
        <v>659.99999985059708</v>
      </c>
      <c r="AC361" s="13">
        <f t="shared" si="57"/>
        <v>659.99999999999966</v>
      </c>
      <c r="AD361" s="13">
        <f t="shared" si="58"/>
        <v>1.1945045169467194E-7</v>
      </c>
      <c r="AE361" s="13">
        <f t="shared" si="59"/>
        <v>1.8863964353011551E-11</v>
      </c>
      <c r="AF361" s="13">
        <f t="shared" si="60"/>
        <v>3.6872788682380757E-12</v>
      </c>
      <c r="AG361" s="13">
        <f t="shared" si="61"/>
        <v>3.6872788682380765E-12</v>
      </c>
      <c r="AH361" s="10"/>
      <c r="AI361" s="13">
        <f t="shared" si="55"/>
        <v>2.3295394148239765E-42</v>
      </c>
      <c r="AJ361" s="10"/>
      <c r="AK361" s="10"/>
      <c r="AL361" s="10"/>
      <c r="AM361" s="10"/>
      <c r="AN361" s="10"/>
    </row>
    <row r="362" spans="19:40">
      <c r="S362" s="10"/>
      <c r="T362" s="12">
        <v>356</v>
      </c>
      <c r="U362" s="13">
        <f t="shared" si="56"/>
        <v>0.3660568569747456</v>
      </c>
      <c r="V362" s="13">
        <f t="shared" si="62"/>
        <v>1.6591975780277943E-47</v>
      </c>
      <c r="W362" s="13">
        <f t="shared" si="63"/>
        <v>1.6591975780277943E-47</v>
      </c>
      <c r="X362" s="13">
        <v>0</v>
      </c>
      <c r="Y362" s="13">
        <v>0</v>
      </c>
      <c r="Z362" s="13">
        <v>0</v>
      </c>
      <c r="AA362" s="13">
        <f t="shared" si="64"/>
        <v>1.3999653473709713E-7</v>
      </c>
      <c r="AB362" s="13">
        <f t="shared" si="65"/>
        <v>659.99999986000319</v>
      </c>
      <c r="AC362" s="13">
        <f t="shared" si="57"/>
        <v>659.99999999999977</v>
      </c>
      <c r="AD362" s="13">
        <f t="shared" si="58"/>
        <v>1.1160026999111087E-7</v>
      </c>
      <c r="AE362" s="13">
        <f t="shared" si="59"/>
        <v>1.7676330143572875E-11</v>
      </c>
      <c r="AF362" s="13">
        <f t="shared" si="60"/>
        <v>3.4449540490623517E-12</v>
      </c>
      <c r="AG362" s="13">
        <f t="shared" si="61"/>
        <v>3.4449540490623517E-12</v>
      </c>
      <c r="AH362" s="10"/>
      <c r="AI362" s="13">
        <f t="shared" si="55"/>
        <v>1.6157446686277011E-42</v>
      </c>
      <c r="AJ362" s="10"/>
      <c r="AK362" s="10"/>
      <c r="AL362" s="10"/>
      <c r="AM362" s="10"/>
      <c r="AN362" s="10"/>
    </row>
    <row r="363" spans="19:40">
      <c r="S363" s="10"/>
      <c r="T363" s="12">
        <v>357</v>
      </c>
      <c r="U363" s="13">
        <f t="shared" si="56"/>
        <v>0.3664207676471421</v>
      </c>
      <c r="V363" s="13">
        <f t="shared" si="62"/>
        <v>1.0509421822766867E-47</v>
      </c>
      <c r="W363" s="13">
        <f t="shared" si="63"/>
        <v>1.0509421822766867E-47</v>
      </c>
      <c r="X363" s="13">
        <v>0</v>
      </c>
      <c r="Y363" s="13">
        <v>0</v>
      </c>
      <c r="Z363" s="13">
        <v>0</v>
      </c>
      <c r="AA363" s="13">
        <f t="shared" si="64"/>
        <v>1.3118265708416875E-7</v>
      </c>
      <c r="AB363" s="13">
        <f t="shared" si="65"/>
        <v>659.9999998688171</v>
      </c>
      <c r="AC363" s="13">
        <f t="shared" si="57"/>
        <v>659.99999999999977</v>
      </c>
      <c r="AD363" s="13">
        <f t="shared" si="58"/>
        <v>1.0426599552695018E-7</v>
      </c>
      <c r="AE363" s="13">
        <f t="shared" si="59"/>
        <v>1.6563466803556667E-11</v>
      </c>
      <c r="AF363" s="13">
        <f t="shared" si="60"/>
        <v>3.2185546101160345E-12</v>
      </c>
      <c r="AG363" s="13">
        <f t="shared" si="61"/>
        <v>3.2185546101160353E-12</v>
      </c>
      <c r="AH363" s="10"/>
      <c r="AI363" s="13">
        <f t="shared" si="55"/>
        <v>1.1202558293490595E-42</v>
      </c>
      <c r="AJ363" s="10"/>
      <c r="AK363" s="10"/>
      <c r="AL363" s="10"/>
      <c r="AM363" s="10"/>
      <c r="AN363" s="10"/>
    </row>
    <row r="364" spans="19:40">
      <c r="S364" s="10"/>
      <c r="T364" s="12">
        <v>358</v>
      </c>
      <c r="U364" s="13">
        <f t="shared" si="56"/>
        <v>0.3667840206464632</v>
      </c>
      <c r="V364" s="13">
        <f t="shared" si="62"/>
        <v>6.6528909716574496E-48</v>
      </c>
      <c r="W364" s="13">
        <f t="shared" si="63"/>
        <v>6.6528909716574496E-48</v>
      </c>
      <c r="X364" s="13">
        <v>0</v>
      </c>
      <c r="Y364" s="13">
        <v>0</v>
      </c>
      <c r="Z364" s="13">
        <v>0</v>
      </c>
      <c r="AA364" s="13">
        <f t="shared" si="64"/>
        <v>1.2292368201812709E-7</v>
      </c>
      <c r="AB364" s="13">
        <f t="shared" si="65"/>
        <v>659.99999987707611</v>
      </c>
      <c r="AC364" s="13">
        <f t="shared" si="57"/>
        <v>659.99999999999977</v>
      </c>
      <c r="AD364" s="13">
        <f t="shared" si="58"/>
        <v>9.7413723318876527E-8</v>
      </c>
      <c r="AE364" s="13">
        <f t="shared" si="59"/>
        <v>1.55206669214807E-11</v>
      </c>
      <c r="AF364" s="13">
        <f t="shared" si="60"/>
        <v>3.0070339490068738E-12</v>
      </c>
      <c r="AG364" s="13">
        <f t="shared" si="61"/>
        <v>3.007033949006873E-12</v>
      </c>
      <c r="AH364" s="10"/>
      <c r="AI364" s="13">
        <f t="shared" si="55"/>
        <v>7.764326538544041E-43</v>
      </c>
      <c r="AJ364" s="10"/>
      <c r="AK364" s="10"/>
      <c r="AL364" s="10"/>
      <c r="AM364" s="10"/>
      <c r="AN364" s="10"/>
    </row>
    <row r="365" spans="19:40">
      <c r="S365" s="10"/>
      <c r="T365" s="12">
        <v>359</v>
      </c>
      <c r="U365" s="13">
        <f t="shared" si="56"/>
        <v>0.36714661899338891</v>
      </c>
      <c r="V365" s="13">
        <f t="shared" si="62"/>
        <v>4.209137939452772E-48</v>
      </c>
      <c r="W365" s="13">
        <f t="shared" si="63"/>
        <v>4.209137939452772E-48</v>
      </c>
      <c r="X365" s="13">
        <v>0</v>
      </c>
      <c r="Y365" s="13">
        <v>0</v>
      </c>
      <c r="Z365" s="13">
        <v>0</v>
      </c>
      <c r="AA365" s="13">
        <f t="shared" si="64"/>
        <v>1.1518467407775306E-7</v>
      </c>
      <c r="AB365" s="13">
        <f t="shared" si="65"/>
        <v>659.99999988481511</v>
      </c>
      <c r="AC365" s="13">
        <f t="shared" si="57"/>
        <v>659.99999999999977</v>
      </c>
      <c r="AD365" s="13">
        <f t="shared" si="58"/>
        <v>9.101177659013331E-8</v>
      </c>
      <c r="AE365" s="13">
        <f t="shared" si="59"/>
        <v>1.4543519454261756E-11</v>
      </c>
      <c r="AF365" s="13">
        <f t="shared" si="60"/>
        <v>2.8094142451582884E-12</v>
      </c>
      <c r="AG365" s="13">
        <f t="shared" si="61"/>
        <v>2.8094142451582884E-12</v>
      </c>
      <c r="AH365" s="10"/>
      <c r="AI365" s="13">
        <f t="shared" si="55"/>
        <v>5.3793865752530606E-43</v>
      </c>
      <c r="AJ365" s="10"/>
      <c r="AK365" s="10"/>
      <c r="AL365" s="10"/>
      <c r="AM365" s="10"/>
      <c r="AN365" s="10"/>
    </row>
    <row r="366" spans="19:40">
      <c r="S366" s="10"/>
      <c r="T366" s="12">
        <v>360</v>
      </c>
      <c r="U366" s="13">
        <f t="shared" si="56"/>
        <v>0.36750856568635737</v>
      </c>
      <c r="V366" s="13">
        <f t="shared" si="62"/>
        <v>2.6615056069263525E-48</v>
      </c>
      <c r="W366" s="13">
        <f t="shared" si="63"/>
        <v>2.6615056069263525E-48</v>
      </c>
      <c r="X366" s="13">
        <v>0</v>
      </c>
      <c r="Y366" s="13">
        <v>0</v>
      </c>
      <c r="Z366" s="13">
        <v>0</v>
      </c>
      <c r="AA366" s="13">
        <f t="shared" si="64"/>
        <v>1.0793289726256076E-7</v>
      </c>
      <c r="AB366" s="13">
        <f t="shared" si="65"/>
        <v>659.99999989206685</v>
      </c>
      <c r="AC366" s="13">
        <f t="shared" si="57"/>
        <v>659.99999999999977</v>
      </c>
      <c r="AD366" s="13">
        <f t="shared" si="58"/>
        <v>8.5030560334688057E-8</v>
      </c>
      <c r="AE366" s="13">
        <f t="shared" si="59"/>
        <v>1.3627891068505151E-11</v>
      </c>
      <c r="AF366" s="13">
        <f t="shared" si="60"/>
        <v>2.6247819395271741E-12</v>
      </c>
      <c r="AG366" s="13">
        <f t="shared" si="61"/>
        <v>2.6247819395271737E-12</v>
      </c>
      <c r="AH366" s="10"/>
      <c r="AI366" s="13">
        <f t="shared" si="55"/>
        <v>3.725670000945606E-43</v>
      </c>
      <c r="AJ366" s="10"/>
      <c r="AK366" s="10"/>
      <c r="AL366" s="10"/>
      <c r="AM366" s="10"/>
      <c r="AN366" s="10"/>
    </row>
    <row r="367" spans="19:40">
      <c r="S367" s="10"/>
      <c r="T367" s="12">
        <v>361</v>
      </c>
      <c r="U367" s="13">
        <f t="shared" si="56"/>
        <v>0.36786986370178987</v>
      </c>
      <c r="V367" s="13">
        <f t="shared" si="62"/>
        <v>1.6819511986566796E-48</v>
      </c>
      <c r="W367" s="13">
        <f t="shared" si="63"/>
        <v>1.6819511986566796E-48</v>
      </c>
      <c r="X367" s="13">
        <v>0</v>
      </c>
      <c r="Y367" s="13">
        <v>0</v>
      </c>
      <c r="Z367" s="13">
        <v>0</v>
      </c>
      <c r="AA367" s="13">
        <f t="shared" si="64"/>
        <v>1.0113767655952849E-7</v>
      </c>
      <c r="AB367" s="13">
        <f t="shared" si="65"/>
        <v>659.99999989886203</v>
      </c>
      <c r="AC367" s="13">
        <f t="shared" si="57"/>
        <v>659.99999999999966</v>
      </c>
      <c r="AD367" s="13">
        <f t="shared" si="58"/>
        <v>7.9442424505037724E-8</v>
      </c>
      <c r="AE367" s="13">
        <f t="shared" si="59"/>
        <v>1.2769908656506128E-11</v>
      </c>
      <c r="AF367" s="13">
        <f t="shared" si="60"/>
        <v>2.4522835113907752E-12</v>
      </c>
      <c r="AG367" s="13">
        <f t="shared" si="61"/>
        <v>2.4522835113907752E-12</v>
      </c>
      <c r="AH367" s="10"/>
      <c r="AI367" s="13">
        <f t="shared" si="55"/>
        <v>2.5794015974437493E-43</v>
      </c>
      <c r="AJ367" s="10"/>
      <c r="AK367" s="10"/>
      <c r="AL367" s="10"/>
      <c r="AM367" s="10"/>
      <c r="AN367" s="10"/>
    </row>
    <row r="368" spans="19:40">
      <c r="S368" s="10"/>
      <c r="T368" s="12">
        <v>362</v>
      </c>
      <c r="U368" s="13">
        <f t="shared" si="56"/>
        <v>0.36823051599431295</v>
      </c>
      <c r="V368" s="13">
        <f t="shared" si="62"/>
        <v>1.0623105054470033E-48</v>
      </c>
      <c r="W368" s="13">
        <f t="shared" si="63"/>
        <v>1.0623105054470033E-48</v>
      </c>
      <c r="X368" s="13">
        <v>0</v>
      </c>
      <c r="Y368" s="13">
        <v>0</v>
      </c>
      <c r="Z368" s="13">
        <v>0</v>
      </c>
      <c r="AA368" s="13">
        <f t="shared" si="64"/>
        <v>9.4770268187806038E-8</v>
      </c>
      <c r="AB368" s="13">
        <f t="shared" si="65"/>
        <v>659.9999999052294</v>
      </c>
      <c r="AC368" s="13">
        <f t="shared" si="57"/>
        <v>659.99999999999966</v>
      </c>
      <c r="AD368" s="13">
        <f t="shared" si="58"/>
        <v>7.4221536191194737E-8</v>
      </c>
      <c r="AE368" s="13">
        <f t="shared" si="59"/>
        <v>1.1965942953005818E-11</v>
      </c>
      <c r="AF368" s="13">
        <f t="shared" si="60"/>
        <v>2.2911215326795385E-12</v>
      </c>
      <c r="AG368" s="13">
        <f t="shared" si="61"/>
        <v>2.2911215326795385E-12</v>
      </c>
      <c r="AH368" s="10"/>
      <c r="AI368" s="13">
        <f t="shared" si="55"/>
        <v>1.7851584691393119E-43</v>
      </c>
      <c r="AJ368" s="10"/>
      <c r="AK368" s="10"/>
      <c r="AL368" s="10"/>
      <c r="AM368" s="10"/>
      <c r="AN368" s="10"/>
    </row>
    <row r="369" spans="19:40">
      <c r="S369" s="10"/>
      <c r="T369" s="12">
        <v>363</v>
      </c>
      <c r="U369" s="13">
        <f t="shared" si="56"/>
        <v>0.36859052549697724</v>
      </c>
      <c r="V369" s="13">
        <f t="shared" si="62"/>
        <v>6.7056663850345505E-49</v>
      </c>
      <c r="W369" s="13">
        <f t="shared" si="63"/>
        <v>6.7056663850345505E-49</v>
      </c>
      <c r="X369" s="13">
        <v>0</v>
      </c>
      <c r="Y369" s="13">
        <v>0</v>
      </c>
      <c r="Z369" s="13">
        <v>0</v>
      </c>
      <c r="AA369" s="13">
        <f t="shared" si="64"/>
        <v>8.8803738012533131E-8</v>
      </c>
      <c r="AB369" s="13">
        <f t="shared" si="65"/>
        <v>659.99999991119591</v>
      </c>
      <c r="AC369" s="13">
        <f t="shared" si="57"/>
        <v>659.99999999999966</v>
      </c>
      <c r="AD369" s="13">
        <f t="shared" si="58"/>
        <v>6.9343760199960886E-8</v>
      </c>
      <c r="AE369" s="13">
        <f t="shared" si="59"/>
        <v>1.1212593183400653E-11</v>
      </c>
      <c r="AF369" s="13">
        <f t="shared" si="60"/>
        <v>2.1405509816158297E-12</v>
      </c>
      <c r="AG369" s="13">
        <f t="shared" si="61"/>
        <v>2.1405509816158297E-12</v>
      </c>
      <c r="AH369" s="10"/>
      <c r="AI369" s="13">
        <f t="shared" si="55"/>
        <v>1.2350316722906524E-43</v>
      </c>
      <c r="AJ369" s="10"/>
      <c r="AK369" s="10"/>
      <c r="AL369" s="10"/>
      <c r="AM369" s="10"/>
      <c r="AN369" s="10"/>
    </row>
    <row r="370" spans="19:40">
      <c r="S370" s="10"/>
      <c r="T370" s="12">
        <v>364</v>
      </c>
      <c r="U370" s="13">
        <f t="shared" si="56"/>
        <v>0.36894989512147552</v>
      </c>
      <c r="V370" s="13">
        <f t="shared" si="62"/>
        <v>4.2304356157921467E-49</v>
      </c>
      <c r="W370" s="13">
        <f t="shared" si="63"/>
        <v>4.2304356157921467E-49</v>
      </c>
      <c r="X370" s="13">
        <v>0</v>
      </c>
      <c r="Y370" s="13">
        <v>0</v>
      </c>
      <c r="Z370" s="13">
        <v>0</v>
      </c>
      <c r="AA370" s="13">
        <f t="shared" si="64"/>
        <v>8.3212847613459807E-8</v>
      </c>
      <c r="AB370" s="13">
        <f t="shared" si="65"/>
        <v>659.99999991678681</v>
      </c>
      <c r="AC370" s="13">
        <f t="shared" si="57"/>
        <v>659.99999999999966</v>
      </c>
      <c r="AD370" s="13">
        <f t="shared" si="58"/>
        <v>6.4786547482429237E-8</v>
      </c>
      <c r="AE370" s="13">
        <f t="shared" si="59"/>
        <v>1.0506672678467152E-11</v>
      </c>
      <c r="AF370" s="13">
        <f t="shared" si="60"/>
        <v>1.9998757986171723E-12</v>
      </c>
      <c r="AG370" s="13">
        <f t="shared" si="61"/>
        <v>1.9998757986171723E-12</v>
      </c>
      <c r="AH370" s="10"/>
      <c r="AI370" s="13">
        <f t="shared" si="55"/>
        <v>8.5412848287271545E-44</v>
      </c>
      <c r="AJ370" s="10"/>
      <c r="AK370" s="10"/>
      <c r="AL370" s="10"/>
      <c r="AM370" s="10"/>
      <c r="AN370" s="10"/>
    </row>
    <row r="371" spans="19:40">
      <c r="S371" s="10"/>
      <c r="T371" s="12">
        <v>365</v>
      </c>
      <c r="U371" s="13">
        <f t="shared" si="56"/>
        <v>0.36930862775835421</v>
      </c>
      <c r="V371" s="13">
        <f t="shared" si="62"/>
        <v>2.6673574234670157E-49</v>
      </c>
      <c r="W371" s="13">
        <f t="shared" si="63"/>
        <v>2.6673574234670157E-49</v>
      </c>
      <c r="X371" s="13">
        <v>0</v>
      </c>
      <c r="Y371" s="13">
        <v>0</v>
      </c>
      <c r="Z371" s="13">
        <v>0</v>
      </c>
      <c r="AA371" s="13">
        <f t="shared" si="64"/>
        <v>7.7973947526438878E-8</v>
      </c>
      <c r="AB371" s="13">
        <f t="shared" si="65"/>
        <v>659.99999992202572</v>
      </c>
      <c r="AC371" s="13">
        <f t="shared" si="57"/>
        <v>659.99999999999966</v>
      </c>
      <c r="AD371" s="13">
        <f t="shared" si="58"/>
        <v>6.0528830893935654E-8</v>
      </c>
      <c r="AE371" s="13">
        <f t="shared" si="59"/>
        <v>9.8451953947523879E-12</v>
      </c>
      <c r="AF371" s="13">
        <f t="shared" si="60"/>
        <v>1.868445668542584E-12</v>
      </c>
      <c r="AG371" s="13">
        <f t="shared" si="61"/>
        <v>1.868445668542584E-12</v>
      </c>
      <c r="AH371" s="10"/>
      <c r="AI371" s="13">
        <f t="shared" si="55"/>
        <v>5.9048977307810994E-44</v>
      </c>
      <c r="AJ371" s="10"/>
      <c r="AK371" s="10"/>
      <c r="AL371" s="10"/>
      <c r="AM371" s="10"/>
      <c r="AN371" s="10"/>
    </row>
    <row r="372" spans="19:40">
      <c r="S372" s="10"/>
      <c r="T372" s="12">
        <v>366</v>
      </c>
      <c r="U372" s="13">
        <f t="shared" si="56"/>
        <v>0.36966672627722613</v>
      </c>
      <c r="V372" s="13">
        <f t="shared" si="62"/>
        <v>1.6808564073800822E-49</v>
      </c>
      <c r="W372" s="13">
        <f t="shared" si="63"/>
        <v>1.6808564073800822E-49</v>
      </c>
      <c r="X372" s="13">
        <v>0</v>
      </c>
      <c r="Y372" s="13">
        <v>0</v>
      </c>
      <c r="Z372" s="13">
        <v>0</v>
      </c>
      <c r="AA372" s="13">
        <f t="shared" si="64"/>
        <v>7.3064877206202035E-8</v>
      </c>
      <c r="AB372" s="13">
        <f t="shared" si="65"/>
        <v>659.99999992693483</v>
      </c>
      <c r="AC372" s="13">
        <f t="shared" si="57"/>
        <v>659.99999999999966</v>
      </c>
      <c r="AD372" s="13">
        <f t="shared" si="58"/>
        <v>5.655092780457705E-8</v>
      </c>
      <c r="AE372" s="13">
        <f t="shared" si="59"/>
        <v>9.2253632836113731E-12</v>
      </c>
      <c r="AF372" s="13">
        <f t="shared" si="60"/>
        <v>1.7456530144069347E-12</v>
      </c>
      <c r="AG372" s="13">
        <f t="shared" si="61"/>
        <v>1.7456530144069349E-12</v>
      </c>
      <c r="AH372" s="10"/>
      <c r="AI372" s="13">
        <f t="shared" si="55"/>
        <v>4.0808055214982234E-44</v>
      </c>
      <c r="AJ372" s="10"/>
      <c r="AK372" s="10"/>
      <c r="AL372" s="10"/>
      <c r="AM372" s="10"/>
      <c r="AN372" s="10"/>
    </row>
    <row r="373" spans="19:40">
      <c r="S373" s="10"/>
      <c r="T373" s="12">
        <v>367</v>
      </c>
      <c r="U373" s="13">
        <f t="shared" si="56"/>
        <v>0.3700241935269783</v>
      </c>
      <c r="V373" s="13">
        <f t="shared" si="62"/>
        <v>1.0586041273286451E-49</v>
      </c>
      <c r="W373" s="13">
        <f t="shared" si="63"/>
        <v>1.0586041273286451E-49</v>
      </c>
      <c r="X373" s="13">
        <v>0</v>
      </c>
      <c r="Y373" s="13">
        <v>0</v>
      </c>
      <c r="Z373" s="13">
        <v>0</v>
      </c>
      <c r="AA373" s="13">
        <f t="shared" si="64"/>
        <v>6.8464871287262297E-8</v>
      </c>
      <c r="AB373" s="13">
        <f t="shared" si="65"/>
        <v>659.99999993153483</v>
      </c>
      <c r="AC373" s="13">
        <f t="shared" si="57"/>
        <v>659.99999999999966</v>
      </c>
      <c r="AD373" s="13">
        <f t="shared" si="58"/>
        <v>5.2834449110083376E-8</v>
      </c>
      <c r="AE373" s="13">
        <f t="shared" si="59"/>
        <v>8.6445544554624157E-12</v>
      </c>
      <c r="AF373" s="13">
        <f t="shared" si="60"/>
        <v>1.6309301886658346E-12</v>
      </c>
      <c r="AG373" s="13">
        <f t="shared" si="61"/>
        <v>1.6309301886658346E-12</v>
      </c>
      <c r="AH373" s="10"/>
      <c r="AI373" s="13">
        <f t="shared" si="55"/>
        <v>2.8191879663245621E-44</v>
      </c>
      <c r="AJ373" s="10"/>
      <c r="AK373" s="10"/>
      <c r="AL373" s="10"/>
      <c r="AM373" s="10"/>
      <c r="AN373" s="10"/>
    </row>
    <row r="374" spans="19:40">
      <c r="S374" s="10"/>
      <c r="T374" s="12">
        <v>368</v>
      </c>
      <c r="U374" s="13">
        <f t="shared" si="56"/>
        <v>0.37038103233597736</v>
      </c>
      <c r="V374" s="13">
        <f t="shared" si="62"/>
        <v>6.6633160823875795E-50</v>
      </c>
      <c r="W374" s="13">
        <f t="shared" si="63"/>
        <v>6.6633160823875795E-50</v>
      </c>
      <c r="X374" s="13">
        <v>0</v>
      </c>
      <c r="Y374" s="13">
        <v>0</v>
      </c>
      <c r="Z374" s="13">
        <v>0</v>
      </c>
      <c r="AA374" s="13">
        <f t="shared" si="64"/>
        <v>6.4154471746426273E-8</v>
      </c>
      <c r="AB374" s="13">
        <f t="shared" si="65"/>
        <v>659.99999993584527</v>
      </c>
      <c r="AC374" s="13">
        <f t="shared" si="57"/>
        <v>659.99999999999977</v>
      </c>
      <c r="AD374" s="13">
        <f t="shared" si="58"/>
        <v>4.936221422241735E-8</v>
      </c>
      <c r="AE374" s="13">
        <f t="shared" si="59"/>
        <v>8.1003120891952382E-12</v>
      </c>
      <c r="AF374" s="13">
        <f t="shared" si="60"/>
        <v>1.5237468490868767E-12</v>
      </c>
      <c r="AG374" s="13">
        <f t="shared" si="61"/>
        <v>1.5237468490868763E-12</v>
      </c>
      <c r="AH374" s="10"/>
      <c r="AI374" s="13">
        <f t="shared" si="55"/>
        <v>1.9469153009262806E-44</v>
      </c>
      <c r="AJ374" s="10"/>
      <c r="AK374" s="10"/>
      <c r="AL374" s="10"/>
      <c r="AM374" s="10"/>
      <c r="AN374" s="10"/>
    </row>
    <row r="375" spans="19:40">
      <c r="S375" s="10"/>
      <c r="T375" s="12">
        <v>369</v>
      </c>
      <c r="U375" s="13">
        <f t="shared" si="56"/>
        <v>0.37073724551227294</v>
      </c>
      <c r="V375" s="13">
        <f t="shared" si="62"/>
        <v>4.1918081985205065E-50</v>
      </c>
      <c r="W375" s="13">
        <f t="shared" si="63"/>
        <v>4.1918081985205065E-50</v>
      </c>
      <c r="X375" s="13">
        <v>0</v>
      </c>
      <c r="Y375" s="13">
        <v>0</v>
      </c>
      <c r="Z375" s="13">
        <v>0</v>
      </c>
      <c r="AA375" s="13">
        <f t="shared" si="64"/>
        <v>6.0115445595363873E-8</v>
      </c>
      <c r="AB375" s="13">
        <f t="shared" si="65"/>
        <v>659.99999993988433</v>
      </c>
      <c r="AC375" s="13">
        <f t="shared" si="57"/>
        <v>659.99999999999977</v>
      </c>
      <c r="AD375" s="13">
        <f t="shared" si="58"/>
        <v>4.6118171647119448E-8</v>
      </c>
      <c r="AE375" s="13">
        <f t="shared" si="59"/>
        <v>7.5903340398186736E-12</v>
      </c>
      <c r="AF375" s="13">
        <f t="shared" si="60"/>
        <v>1.4236075070763837E-12</v>
      </c>
      <c r="AG375" s="13">
        <f t="shared" si="61"/>
        <v>1.4236075070763837E-12</v>
      </c>
      <c r="AH375" s="10"/>
      <c r="AI375" s="13">
        <f t="shared" si="55"/>
        <v>1.3440494467369234E-44</v>
      </c>
      <c r="AJ375" s="10"/>
      <c r="AK375" s="10"/>
      <c r="AL375" s="10"/>
      <c r="AM375" s="10"/>
      <c r="AN375" s="10"/>
    </row>
    <row r="376" spans="19:40">
      <c r="S376" s="10"/>
      <c r="T376" s="12">
        <v>370</v>
      </c>
      <c r="U376" s="13">
        <f t="shared" si="56"/>
        <v>0.3710928358437986</v>
      </c>
      <c r="V376" s="13">
        <f t="shared" si="62"/>
        <v>2.6355231600209125E-50</v>
      </c>
      <c r="W376" s="13">
        <f t="shared" si="63"/>
        <v>2.6355231600209125E-50</v>
      </c>
      <c r="X376" s="13">
        <v>0</v>
      </c>
      <c r="Y376" s="13">
        <v>0</v>
      </c>
      <c r="Z376" s="13">
        <v>0</v>
      </c>
      <c r="AA376" s="13">
        <f t="shared" si="64"/>
        <v>5.6330707755074987E-8</v>
      </c>
      <c r="AB376" s="13">
        <f t="shared" si="65"/>
        <v>659.99999994366908</v>
      </c>
      <c r="AC376" s="13">
        <f t="shared" si="57"/>
        <v>659.99999999999977</v>
      </c>
      <c r="AD376" s="13">
        <f t="shared" si="58"/>
        <v>4.3087324780241883E-8</v>
      </c>
      <c r="AE376" s="13">
        <f t="shared" si="59"/>
        <v>7.1124631003882591E-12</v>
      </c>
      <c r="AF376" s="13">
        <f t="shared" si="60"/>
        <v>1.3300492371280274E-12</v>
      </c>
      <c r="AG376" s="13">
        <f t="shared" si="61"/>
        <v>1.3300492371280274E-12</v>
      </c>
      <c r="AH376" s="10"/>
      <c r="AI376" s="13">
        <f t="shared" si="55"/>
        <v>9.2753192898162566E-45</v>
      </c>
      <c r="AJ376" s="10"/>
      <c r="AK376" s="10"/>
      <c r="AL376" s="10"/>
      <c r="AM376" s="10"/>
      <c r="AN376" s="10"/>
    </row>
    <row r="377" spans="19:40">
      <c r="S377" s="10"/>
      <c r="T377" s="12">
        <v>371</v>
      </c>
      <c r="U377" s="13">
        <f t="shared" si="56"/>
        <v>0.37144780609856909</v>
      </c>
      <c r="V377" s="13">
        <f t="shared" si="62"/>
        <v>1.6561017170051183E-50</v>
      </c>
      <c r="W377" s="13">
        <f t="shared" si="63"/>
        <v>1.6561017170051183E-50</v>
      </c>
      <c r="X377" s="13">
        <v>0</v>
      </c>
      <c r="Y377" s="13">
        <v>0</v>
      </c>
      <c r="Z377" s="13">
        <v>0</v>
      </c>
      <c r="AA377" s="13">
        <f t="shared" si="64"/>
        <v>5.2784248786012155E-8</v>
      </c>
      <c r="AB377" s="13">
        <f t="shared" si="65"/>
        <v>659.99999994721554</v>
      </c>
      <c r="AC377" s="13">
        <f t="shared" si="57"/>
        <v>659.99999999999977</v>
      </c>
      <c r="AD377" s="13">
        <f t="shared" si="58"/>
        <v>4.0255662581844896E-8</v>
      </c>
      <c r="AE377" s="13">
        <f t="shared" si="59"/>
        <v>6.6646778770217387E-12</v>
      </c>
      <c r="AF377" s="13">
        <f t="shared" si="60"/>
        <v>1.2426395368045289E-12</v>
      </c>
      <c r="AG377" s="13">
        <f t="shared" si="61"/>
        <v>1.2426395368045289E-12</v>
      </c>
      <c r="AH377" s="10"/>
      <c r="AI377" s="13">
        <f t="shared" si="55"/>
        <v>6.3986476295203168E-45</v>
      </c>
      <c r="AJ377" s="10"/>
      <c r="AK377" s="10"/>
      <c r="AL377" s="10"/>
      <c r="AM377" s="10"/>
      <c r="AN377" s="10"/>
    </row>
    <row r="378" spans="19:40">
      <c r="S378" s="10"/>
      <c r="T378" s="12">
        <v>372</v>
      </c>
      <c r="U378" s="13">
        <f t="shared" si="56"/>
        <v>0.3718021590248764</v>
      </c>
      <c r="V378" s="13">
        <f t="shared" si="62"/>
        <v>1.0400691203949274E-50</v>
      </c>
      <c r="W378" s="13">
        <f t="shared" si="63"/>
        <v>1.0400691203949274E-50</v>
      </c>
      <c r="X378" s="13">
        <v>0</v>
      </c>
      <c r="Y378" s="13">
        <v>0</v>
      </c>
      <c r="Z378" s="13">
        <v>0</v>
      </c>
      <c r="AA378" s="13">
        <f t="shared" si="64"/>
        <v>4.9461067168157699E-8</v>
      </c>
      <c r="AB378" s="13">
        <f t="shared" si="65"/>
        <v>659.99999995053872</v>
      </c>
      <c r="AC378" s="13">
        <f t="shared" si="57"/>
        <v>659.99999999999977</v>
      </c>
      <c r="AD378" s="13">
        <f t="shared" si="58"/>
        <v>3.7610094805571506E-8</v>
      </c>
      <c r="AE378" s="13">
        <f t="shared" si="59"/>
        <v>6.2450842384037513E-12</v>
      </c>
      <c r="AF378" s="13">
        <f t="shared" si="60"/>
        <v>1.1609743273595354E-12</v>
      </c>
      <c r="AG378" s="13">
        <f t="shared" si="61"/>
        <v>1.1609743273595354E-12</v>
      </c>
      <c r="AH378" s="10"/>
      <c r="AI378" s="13">
        <f t="shared" si="55"/>
        <v>4.4125891510434775E-45</v>
      </c>
      <c r="AJ378" s="10"/>
      <c r="AK378" s="10"/>
      <c r="AL378" s="10"/>
      <c r="AM378" s="10"/>
      <c r="AN378" s="10"/>
    </row>
    <row r="379" spans="19:40">
      <c r="S379" s="10"/>
      <c r="T379" s="12">
        <v>373</v>
      </c>
      <c r="U379" s="13">
        <f t="shared" si="56"/>
        <v>0.37215589735148324</v>
      </c>
      <c r="V379" s="13">
        <f t="shared" si="62"/>
        <v>6.5281888418397223E-51</v>
      </c>
      <c r="W379" s="13">
        <f t="shared" si="63"/>
        <v>6.5281888418397223E-51</v>
      </c>
      <c r="X379" s="13">
        <v>0</v>
      </c>
      <c r="Y379" s="13">
        <v>0</v>
      </c>
      <c r="Z379" s="13">
        <v>0</v>
      </c>
      <c r="AA379" s="13">
        <f t="shared" si="64"/>
        <v>4.6347105844600059E-8</v>
      </c>
      <c r="AB379" s="13">
        <f t="shared" si="65"/>
        <v>659.99999995365272</v>
      </c>
      <c r="AC379" s="13">
        <f t="shared" si="57"/>
        <v>659.99999999999977</v>
      </c>
      <c r="AD379" s="13">
        <f t="shared" si="58"/>
        <v>3.5138391484879374E-8</v>
      </c>
      <c r="AE379" s="13">
        <f t="shared" si="59"/>
        <v>5.8519073036111211E-12</v>
      </c>
      <c r="AF379" s="13">
        <f t="shared" si="60"/>
        <v>1.0846760857569171E-12</v>
      </c>
      <c r="AG379" s="13">
        <f t="shared" si="61"/>
        <v>1.0846760857569171E-12</v>
      </c>
      <c r="AH379" s="10"/>
      <c r="AI379" s="13">
        <f t="shared" si="55"/>
        <v>3.0419006898392333E-45</v>
      </c>
      <c r="AJ379" s="10"/>
      <c r="AK379" s="10"/>
      <c r="AL379" s="10"/>
      <c r="AM379" s="10"/>
      <c r="AN379" s="10"/>
    </row>
    <row r="380" spans="19:40">
      <c r="S380" s="10"/>
      <c r="T380" s="12">
        <v>374</v>
      </c>
      <c r="U380" s="13">
        <f t="shared" si="56"/>
        <v>0.37250902378781242</v>
      </c>
      <c r="V380" s="13">
        <f t="shared" si="62"/>
        <v>4.0952348507465489E-51</v>
      </c>
      <c r="W380" s="13">
        <f t="shared" si="63"/>
        <v>4.0952348507465489E-51</v>
      </c>
      <c r="X380" s="13">
        <v>0</v>
      </c>
      <c r="Y380" s="13">
        <v>0</v>
      </c>
      <c r="Z380" s="13">
        <v>0</v>
      </c>
      <c r="AA380" s="13">
        <f t="shared" si="64"/>
        <v>4.342919276018869E-8</v>
      </c>
      <c r="AB380" s="13">
        <f t="shared" si="65"/>
        <v>659.9999999565706</v>
      </c>
      <c r="AC380" s="13">
        <f t="shared" si="57"/>
        <v>659.99999999999977</v>
      </c>
      <c r="AD380" s="13">
        <f t="shared" si="58"/>
        <v>3.2829126396185959E-8</v>
      </c>
      <c r="AE380" s="13">
        <f t="shared" si="59"/>
        <v>5.4834839343672613E-12</v>
      </c>
      <c r="AF380" s="13">
        <f t="shared" si="60"/>
        <v>1.0133920994521675E-12</v>
      </c>
      <c r="AG380" s="13">
        <f t="shared" si="61"/>
        <v>1.0133920994521675E-12</v>
      </c>
      <c r="AH380" s="10"/>
      <c r="AI380" s="13">
        <f t="shared" si="55"/>
        <v>2.0962500028564848E-45</v>
      </c>
      <c r="AJ380" s="10"/>
      <c r="AK380" s="10"/>
      <c r="AL380" s="10"/>
      <c r="AM380" s="10"/>
      <c r="AN380" s="10"/>
    </row>
    <row r="381" spans="19:40">
      <c r="S381" s="10"/>
      <c r="T381" s="12">
        <v>375</v>
      </c>
      <c r="U381" s="13">
        <f t="shared" si="56"/>
        <v>0.37286154102413666</v>
      </c>
      <c r="V381" s="13">
        <f t="shared" si="62"/>
        <v>2.5675611610854322E-51</v>
      </c>
      <c r="W381" s="13">
        <f t="shared" si="63"/>
        <v>2.5675611610854322E-51</v>
      </c>
      <c r="X381" s="13">
        <v>0</v>
      </c>
      <c r="Y381" s="13">
        <v>0</v>
      </c>
      <c r="Z381" s="13">
        <v>0</v>
      </c>
      <c r="AA381" s="13">
        <f t="shared" si="64"/>
        <v>4.0694985143746064E-8</v>
      </c>
      <c r="AB381" s="13">
        <f t="shared" si="65"/>
        <v>659.99999995930477</v>
      </c>
      <c r="AC381" s="13">
        <f t="shared" si="57"/>
        <v>659.99999999999977</v>
      </c>
      <c r="AD381" s="13">
        <f t="shared" si="58"/>
        <v>3.0671624237567269E-8</v>
      </c>
      <c r="AE381" s="13">
        <f t="shared" si="59"/>
        <v>5.1382556999679394E-12</v>
      </c>
      <c r="AF381" s="13">
        <f t="shared" si="60"/>
        <v>9.4679283586807188E-13</v>
      </c>
      <c r="AG381" s="13">
        <f t="shared" si="61"/>
        <v>9.4679283586807188E-13</v>
      </c>
      <c r="AH381" s="10"/>
      <c r="AI381" s="13">
        <f t="shared" si="55"/>
        <v>1.4440688255484635E-45</v>
      </c>
      <c r="AJ381" s="10"/>
      <c r="AK381" s="10"/>
      <c r="AL381" s="10"/>
      <c r="AM381" s="10"/>
      <c r="AN381" s="10"/>
    </row>
    <row r="382" spans="19:40">
      <c r="S382" s="10"/>
      <c r="T382" s="12">
        <v>376</v>
      </c>
      <c r="U382" s="13">
        <f t="shared" si="56"/>
        <v>0.3732134517317644</v>
      </c>
      <c r="V382" s="13">
        <f t="shared" si="62"/>
        <v>1.6088625676712707E-51</v>
      </c>
      <c r="W382" s="13">
        <f t="shared" si="63"/>
        <v>1.6088625676712707E-51</v>
      </c>
      <c r="X382" s="13">
        <v>0</v>
      </c>
      <c r="Y382" s="13">
        <v>0</v>
      </c>
      <c r="Z382" s="13">
        <v>0</v>
      </c>
      <c r="AA382" s="13">
        <f t="shared" si="64"/>
        <v>3.8132917298150527E-8</v>
      </c>
      <c r="AB382" s="13">
        <f t="shared" si="65"/>
        <v>659.99999996186682</v>
      </c>
      <c r="AC382" s="13">
        <f t="shared" si="57"/>
        <v>659.99999999999977</v>
      </c>
      <c r="AD382" s="13">
        <f t="shared" si="58"/>
        <v>2.8655911278827652E-8</v>
      </c>
      <c r="AE382" s="13">
        <f t="shared" si="59"/>
        <v>4.8147622851200177E-12</v>
      </c>
      <c r="AF382" s="13">
        <f t="shared" si="60"/>
        <v>8.8457041902705005E-13</v>
      </c>
      <c r="AG382" s="13">
        <f t="shared" si="61"/>
        <v>8.8457041902704994E-13</v>
      </c>
      <c r="AH382" s="10"/>
      <c r="AI382" s="13">
        <f t="shared" si="55"/>
        <v>9.9444265513740306E-46</v>
      </c>
      <c r="AJ382" s="10"/>
      <c r="AK382" s="10"/>
      <c r="AL382" s="10"/>
      <c r="AM382" s="10"/>
      <c r="AN382" s="10"/>
    </row>
    <row r="383" spans="19:40">
      <c r="S383" s="10"/>
      <c r="T383" s="12">
        <v>377</v>
      </c>
      <c r="U383" s="13">
        <f t="shared" si="56"/>
        <v>0.37356475856322263</v>
      </c>
      <c r="V383" s="13">
        <f t="shared" si="62"/>
        <v>1.0075660918887897E-51</v>
      </c>
      <c r="W383" s="13">
        <f t="shared" si="63"/>
        <v>1.0075660918887897E-51</v>
      </c>
      <c r="X383" s="13">
        <v>0</v>
      </c>
      <c r="Y383" s="13">
        <v>0</v>
      </c>
      <c r="Z383" s="13">
        <v>0</v>
      </c>
      <c r="AA383" s="13">
        <f t="shared" si="64"/>
        <v>3.5732151677442105E-8</v>
      </c>
      <c r="AB383" s="13">
        <f t="shared" si="65"/>
        <v>659.99999996426754</v>
      </c>
      <c r="AC383" s="13">
        <f t="shared" si="57"/>
        <v>659.99999999999966</v>
      </c>
      <c r="AD383" s="13">
        <f t="shared" si="58"/>
        <v>2.6772669254804777E-8</v>
      </c>
      <c r="AE383" s="13">
        <f t="shared" si="59"/>
        <v>4.5116353128083494E-12</v>
      </c>
      <c r="AF383" s="13">
        <f t="shared" si="60"/>
        <v>8.2643720629791626E-13</v>
      </c>
      <c r="AG383" s="13">
        <f t="shared" si="61"/>
        <v>8.2643720629791626E-13</v>
      </c>
      <c r="AH383" s="10"/>
      <c r="AI383" s="13">
        <f t="shared" si="55"/>
        <v>6.8457162608904742E-46</v>
      </c>
      <c r="AJ383" s="10"/>
      <c r="AK383" s="10"/>
      <c r="AL383" s="10"/>
      <c r="AM383" s="10"/>
      <c r="AN383" s="10"/>
    </row>
    <row r="384" spans="19:40">
      <c r="S384" s="10"/>
      <c r="T384" s="12">
        <v>378</v>
      </c>
      <c r="U384" s="13">
        <f t="shared" si="56"/>
        <v>0.37391546415243915</v>
      </c>
      <c r="V384" s="13">
        <f t="shared" si="62"/>
        <v>6.3064486908175173E-52</v>
      </c>
      <c r="W384" s="13">
        <f t="shared" si="63"/>
        <v>6.3064486908175173E-52</v>
      </c>
      <c r="X384" s="13">
        <v>0</v>
      </c>
      <c r="Y384" s="13">
        <v>0</v>
      </c>
      <c r="Z384" s="13">
        <v>0</v>
      </c>
      <c r="AA384" s="13">
        <f t="shared" si="64"/>
        <v>3.3482533044007461E-8</v>
      </c>
      <c r="AB384" s="13">
        <f t="shared" si="65"/>
        <v>659.99999996651718</v>
      </c>
      <c r="AC384" s="13">
        <f t="shared" si="57"/>
        <v>659.99999999999966</v>
      </c>
      <c r="AD384" s="13">
        <f t="shared" si="58"/>
        <v>2.5013192288767182E-8</v>
      </c>
      <c r="AE384" s="13">
        <f t="shared" si="59"/>
        <v>4.2275925560615505E-12</v>
      </c>
      <c r="AF384" s="13">
        <f t="shared" si="60"/>
        <v>7.7212445867762898E-13</v>
      </c>
      <c r="AG384" s="13">
        <f t="shared" si="61"/>
        <v>7.7212445867762898E-13</v>
      </c>
      <c r="AH384" s="10"/>
      <c r="AI384" s="13">
        <f t="shared" si="55"/>
        <v>4.7109186521405421E-46</v>
      </c>
      <c r="AJ384" s="10"/>
      <c r="AK384" s="10"/>
      <c r="AL384" s="10"/>
      <c r="AM384" s="10"/>
      <c r="AN384" s="10"/>
    </row>
    <row r="385" spans="19:40">
      <c r="S385" s="10"/>
      <c r="T385" s="12">
        <v>379</v>
      </c>
      <c r="U385" s="13">
        <f t="shared" si="56"/>
        <v>0.37426557111492137</v>
      </c>
      <c r="V385" s="13">
        <f t="shared" si="62"/>
        <v>3.9450562141600967E-52</v>
      </c>
      <c r="W385" s="13">
        <f t="shared" si="63"/>
        <v>3.9450562141600967E-52</v>
      </c>
      <c r="X385" s="13">
        <v>0</v>
      </c>
      <c r="Y385" s="13">
        <v>0</v>
      </c>
      <c r="Z385" s="13">
        <v>0</v>
      </c>
      <c r="AA385" s="13">
        <f t="shared" si="64"/>
        <v>3.1374545511928832E-8</v>
      </c>
      <c r="AB385" s="13">
        <f t="shared" si="65"/>
        <v>659.99999996862516</v>
      </c>
      <c r="AC385" s="13">
        <f t="shared" si="57"/>
        <v>659.99999999999966</v>
      </c>
      <c r="AD385" s="13">
        <f t="shared" si="58"/>
        <v>2.3369346646769556E-8</v>
      </c>
      <c r="AE385" s="13">
        <f t="shared" si="59"/>
        <v>3.9614325141324299E-12</v>
      </c>
      <c r="AF385" s="13">
        <f t="shared" si="60"/>
        <v>7.213810984609888E-13</v>
      </c>
      <c r="AG385" s="13">
        <f t="shared" si="61"/>
        <v>7.213810984609888E-13</v>
      </c>
      <c r="AH385" s="10"/>
      <c r="AI385" s="13">
        <f t="shared" si="55"/>
        <v>3.2407097501947951E-46</v>
      </c>
      <c r="AJ385" s="10"/>
      <c r="AK385" s="10"/>
      <c r="AL385" s="10"/>
      <c r="AM385" s="10"/>
      <c r="AN385" s="10"/>
    </row>
    <row r="386" spans="19:40">
      <c r="S386" s="10"/>
      <c r="T386" s="12">
        <v>380</v>
      </c>
      <c r="U386" s="13">
        <f t="shared" si="56"/>
        <v>0.37461508204793414</v>
      </c>
      <c r="V386" s="13">
        <f t="shared" si="62"/>
        <v>2.4664868787506937E-52</v>
      </c>
      <c r="W386" s="13">
        <f t="shared" si="63"/>
        <v>2.4664868787506937E-52</v>
      </c>
      <c r="X386" s="13">
        <v>0</v>
      </c>
      <c r="Y386" s="13">
        <v>0</v>
      </c>
      <c r="Z386" s="13">
        <v>0</v>
      </c>
      <c r="AA386" s="13">
        <f t="shared" si="64"/>
        <v>2.939927229479043E-8</v>
      </c>
      <c r="AB386" s="13">
        <f t="shared" si="65"/>
        <v>659.99999997060047</v>
      </c>
      <c r="AC386" s="13">
        <f t="shared" si="57"/>
        <v>659.99999999999977</v>
      </c>
      <c r="AD386" s="13">
        <f t="shared" si="58"/>
        <v>2.1833533136917174E-8</v>
      </c>
      <c r="AE386" s="13">
        <f t="shared" si="59"/>
        <v>3.7120293301503079E-12</v>
      </c>
      <c r="AF386" s="13">
        <f t="shared" si="60"/>
        <v>6.7397254855522199E-13</v>
      </c>
      <c r="AG386" s="13">
        <f t="shared" si="61"/>
        <v>6.7397254855522199E-13</v>
      </c>
      <c r="AH386" s="10"/>
      <c r="AI386" s="13">
        <f t="shared" si="55"/>
        <v>2.228551868872373E-46</v>
      </c>
      <c r="AJ386" s="10"/>
      <c r="AK386" s="10"/>
      <c r="AL386" s="10"/>
      <c r="AM386" s="10"/>
      <c r="AN386" s="10"/>
    </row>
    <row r="387" spans="19:40">
      <c r="S387" s="10"/>
      <c r="T387" s="12">
        <v>381</v>
      </c>
      <c r="U387" s="13">
        <f t="shared" si="56"/>
        <v>0.37496399953067311</v>
      </c>
      <c r="V387" s="13">
        <f t="shared" si="62"/>
        <v>1.5412105876457635E-52</v>
      </c>
      <c r="W387" s="13">
        <f t="shared" si="63"/>
        <v>1.5412105876457635E-52</v>
      </c>
      <c r="X387" s="13">
        <v>0</v>
      </c>
      <c r="Y387" s="13">
        <v>0</v>
      </c>
      <c r="Z387" s="13">
        <v>0</v>
      </c>
      <c r="AA387" s="13">
        <f t="shared" si="64"/>
        <v>2.754835798767547E-8</v>
      </c>
      <c r="AB387" s="13">
        <f t="shared" si="65"/>
        <v>659.99999997245141</v>
      </c>
      <c r="AC387" s="13">
        <f t="shared" si="57"/>
        <v>659.99999999999977</v>
      </c>
      <c r="AD387" s="13">
        <f t="shared" si="58"/>
        <v>2.039865197971878E-8</v>
      </c>
      <c r="AE387" s="13">
        <f t="shared" si="59"/>
        <v>3.4783280287469039E-12</v>
      </c>
      <c r="AF387" s="13">
        <f t="shared" si="60"/>
        <v>6.2967964807381997E-13</v>
      </c>
      <c r="AG387" s="13">
        <f t="shared" si="61"/>
        <v>6.2967964807381997E-13</v>
      </c>
      <c r="AH387" s="10"/>
      <c r="AI387" s="13">
        <f t="shared" si="55"/>
        <v>1.5319821169439245E-46</v>
      </c>
      <c r="AJ387" s="10"/>
      <c r="AK387" s="10"/>
      <c r="AL387" s="10"/>
      <c r="AM387" s="10"/>
      <c r="AN387" s="10"/>
    </row>
    <row r="388" spans="19:40">
      <c r="S388" s="10"/>
      <c r="T388" s="12">
        <v>382</v>
      </c>
      <c r="U388" s="13">
        <f t="shared" si="56"/>
        <v>0.37531232612443943</v>
      </c>
      <c r="V388" s="13">
        <f t="shared" si="62"/>
        <v>9.6250500080807461E-53</v>
      </c>
      <c r="W388" s="13">
        <f t="shared" si="63"/>
        <v>9.6250500080807461E-53</v>
      </c>
      <c r="X388" s="13">
        <v>0</v>
      </c>
      <c r="Y388" s="13">
        <v>0</v>
      </c>
      <c r="Z388" s="13">
        <v>0</v>
      </c>
      <c r="AA388" s="13">
        <f t="shared" si="64"/>
        <v>2.5813973223806718E-8</v>
      </c>
      <c r="AB388" s="13">
        <f t="shared" si="65"/>
        <v>659.99999997418581</v>
      </c>
      <c r="AC388" s="13">
        <f t="shared" si="57"/>
        <v>659.99999999999977</v>
      </c>
      <c r="AD388" s="13">
        <f t="shared" si="58"/>
        <v>1.9058069987129794E-8</v>
      </c>
      <c r="AE388" s="13">
        <f t="shared" si="59"/>
        <v>3.2593400535109505E-12</v>
      </c>
      <c r="AF388" s="13">
        <f t="shared" si="60"/>
        <v>5.8829763919662486E-13</v>
      </c>
      <c r="AG388" s="13">
        <f t="shared" si="61"/>
        <v>5.8829763919662486E-13</v>
      </c>
      <c r="AH388" s="10"/>
      <c r="AI388" s="13">
        <f t="shared" si="55"/>
        <v>1.0527693688991809E-46</v>
      </c>
      <c r="AJ388" s="10"/>
      <c r="AK388" s="10"/>
      <c r="AL388" s="10"/>
      <c r="AM388" s="10"/>
      <c r="AN388" s="10"/>
    </row>
    <row r="389" spans="19:40">
      <c r="S389" s="10"/>
      <c r="T389" s="12">
        <v>383</v>
      </c>
      <c r="U389" s="13">
        <f t="shared" si="56"/>
        <v>0.37566006437280847</v>
      </c>
      <c r="V389" s="13">
        <f t="shared" si="62"/>
        <v>6.0076153195571913E-53</v>
      </c>
      <c r="W389" s="13">
        <f t="shared" si="63"/>
        <v>6.0076153195571913E-53</v>
      </c>
      <c r="X389" s="13">
        <v>0</v>
      </c>
      <c r="Y389" s="13">
        <v>0</v>
      </c>
      <c r="Z389" s="13">
        <v>0</v>
      </c>
      <c r="AA389" s="13">
        <f t="shared" si="64"/>
        <v>2.4188781556328168E-8</v>
      </c>
      <c r="AB389" s="13">
        <f t="shared" si="65"/>
        <v>659.99999997581097</v>
      </c>
      <c r="AC389" s="13">
        <f t="shared" si="57"/>
        <v>659.99999999999977</v>
      </c>
      <c r="AD389" s="13">
        <f t="shared" si="58"/>
        <v>1.7805589898560763E-8</v>
      </c>
      <c r="AE389" s="13">
        <f t="shared" si="59"/>
        <v>3.0541390853949716E-12</v>
      </c>
      <c r="AF389" s="13">
        <f t="shared" si="60"/>
        <v>5.49635220612606E-13</v>
      </c>
      <c r="AG389" s="13">
        <f t="shared" si="61"/>
        <v>5.49635220612606E-13</v>
      </c>
      <c r="AH389" s="10"/>
      <c r="AI389" s="13">
        <f t="shared" si="55"/>
        <v>7.2320536038367985E-47</v>
      </c>
      <c r="AJ389" s="10"/>
      <c r="AK389" s="10"/>
      <c r="AL389" s="10"/>
      <c r="AM389" s="10"/>
      <c r="AN389" s="10"/>
    </row>
    <row r="390" spans="19:40">
      <c r="S390" s="10"/>
      <c r="T390" s="12">
        <v>384</v>
      </c>
      <c r="U390" s="13">
        <f t="shared" si="56"/>
        <v>0.37600721680180005</v>
      </c>
      <c r="V390" s="13">
        <f t="shared" si="62"/>
        <v>3.7476551493277757E-53</v>
      </c>
      <c r="W390" s="13">
        <f t="shared" si="63"/>
        <v>3.7476551493277757E-53</v>
      </c>
      <c r="X390" s="13">
        <v>0</v>
      </c>
      <c r="Y390" s="13">
        <v>0</v>
      </c>
      <c r="Z390" s="13">
        <v>0</v>
      </c>
      <c r="AA390" s="13">
        <f t="shared" si="64"/>
        <v>2.266590842513778E-8</v>
      </c>
      <c r="AB390" s="13">
        <f t="shared" si="65"/>
        <v>659.9999999773338</v>
      </c>
      <c r="AC390" s="13">
        <f t="shared" si="57"/>
        <v>659.99999999999966</v>
      </c>
      <c r="AD390" s="13">
        <f t="shared" si="58"/>
        <v>1.6635421732097252E-8</v>
      </c>
      <c r="AE390" s="13">
        <f t="shared" si="59"/>
        <v>2.861857124386085E-12</v>
      </c>
      <c r="AF390" s="13">
        <f t="shared" si="60"/>
        <v>5.1351366316956908E-13</v>
      </c>
      <c r="AG390" s="13">
        <f t="shared" si="61"/>
        <v>5.1351366316956908E-13</v>
      </c>
      <c r="AH390" s="10"/>
      <c r="AI390" s="13">
        <f t="shared" ref="AI390:AI453" si="66">EXP(-lambda_pacl*(T390^gamma_pacl))</f>
        <v>4.9663707689964406E-47</v>
      </c>
      <c r="AJ390" s="10"/>
      <c r="AK390" s="10"/>
      <c r="AL390" s="10"/>
      <c r="AM390" s="10"/>
      <c r="AN390" s="10"/>
    </row>
    <row r="391" spans="19:40">
      <c r="S391" s="10"/>
      <c r="T391" s="12">
        <v>385</v>
      </c>
      <c r="U391" s="13">
        <f t="shared" ref="U391:U454" si="67">gamma_pacl*lambda_pacl*T391^(gamma_pacl-1)</f>
        <v>0.37635378592004376</v>
      </c>
      <c r="V391" s="13">
        <f t="shared" si="62"/>
        <v>2.3365537823971485E-53</v>
      </c>
      <c r="W391" s="13">
        <f t="shared" si="63"/>
        <v>2.3365537823971485E-53</v>
      </c>
      <c r="X391" s="13">
        <v>0</v>
      </c>
      <c r="Y391" s="13">
        <v>0</v>
      </c>
      <c r="Z391" s="13">
        <v>0</v>
      </c>
      <c r="AA391" s="13">
        <f t="shared" si="64"/>
        <v>2.1238912077501004E-8</v>
      </c>
      <c r="AB391" s="13">
        <f t="shared" si="65"/>
        <v>659.9999999787608</v>
      </c>
      <c r="AC391" s="13">
        <f t="shared" ref="AC391:AC454" si="68">V391+AA391+AB391</f>
        <v>659.99999999999966</v>
      </c>
      <c r="AD391" s="13">
        <f t="shared" ref="AD391:AD454" si="69">(V391*cPFS_PALB_after+AA391*cP)/AC391/(1+rdis_Month)^T390</f>
        <v>1.5542156018492947E-8</v>
      </c>
      <c r="AE391" s="13">
        <f t="shared" ref="AE391:AE454" si="70">(V391+AA391)/AC391/12</f>
        <v>2.6816808178662898E-12</v>
      </c>
      <c r="AF391" s="13">
        <f t="shared" ref="AF391:AF454" si="71">(V391*uS+AA391*uP)/AC391/12/(1+rdis_Month)^T390</f>
        <v>4.7976598364260941E-13</v>
      </c>
      <c r="AG391" s="13">
        <f t="shared" ref="AG391:AG454" si="72">(W391*uS/12+X391*(uS+duAE1_PALB)/12+Y391*(uS/12+duAE2_PALB)/12+Z391*(uS+duAE3_PALB)/12+AA391*uP/12)/AC391/(1+rdis_Month)^T390</f>
        <v>4.7976598364260941E-13</v>
      </c>
      <c r="AH391" s="10"/>
      <c r="AI391" s="13">
        <f t="shared" si="66"/>
        <v>3.4093061514052691E-47</v>
      </c>
      <c r="AJ391" s="10"/>
      <c r="AK391" s="10"/>
      <c r="AL391" s="10"/>
      <c r="AM391" s="10"/>
      <c r="AN391" s="10"/>
    </row>
    <row r="392" spans="19:40">
      <c r="S392" s="10"/>
      <c r="T392" s="12">
        <v>386</v>
      </c>
      <c r="U392" s="13">
        <f t="shared" si="67"/>
        <v>0.37669977421894407</v>
      </c>
      <c r="V392" s="13">
        <f t="shared" ref="V392:V455" si="73">SUM(W392:Z392)</f>
        <v>1.4559647780376052E-53</v>
      </c>
      <c r="W392" s="13">
        <f t="shared" ref="W392:W455" si="74">(1-($Q$13+U392))*W391</f>
        <v>1.4559647780376052E-53</v>
      </c>
      <c r="X392" s="13">
        <v>0</v>
      </c>
      <c r="Y392" s="13">
        <v>0</v>
      </c>
      <c r="Z392" s="13">
        <v>0</v>
      </c>
      <c r="AA392" s="13">
        <f t="shared" ref="AA392:AA455" si="75">(1-$Q$17)*AA391+(U392*W391)</f>
        <v>1.9901756319439286E-8</v>
      </c>
      <c r="AB392" s="13">
        <f t="shared" ref="AB392:AB455" si="76">(AB391*1)+(AA391*$Q$17)+(W391*$Q$13)</f>
        <v>659.99999998009798</v>
      </c>
      <c r="AC392" s="13">
        <f t="shared" si="68"/>
        <v>659.99999999999977</v>
      </c>
      <c r="AD392" s="13">
        <f t="shared" si="69"/>
        <v>1.4520738794202052E-8</v>
      </c>
      <c r="AE392" s="13">
        <f t="shared" si="70"/>
        <v>2.512848020131224E-12</v>
      </c>
      <c r="AF392" s="13">
        <f t="shared" si="71"/>
        <v>4.4823617280180027E-13</v>
      </c>
      <c r="AG392" s="13">
        <f t="shared" si="72"/>
        <v>4.4823617280180027E-13</v>
      </c>
      <c r="AH392" s="10"/>
      <c r="AI392" s="13">
        <f t="shared" si="66"/>
        <v>2.3396046627712991E-47</v>
      </c>
      <c r="AJ392" s="10"/>
      <c r="AK392" s="10"/>
      <c r="AL392" s="10"/>
      <c r="AM392" s="10"/>
      <c r="AN392" s="10"/>
    </row>
    <row r="393" spans="19:40">
      <c r="S393" s="10"/>
      <c r="T393" s="12">
        <v>387</v>
      </c>
      <c r="U393" s="13">
        <f t="shared" si="67"/>
        <v>0.377045184172843</v>
      </c>
      <c r="V393" s="13">
        <f t="shared" si="73"/>
        <v>9.0674496213425915E-54</v>
      </c>
      <c r="W393" s="13">
        <f t="shared" si="74"/>
        <v>9.0674496213425915E-54</v>
      </c>
      <c r="X393" s="13">
        <v>0</v>
      </c>
      <c r="Y393" s="13">
        <v>0</v>
      </c>
      <c r="Z393" s="13">
        <v>0</v>
      </c>
      <c r="AA393" s="13">
        <f t="shared" si="75"/>
        <v>1.8648784982631975E-8</v>
      </c>
      <c r="AB393" s="13">
        <f t="shared" si="76"/>
        <v>659.99999998135092</v>
      </c>
      <c r="AC393" s="13">
        <f t="shared" si="68"/>
        <v>659.99999999999966</v>
      </c>
      <c r="AD393" s="13">
        <f t="shared" si="69"/>
        <v>1.3566448237848148E-8</v>
      </c>
      <c r="AE393" s="13">
        <f t="shared" si="70"/>
        <v>2.3546445685141394E-12</v>
      </c>
      <c r="AF393" s="13">
        <f t="shared" si="71"/>
        <v>4.187784742106123E-13</v>
      </c>
      <c r="AG393" s="13">
        <f t="shared" si="72"/>
        <v>4.1877847421061225E-13</v>
      </c>
      <c r="AH393" s="10"/>
      <c r="AI393" s="13">
        <f t="shared" si="66"/>
        <v>1.6049770224902317E-47</v>
      </c>
      <c r="AJ393" s="10"/>
      <c r="AK393" s="10"/>
      <c r="AL393" s="10"/>
      <c r="AM393" s="10"/>
      <c r="AN393" s="10"/>
    </row>
    <row r="394" spans="19:40">
      <c r="S394" s="10"/>
      <c r="T394" s="12">
        <v>388</v>
      </c>
      <c r="U394" s="13">
        <f t="shared" si="67"/>
        <v>0.3773900182391805</v>
      </c>
      <c r="V394" s="13">
        <f t="shared" si="73"/>
        <v>5.6438946374524702E-54</v>
      </c>
      <c r="W394" s="13">
        <f t="shared" si="74"/>
        <v>5.6438946374524702E-54</v>
      </c>
      <c r="X394" s="13">
        <v>0</v>
      </c>
      <c r="Y394" s="13">
        <v>0</v>
      </c>
      <c r="Z394" s="13">
        <v>0</v>
      </c>
      <c r="AA394" s="13">
        <f t="shared" si="75"/>
        <v>1.7474697998826574E-8</v>
      </c>
      <c r="AB394" s="13">
        <f t="shared" si="76"/>
        <v>659.99999998252497</v>
      </c>
      <c r="AC394" s="13">
        <f t="shared" si="68"/>
        <v>659.99999999999966</v>
      </c>
      <c r="AD394" s="13">
        <f t="shared" si="69"/>
        <v>1.2674872842124345E-8</v>
      </c>
      <c r="AE394" s="13">
        <f t="shared" si="70"/>
        <v>2.2064012624781038E-12</v>
      </c>
      <c r="AF394" s="13">
        <f t="shared" si="71"/>
        <v>3.9125671042108263E-13</v>
      </c>
      <c r="AG394" s="13">
        <f t="shared" si="72"/>
        <v>3.9125671042108263E-13</v>
      </c>
      <c r="AH394" s="10"/>
      <c r="AI394" s="13">
        <f t="shared" si="66"/>
        <v>1.1006399585979304E-47</v>
      </c>
      <c r="AJ394" s="10"/>
      <c r="AK394" s="10"/>
      <c r="AL394" s="10"/>
      <c r="AM394" s="10"/>
      <c r="AN394" s="10"/>
    </row>
    <row r="395" spans="19:40">
      <c r="S395" s="10"/>
      <c r="T395" s="12">
        <v>389</v>
      </c>
      <c r="U395" s="13">
        <f t="shared" si="67"/>
        <v>0.37773427885865291</v>
      </c>
      <c r="V395" s="13">
        <f t="shared" si="73"/>
        <v>3.5110124918828254E-54</v>
      </c>
      <c r="W395" s="13">
        <f t="shared" si="74"/>
        <v>3.5110124918828254E-54</v>
      </c>
      <c r="X395" s="13">
        <v>0</v>
      </c>
      <c r="Y395" s="13">
        <v>0</v>
      </c>
      <c r="Z395" s="13">
        <v>0</v>
      </c>
      <c r="AA395" s="13">
        <f t="shared" si="75"/>
        <v>1.6374528980552178E-8</v>
      </c>
      <c r="AB395" s="13">
        <f t="shared" si="76"/>
        <v>659.99999998362512</v>
      </c>
      <c r="AC395" s="13">
        <f t="shared" si="68"/>
        <v>659.99999999999966</v>
      </c>
      <c r="AD395" s="13">
        <f t="shared" si="69"/>
        <v>1.1841891020217635E-8</v>
      </c>
      <c r="AE395" s="13">
        <f t="shared" si="70"/>
        <v>2.0674910328980032E-12</v>
      </c>
      <c r="AF395" s="13">
        <f t="shared" si="71"/>
        <v>3.6554365345086722E-13</v>
      </c>
      <c r="AG395" s="13">
        <f t="shared" si="72"/>
        <v>3.6554365345086722E-13</v>
      </c>
      <c r="AH395" s="10"/>
      <c r="AI395" s="13">
        <f t="shared" si="66"/>
        <v>7.5452233030019197E-48</v>
      </c>
      <c r="AJ395" s="10"/>
      <c r="AK395" s="10"/>
      <c r="AL395" s="10"/>
      <c r="AM395" s="10"/>
      <c r="AN395" s="10"/>
    </row>
    <row r="396" spans="19:40">
      <c r="S396" s="10"/>
      <c r="T396" s="12">
        <v>390</v>
      </c>
      <c r="U396" s="13">
        <f t="shared" si="67"/>
        <v>0.37807796845537012</v>
      </c>
      <c r="V396" s="13">
        <f t="shared" si="73"/>
        <v>2.1829603546088167E-54</v>
      </c>
      <c r="W396" s="13">
        <f t="shared" si="74"/>
        <v>2.1829603546088167E-54</v>
      </c>
      <c r="X396" s="13">
        <v>0</v>
      </c>
      <c r="Y396" s="13">
        <v>0</v>
      </c>
      <c r="Z396" s="13">
        <v>0</v>
      </c>
      <c r="AA396" s="13">
        <f t="shared" si="75"/>
        <v>1.5343624213302442E-8</v>
      </c>
      <c r="AB396" s="13">
        <f t="shared" si="76"/>
        <v>659.99999998465603</v>
      </c>
      <c r="AC396" s="13">
        <f t="shared" si="68"/>
        <v>659.99999999999966</v>
      </c>
      <c r="AD396" s="13">
        <f t="shared" si="69"/>
        <v>1.1063652052481504E-8</v>
      </c>
      <c r="AE396" s="13">
        <f t="shared" si="70"/>
        <v>1.9373262895583901E-12</v>
      </c>
      <c r="AF396" s="13">
        <f t="shared" si="71"/>
        <v>3.415204366319989E-13</v>
      </c>
      <c r="AG396" s="13">
        <f t="shared" si="72"/>
        <v>3.41520436631999E-13</v>
      </c>
      <c r="AH396" s="10"/>
      <c r="AI396" s="13">
        <f t="shared" si="66"/>
        <v>5.1707022798831898E-48</v>
      </c>
      <c r="AJ396" s="10"/>
      <c r="AK396" s="10"/>
      <c r="AL396" s="10"/>
      <c r="AM396" s="10"/>
      <c r="AN396" s="10"/>
    </row>
    <row r="397" spans="19:40">
      <c r="S397" s="10"/>
      <c r="T397" s="12">
        <v>391</v>
      </c>
      <c r="U397" s="13">
        <f t="shared" si="67"/>
        <v>0.37842108943701069</v>
      </c>
      <c r="V397" s="13">
        <f t="shared" si="73"/>
        <v>1.356499330032145E-54</v>
      </c>
      <c r="W397" s="13">
        <f t="shared" si="74"/>
        <v>1.356499330032145E-54</v>
      </c>
      <c r="X397" s="13">
        <v>0</v>
      </c>
      <c r="Y397" s="13">
        <v>0</v>
      </c>
      <c r="Z397" s="13">
        <v>0</v>
      </c>
      <c r="AA397" s="13">
        <f t="shared" si="75"/>
        <v>1.4377622970325096E-8</v>
      </c>
      <c r="AB397" s="13">
        <f t="shared" si="76"/>
        <v>659.99999998562203</v>
      </c>
      <c r="AC397" s="13">
        <f t="shared" si="68"/>
        <v>659.99999999999966</v>
      </c>
      <c r="AD397" s="13">
        <f t="shared" si="69"/>
        <v>1.0336558285277021E-8</v>
      </c>
      <c r="AE397" s="13">
        <f t="shared" si="70"/>
        <v>1.815356435647109E-12</v>
      </c>
      <c r="AF397" s="13">
        <f t="shared" si="71"/>
        <v>3.1907600511244627E-13</v>
      </c>
      <c r="AG397" s="13">
        <f t="shared" si="72"/>
        <v>3.1907600511244627E-13</v>
      </c>
      <c r="AH397" s="10"/>
      <c r="AI397" s="13">
        <f t="shared" si="66"/>
        <v>3.5422387431149779E-48</v>
      </c>
      <c r="AJ397" s="10"/>
      <c r="AK397" s="10"/>
      <c r="AL397" s="10"/>
      <c r="AM397" s="10"/>
      <c r="AN397" s="10"/>
    </row>
    <row r="398" spans="19:40">
      <c r="S398" s="10"/>
      <c r="T398" s="12">
        <v>392</v>
      </c>
      <c r="U398" s="13">
        <f t="shared" si="67"/>
        <v>0.37876364419497394</v>
      </c>
      <c r="V398" s="13">
        <f t="shared" si="73"/>
        <v>8.424688340023739E-55</v>
      </c>
      <c r="W398" s="13">
        <f t="shared" si="74"/>
        <v>8.424688340023739E-55</v>
      </c>
      <c r="X398" s="13">
        <v>0</v>
      </c>
      <c r="Y398" s="13">
        <v>0</v>
      </c>
      <c r="Z398" s="13">
        <v>0</v>
      </c>
      <c r="AA398" s="13">
        <f t="shared" si="75"/>
        <v>1.3472439066749529E-8</v>
      </c>
      <c r="AB398" s="13">
        <f t="shared" si="76"/>
        <v>659.9999999865272</v>
      </c>
      <c r="AC398" s="13">
        <f t="shared" si="68"/>
        <v>659.99999999999966</v>
      </c>
      <c r="AD398" s="13">
        <f t="shared" si="69"/>
        <v>9.6572484996908874E-9</v>
      </c>
      <c r="AE398" s="13">
        <f t="shared" si="70"/>
        <v>1.7010655387310021E-12</v>
      </c>
      <c r="AF398" s="13">
        <f t="shared" si="71"/>
        <v>2.9810660247023912E-13</v>
      </c>
      <c r="AG398" s="13">
        <f t="shared" si="72"/>
        <v>2.9810660247023912E-13</v>
      </c>
      <c r="AH398" s="10"/>
      <c r="AI398" s="13">
        <f t="shared" si="66"/>
        <v>2.4258125166054486E-48</v>
      </c>
      <c r="AJ398" s="10"/>
      <c r="AK398" s="10"/>
      <c r="AL398" s="10"/>
      <c r="AM398" s="10"/>
      <c r="AN398" s="10"/>
    </row>
    <row r="399" spans="19:40">
      <c r="S399" s="10"/>
      <c r="T399" s="12">
        <v>393</v>
      </c>
      <c r="U399" s="13">
        <f t="shared" si="67"/>
        <v>0.37910563510453282</v>
      </c>
      <c r="V399" s="13">
        <f t="shared" si="73"/>
        <v>5.2293642206317885E-55</v>
      </c>
      <c r="W399" s="13">
        <f t="shared" si="74"/>
        <v>5.2293642206317885E-55</v>
      </c>
      <c r="X399" s="13">
        <v>0</v>
      </c>
      <c r="Y399" s="13">
        <v>0</v>
      </c>
      <c r="Z399" s="13">
        <v>0</v>
      </c>
      <c r="AA399" s="13">
        <f t="shared" si="75"/>
        <v>1.2624243575026424E-8</v>
      </c>
      <c r="AB399" s="13">
        <f t="shared" si="76"/>
        <v>659.99999998737542</v>
      </c>
      <c r="AC399" s="13">
        <f t="shared" si="68"/>
        <v>659.99999999999966</v>
      </c>
      <c r="AD399" s="13">
        <f t="shared" si="69"/>
        <v>9.0225823732471195E-9</v>
      </c>
      <c r="AE399" s="13">
        <f t="shared" si="70"/>
        <v>1.5939701483619229E-12</v>
      </c>
      <c r="AF399" s="13">
        <f t="shared" si="71"/>
        <v>2.7851529106687673E-13</v>
      </c>
      <c r="AG399" s="13">
        <f t="shared" si="72"/>
        <v>2.7851529106687673E-13</v>
      </c>
      <c r="AH399" s="10"/>
      <c r="AI399" s="13">
        <f t="shared" si="66"/>
        <v>1.6606877771179524E-48</v>
      </c>
      <c r="AJ399" s="10"/>
      <c r="AK399" s="10"/>
      <c r="AL399" s="10"/>
      <c r="AM399" s="10"/>
      <c r="AN399" s="10"/>
    </row>
    <row r="400" spans="19:40">
      <c r="S400" s="10"/>
      <c r="T400" s="12">
        <v>394</v>
      </c>
      <c r="U400" s="13">
        <f t="shared" si="67"/>
        <v>0.37944706452498145</v>
      </c>
      <c r="V400" s="13">
        <f t="shared" si="73"/>
        <v>3.2441803322606567E-55</v>
      </c>
      <c r="W400" s="13">
        <f t="shared" si="74"/>
        <v>3.2441803322606567E-55</v>
      </c>
      <c r="X400" s="13">
        <v>0</v>
      </c>
      <c r="Y400" s="13">
        <v>0</v>
      </c>
      <c r="Z400" s="13">
        <v>0</v>
      </c>
      <c r="AA400" s="13">
        <f t="shared" si="75"/>
        <v>1.1829448628565758E-8</v>
      </c>
      <c r="AB400" s="13">
        <f t="shared" si="76"/>
        <v>659.9999999881702</v>
      </c>
      <c r="AC400" s="13">
        <f t="shared" si="68"/>
        <v>659.99999999999966</v>
      </c>
      <c r="AD400" s="13">
        <f t="shared" si="69"/>
        <v>8.4296259627817709E-9</v>
      </c>
      <c r="AE400" s="13">
        <f t="shared" si="70"/>
        <v>1.4936172510815359E-12</v>
      </c>
      <c r="AF400" s="13">
        <f t="shared" si="71"/>
        <v>2.6021150392269879E-13</v>
      </c>
      <c r="AG400" s="13">
        <f t="shared" si="72"/>
        <v>2.6021150392269879E-13</v>
      </c>
      <c r="AH400" s="10"/>
      <c r="AI400" s="13">
        <f t="shared" si="66"/>
        <v>1.1365023631349698E-48</v>
      </c>
      <c r="AJ400" s="10"/>
      <c r="AK400" s="10"/>
      <c r="AL400" s="10"/>
      <c r="AM400" s="10"/>
      <c r="AN400" s="10"/>
    </row>
    <row r="401" spans="19:40">
      <c r="S401" s="10"/>
      <c r="T401" s="12">
        <v>395</v>
      </c>
      <c r="U401" s="13">
        <f t="shared" si="67"/>
        <v>0.37978793479978473</v>
      </c>
      <c r="V401" s="13">
        <f t="shared" si="73"/>
        <v>2.0115109064931155E-55</v>
      </c>
      <c r="W401" s="13">
        <f t="shared" si="74"/>
        <v>2.0115109064931155E-55</v>
      </c>
      <c r="X401" s="13">
        <v>0</v>
      </c>
      <c r="Y401" s="13">
        <v>0</v>
      </c>
      <c r="Z401" s="13">
        <v>0</v>
      </c>
      <c r="AA401" s="13">
        <f t="shared" si="75"/>
        <v>1.1084692245062562E-8</v>
      </c>
      <c r="AB401" s="13">
        <f t="shared" si="76"/>
        <v>659.99999998891496</v>
      </c>
      <c r="AC401" s="13">
        <f t="shared" si="68"/>
        <v>659.99999999999966</v>
      </c>
      <c r="AD401" s="13">
        <f t="shared" si="69"/>
        <v>7.8756381413707593E-9</v>
      </c>
      <c r="AE401" s="13">
        <f t="shared" si="70"/>
        <v>1.3995823541745666E-12</v>
      </c>
      <c r="AF401" s="13">
        <f t="shared" si="71"/>
        <v>2.4311062604262634E-13</v>
      </c>
      <c r="AG401" s="13">
        <f t="shared" si="72"/>
        <v>2.4311062604262634E-13</v>
      </c>
      <c r="AH401" s="10"/>
      <c r="AI401" s="13">
        <f t="shared" si="66"/>
        <v>7.7750741146523982E-49</v>
      </c>
      <c r="AJ401" s="10"/>
      <c r="AK401" s="10"/>
      <c r="AL401" s="10"/>
      <c r="AM401" s="10"/>
      <c r="AN401" s="10"/>
    </row>
    <row r="402" spans="19:40">
      <c r="S402" s="10"/>
      <c r="T402" s="12">
        <v>396</v>
      </c>
      <c r="U402" s="13">
        <f t="shared" si="67"/>
        <v>0.38012824825672292</v>
      </c>
      <c r="V402" s="13">
        <f t="shared" si="73"/>
        <v>1.2465260644726316E-55</v>
      </c>
      <c r="W402" s="13">
        <f t="shared" si="74"/>
        <v>1.2465260644726316E-55</v>
      </c>
      <c r="X402" s="13">
        <v>0</v>
      </c>
      <c r="Y402" s="13">
        <v>0</v>
      </c>
      <c r="Z402" s="13">
        <v>0</v>
      </c>
      <c r="AA402" s="13">
        <f t="shared" si="75"/>
        <v>1.0386824105313126E-8</v>
      </c>
      <c r="AB402" s="13">
        <f t="shared" si="76"/>
        <v>659.99999998961289</v>
      </c>
      <c r="AC402" s="13">
        <f t="shared" si="68"/>
        <v>659.99999999999966</v>
      </c>
      <c r="AD402" s="13">
        <f t="shared" si="69"/>
        <v>7.3580579266111843E-9</v>
      </c>
      <c r="AE402" s="13">
        <f t="shared" si="70"/>
        <v>1.3114676900647893E-12</v>
      </c>
      <c r="AF402" s="13">
        <f t="shared" si="71"/>
        <v>2.2713360325681611E-13</v>
      </c>
      <c r="AG402" s="13">
        <f t="shared" si="72"/>
        <v>2.2713360325681613E-13</v>
      </c>
      <c r="AH402" s="10"/>
      <c r="AI402" s="13">
        <f t="shared" si="66"/>
        <v>5.317295729638328E-49</v>
      </c>
      <c r="AJ402" s="10"/>
      <c r="AK402" s="10"/>
      <c r="AL402" s="10"/>
      <c r="AM402" s="10"/>
      <c r="AN402" s="10"/>
    </row>
    <row r="403" spans="19:40">
      <c r="S403" s="10"/>
      <c r="T403" s="12">
        <v>397</v>
      </c>
      <c r="U403" s="13">
        <f t="shared" si="67"/>
        <v>0.38046800720803692</v>
      </c>
      <c r="V403" s="13">
        <f t="shared" si="73"/>
        <v>7.7204419451029861E-56</v>
      </c>
      <c r="W403" s="13">
        <f t="shared" si="74"/>
        <v>7.7204419451029861E-56</v>
      </c>
      <c r="X403" s="13">
        <v>0</v>
      </c>
      <c r="Y403" s="13">
        <v>0</v>
      </c>
      <c r="Z403" s="13">
        <v>0</v>
      </c>
      <c r="AA403" s="13">
        <f t="shared" si="75"/>
        <v>9.7328922273660204E-9</v>
      </c>
      <c r="AB403" s="13">
        <f t="shared" si="76"/>
        <v>659.99999999026682</v>
      </c>
      <c r="AC403" s="13">
        <f t="shared" si="68"/>
        <v>659.99999999999966</v>
      </c>
      <c r="AD403" s="13">
        <f t="shared" si="69"/>
        <v>6.874492641677213E-9</v>
      </c>
      <c r="AE403" s="13">
        <f t="shared" si="70"/>
        <v>1.2289005337583366E-12</v>
      </c>
      <c r="AF403" s="13">
        <f t="shared" si="71"/>
        <v>2.1220657676797371E-13</v>
      </c>
      <c r="AG403" s="13">
        <f t="shared" si="72"/>
        <v>2.1220657676797371E-13</v>
      </c>
      <c r="AH403" s="10"/>
      <c r="AI403" s="13">
        <f t="shared" si="66"/>
        <v>3.6352092649295532E-49</v>
      </c>
      <c r="AJ403" s="10"/>
      <c r="AK403" s="10"/>
      <c r="AL403" s="10"/>
      <c r="AM403" s="10"/>
      <c r="AN403" s="10"/>
    </row>
    <row r="404" spans="19:40">
      <c r="S404" s="10"/>
      <c r="T404" s="12">
        <v>398</v>
      </c>
      <c r="U404" s="13">
        <f t="shared" si="67"/>
        <v>0.38080721395057032</v>
      </c>
      <c r="V404" s="13">
        <f t="shared" si="73"/>
        <v>4.7790881536597116E-56</v>
      </c>
      <c r="W404" s="13">
        <f t="shared" si="74"/>
        <v>4.7790881536597116E-56</v>
      </c>
      <c r="X404" s="13">
        <v>0</v>
      </c>
      <c r="Y404" s="13">
        <v>0</v>
      </c>
      <c r="Z404" s="13">
        <v>0</v>
      </c>
      <c r="AA404" s="13">
        <f t="shared" si="75"/>
        <v>9.1201304796396327E-9</v>
      </c>
      <c r="AB404" s="13">
        <f t="shared" si="76"/>
        <v>659.99999999087959</v>
      </c>
      <c r="AC404" s="13">
        <f t="shared" si="68"/>
        <v>659.99999999999977</v>
      </c>
      <c r="AD404" s="13">
        <f t="shared" si="69"/>
        <v>6.4227068544212339E-9</v>
      </c>
      <c r="AE404" s="13">
        <f t="shared" si="70"/>
        <v>1.1515316262171258E-12</v>
      </c>
      <c r="AF404" s="13">
        <f t="shared" si="71"/>
        <v>1.9826054171590554E-13</v>
      </c>
      <c r="AG404" s="13">
        <f t="shared" si="72"/>
        <v>1.9826054171590549E-13</v>
      </c>
      <c r="AH404" s="10"/>
      <c r="AI404" s="13">
        <f t="shared" si="66"/>
        <v>2.4843946351136901E-49</v>
      </c>
      <c r="AJ404" s="10"/>
      <c r="AK404" s="10"/>
      <c r="AL404" s="10"/>
      <c r="AM404" s="10"/>
      <c r="AN404" s="10"/>
    </row>
    <row r="405" spans="19:40">
      <c r="S405" s="10"/>
      <c r="T405" s="12">
        <v>399</v>
      </c>
      <c r="U405" s="13">
        <f t="shared" si="67"/>
        <v>0.38114587076591006</v>
      </c>
      <c r="V405" s="13">
        <f t="shared" si="73"/>
        <v>2.956720409675059E-56</v>
      </c>
      <c r="W405" s="13">
        <f t="shared" si="74"/>
        <v>2.956720409675059E-56</v>
      </c>
      <c r="X405" s="13">
        <v>0</v>
      </c>
      <c r="Y405" s="13">
        <v>0</v>
      </c>
      <c r="Z405" s="13">
        <v>0</v>
      </c>
      <c r="AA405" s="13">
        <f t="shared" si="75"/>
        <v>8.5459468801866806E-9</v>
      </c>
      <c r="AB405" s="13">
        <f t="shared" si="76"/>
        <v>659.99999999145382</v>
      </c>
      <c r="AC405" s="13">
        <f t="shared" si="68"/>
        <v>659.99999999999977</v>
      </c>
      <c r="AD405" s="13">
        <f t="shared" si="69"/>
        <v>6.0006120433878613E-9</v>
      </c>
      <c r="AE405" s="13">
        <f t="shared" si="70"/>
        <v>1.0790336969932682E-12</v>
      </c>
      <c r="AF405" s="13">
        <f t="shared" si="71"/>
        <v>1.8523102818091633E-13</v>
      </c>
      <c r="AG405" s="13">
        <f t="shared" si="72"/>
        <v>1.8523102818091633E-13</v>
      </c>
      <c r="AH405" s="10"/>
      <c r="AI405" s="13">
        <f t="shared" si="66"/>
        <v>1.6973232209117658E-49</v>
      </c>
      <c r="AJ405" s="10"/>
      <c r="AK405" s="10"/>
      <c r="AL405" s="10"/>
      <c r="AM405" s="10"/>
      <c r="AN405" s="10"/>
    </row>
    <row r="406" spans="19:40">
      <c r="S406" s="10"/>
      <c r="T406" s="12">
        <v>400</v>
      </c>
      <c r="U406" s="13">
        <f t="shared" si="67"/>
        <v>0.38148397992052629</v>
      </c>
      <c r="V406" s="13">
        <f t="shared" si="73"/>
        <v>1.8282604700244561E-56</v>
      </c>
      <c r="W406" s="13">
        <f t="shared" si="74"/>
        <v>1.8282604700244561E-56</v>
      </c>
      <c r="X406" s="13">
        <v>0</v>
      </c>
      <c r="Y406" s="13">
        <v>0</v>
      </c>
      <c r="Z406" s="13">
        <v>0</v>
      </c>
      <c r="AA406" s="13">
        <f t="shared" si="75"/>
        <v>8.0079126326116171E-9</v>
      </c>
      <c r="AB406" s="13">
        <f t="shared" si="76"/>
        <v>659.9999999919919</v>
      </c>
      <c r="AC406" s="13">
        <f t="shared" si="68"/>
        <v>659.99999999999977</v>
      </c>
      <c r="AD406" s="13">
        <f t="shared" si="69"/>
        <v>5.606256942968657E-9</v>
      </c>
      <c r="AE406" s="13">
        <f t="shared" si="70"/>
        <v>1.0111000798752045E-12</v>
      </c>
      <c r="AF406" s="13">
        <f t="shared" si="71"/>
        <v>1.7305780315139141E-13</v>
      </c>
      <c r="AG406" s="13">
        <f t="shared" si="72"/>
        <v>1.7305780315139139E-13</v>
      </c>
      <c r="AH406" s="10"/>
      <c r="AI406" s="13">
        <f t="shared" si="66"/>
        <v>1.1592085216218064E-49</v>
      </c>
      <c r="AJ406" s="10"/>
      <c r="AK406" s="10"/>
      <c r="AL406" s="10"/>
      <c r="AM406" s="10"/>
      <c r="AN406" s="10"/>
    </row>
    <row r="407" spans="19:40">
      <c r="S407" s="10"/>
      <c r="T407" s="12">
        <v>401</v>
      </c>
      <c r="U407" s="13">
        <f t="shared" si="67"/>
        <v>0.3818215436659102</v>
      </c>
      <c r="V407" s="13">
        <f t="shared" si="73"/>
        <v>1.1298706438927823E-56</v>
      </c>
      <c r="W407" s="13">
        <f t="shared" si="74"/>
        <v>1.1298706438927823E-56</v>
      </c>
      <c r="X407" s="13">
        <v>0</v>
      </c>
      <c r="Y407" s="13">
        <v>0</v>
      </c>
      <c r="Z407" s="13">
        <v>0</v>
      </c>
      <c r="AA407" s="13">
        <f t="shared" si="75"/>
        <v>7.5037518522628486E-9</v>
      </c>
      <c r="AB407" s="13">
        <f t="shared" si="76"/>
        <v>659.9999999924961</v>
      </c>
      <c r="AC407" s="13">
        <f t="shared" si="68"/>
        <v>659.99999999999989</v>
      </c>
      <c r="AD407" s="13">
        <f t="shared" si="69"/>
        <v>5.2378185230650682E-9</v>
      </c>
      <c r="AE407" s="13">
        <f t="shared" si="70"/>
        <v>9.4744341568975385E-13</v>
      </c>
      <c r="AF407" s="13">
        <f t="shared" si="71"/>
        <v>1.6168459207781514E-13</v>
      </c>
      <c r="AG407" s="13">
        <f t="shared" si="72"/>
        <v>1.6168459207781514E-13</v>
      </c>
      <c r="AH407" s="10"/>
      <c r="AI407" s="13">
        <f t="shared" si="66"/>
        <v>7.9142881236980221E-50</v>
      </c>
      <c r="AJ407" s="10"/>
      <c r="AK407" s="10"/>
      <c r="AL407" s="10"/>
      <c r="AM407" s="10"/>
      <c r="AN407" s="10"/>
    </row>
    <row r="408" spans="19:40">
      <c r="S408" s="10"/>
      <c r="T408" s="12">
        <v>402</v>
      </c>
      <c r="U408" s="13">
        <f t="shared" si="67"/>
        <v>0.38215856423870914</v>
      </c>
      <c r="V408" s="13">
        <f t="shared" si="73"/>
        <v>6.9788277446387062E-57</v>
      </c>
      <c r="W408" s="13">
        <f t="shared" si="74"/>
        <v>6.9788277446387062E-57</v>
      </c>
      <c r="X408" s="13">
        <v>0</v>
      </c>
      <c r="Y408" s="13">
        <v>0</v>
      </c>
      <c r="Z408" s="13">
        <v>0</v>
      </c>
      <c r="AA408" s="13">
        <f t="shared" si="75"/>
        <v>7.0313319392415733E-9</v>
      </c>
      <c r="AB408" s="13">
        <f t="shared" si="76"/>
        <v>659.99999999296847</v>
      </c>
      <c r="AC408" s="13">
        <f t="shared" si="68"/>
        <v>659.99999999999977</v>
      </c>
      <c r="AD408" s="13">
        <f t="shared" si="69"/>
        <v>4.8935935615601925E-9</v>
      </c>
      <c r="AE408" s="13">
        <f t="shared" si="70"/>
        <v>8.8779443677292625E-13</v>
      </c>
      <c r="AF408" s="13">
        <f t="shared" si="71"/>
        <v>1.5105881872602122E-13</v>
      </c>
      <c r="AG408" s="13">
        <f t="shared" si="72"/>
        <v>1.5105881872602119E-13</v>
      </c>
      <c r="AH408" s="10"/>
      <c r="AI408" s="13">
        <f t="shared" si="66"/>
        <v>5.4015159735418991E-50</v>
      </c>
      <c r="AJ408" s="10"/>
      <c r="AK408" s="10"/>
      <c r="AL408" s="10"/>
      <c r="AM408" s="10"/>
      <c r="AN408" s="10"/>
    </row>
    <row r="409" spans="19:40">
      <c r="S409" s="10"/>
      <c r="T409" s="12">
        <v>403</v>
      </c>
      <c r="U409" s="13">
        <f t="shared" si="67"/>
        <v>0.38249504386086219</v>
      </c>
      <c r="V409" s="13">
        <f t="shared" si="73"/>
        <v>4.3082369608848912E-57</v>
      </c>
      <c r="W409" s="13">
        <f t="shared" si="74"/>
        <v>4.3082369608848912E-57</v>
      </c>
      <c r="X409" s="13">
        <v>0</v>
      </c>
      <c r="Y409" s="13">
        <v>0</v>
      </c>
      <c r="Z409" s="13">
        <v>0</v>
      </c>
      <c r="AA409" s="13">
        <f t="shared" si="75"/>
        <v>6.5886545575050612E-9</v>
      </c>
      <c r="AB409" s="13">
        <f t="shared" si="76"/>
        <v>659.99999999341117</v>
      </c>
      <c r="AC409" s="13">
        <f t="shared" si="68"/>
        <v>659.99999999999977</v>
      </c>
      <c r="AD409" s="13">
        <f t="shared" si="69"/>
        <v>4.5719907706405029E-9</v>
      </c>
      <c r="AE409" s="13">
        <f t="shared" si="70"/>
        <v>8.3190082796781104E-13</v>
      </c>
      <c r="AF409" s="13">
        <f t="shared" si="71"/>
        <v>1.4113136212706506E-13</v>
      </c>
      <c r="AG409" s="13">
        <f t="shared" si="72"/>
        <v>1.4113136212706506E-13</v>
      </c>
      <c r="AH409" s="10"/>
      <c r="AI409" s="13">
        <f t="shared" si="66"/>
        <v>3.6853031970794474E-50</v>
      </c>
      <c r="AJ409" s="10"/>
      <c r="AK409" s="10"/>
      <c r="AL409" s="10"/>
      <c r="AM409" s="10"/>
      <c r="AN409" s="10"/>
    </row>
    <row r="410" spans="19:40">
      <c r="S410" s="10"/>
      <c r="T410" s="12">
        <v>404</v>
      </c>
      <c r="U410" s="13">
        <f t="shared" si="67"/>
        <v>0.38283098473973232</v>
      </c>
      <c r="V410" s="13">
        <f t="shared" si="73"/>
        <v>2.6581548997089416E-57</v>
      </c>
      <c r="W410" s="13">
        <f t="shared" si="74"/>
        <v>2.6581548997089416E-57</v>
      </c>
      <c r="X410" s="13">
        <v>0</v>
      </c>
      <c r="Y410" s="13">
        <v>0</v>
      </c>
      <c r="Z410" s="13">
        <v>0</v>
      </c>
      <c r="AA410" s="13">
        <f t="shared" si="75"/>
        <v>6.173847181905997E-9</v>
      </c>
      <c r="AB410" s="13">
        <f t="shared" si="76"/>
        <v>659.99999999382601</v>
      </c>
      <c r="AC410" s="13">
        <f t="shared" si="68"/>
        <v>659.99999999999989</v>
      </c>
      <c r="AD410" s="13">
        <f t="shared" si="69"/>
        <v>4.2715234405690074E-9</v>
      </c>
      <c r="AE410" s="13">
        <f t="shared" si="70"/>
        <v>7.7952615933156536E-13</v>
      </c>
      <c r="AF410" s="13">
        <f t="shared" si="71"/>
        <v>1.3185632950014403E-13</v>
      </c>
      <c r="AG410" s="13">
        <f t="shared" si="72"/>
        <v>1.3185632950014403E-13</v>
      </c>
      <c r="AH410" s="10"/>
      <c r="AI410" s="13">
        <f t="shared" si="66"/>
        <v>2.5135340272921791E-50</v>
      </c>
      <c r="AJ410" s="10"/>
      <c r="AK410" s="10"/>
      <c r="AL410" s="10"/>
      <c r="AM410" s="10"/>
      <c r="AN410" s="10"/>
    </row>
    <row r="411" spans="19:40">
      <c r="S411" s="10"/>
      <c r="T411" s="12">
        <v>405</v>
      </c>
      <c r="U411" s="13">
        <f t="shared" si="67"/>
        <v>0.38316638906823819</v>
      </c>
      <c r="V411" s="13">
        <f t="shared" si="73"/>
        <v>1.6391731693523814E-57</v>
      </c>
      <c r="W411" s="13">
        <f t="shared" si="74"/>
        <v>1.6391731693523814E-57</v>
      </c>
      <c r="X411" s="13">
        <v>0</v>
      </c>
      <c r="Y411" s="13">
        <v>0</v>
      </c>
      <c r="Z411" s="13">
        <v>0</v>
      </c>
      <c r="AA411" s="13">
        <f t="shared" si="75"/>
        <v>5.7851551774118548E-9</v>
      </c>
      <c r="AB411" s="13">
        <f t="shared" si="76"/>
        <v>659.9999999942147</v>
      </c>
      <c r="AC411" s="13">
        <f t="shared" si="68"/>
        <v>659.99999999999989</v>
      </c>
      <c r="AD411" s="13">
        <f t="shared" si="69"/>
        <v>3.9908025669033389E-9</v>
      </c>
      <c r="AE411" s="13">
        <f t="shared" si="70"/>
        <v>7.3044888603685053E-13</v>
      </c>
      <c r="AF411" s="13">
        <f t="shared" si="71"/>
        <v>1.2319084409882829E-13</v>
      </c>
      <c r="AG411" s="13">
        <f t="shared" si="72"/>
        <v>1.2319084409882829E-13</v>
      </c>
      <c r="AH411" s="10"/>
      <c r="AI411" s="13">
        <f t="shared" si="66"/>
        <v>1.7137620964644004E-50</v>
      </c>
      <c r="AJ411" s="10"/>
      <c r="AK411" s="10"/>
      <c r="AL411" s="10"/>
      <c r="AM411" s="10"/>
      <c r="AN411" s="10"/>
    </row>
    <row r="412" spans="19:40">
      <c r="S412" s="10"/>
      <c r="T412" s="12">
        <v>406</v>
      </c>
      <c r="U412" s="13">
        <f t="shared" si="67"/>
        <v>0.3835012590249845</v>
      </c>
      <c r="V412" s="13">
        <f t="shared" si="73"/>
        <v>1.0102607609571448E-57</v>
      </c>
      <c r="W412" s="13">
        <f t="shared" si="74"/>
        <v>1.0102607609571448E-57</v>
      </c>
      <c r="X412" s="13">
        <v>0</v>
      </c>
      <c r="Y412" s="13">
        <v>0</v>
      </c>
      <c r="Z412" s="13">
        <v>0</v>
      </c>
      <c r="AA412" s="13">
        <f t="shared" si="75"/>
        <v>5.4209343769994167E-9</v>
      </c>
      <c r="AB412" s="13">
        <f t="shared" si="76"/>
        <v>659.99999999457896</v>
      </c>
      <c r="AC412" s="13">
        <f t="shared" si="68"/>
        <v>659.99999999999989</v>
      </c>
      <c r="AD412" s="13">
        <f t="shared" si="69"/>
        <v>3.7285304293872074E-9</v>
      </c>
      <c r="AE412" s="13">
        <f t="shared" si="70"/>
        <v>6.8446141123730011E-13</v>
      </c>
      <c r="AF412" s="13">
        <f t="shared" si="71"/>
        <v>1.1509484699985708E-13</v>
      </c>
      <c r="AG412" s="13">
        <f t="shared" si="72"/>
        <v>1.1509484699985711E-13</v>
      </c>
      <c r="AH412" s="10"/>
      <c r="AI412" s="13">
        <f t="shared" si="66"/>
        <v>1.1680750551163392E-50</v>
      </c>
      <c r="AJ412" s="10"/>
      <c r="AK412" s="10"/>
      <c r="AL412" s="10"/>
      <c r="AM412" s="10"/>
      <c r="AN412" s="10"/>
    </row>
    <row r="413" spans="19:40">
      <c r="S413" s="10"/>
      <c r="T413" s="12">
        <v>407</v>
      </c>
      <c r="U413" s="13">
        <f t="shared" si="67"/>
        <v>0.38383559677438922</v>
      </c>
      <c r="V413" s="13">
        <f t="shared" si="73"/>
        <v>6.2230956646450272E-58</v>
      </c>
      <c r="W413" s="13">
        <f t="shared" si="74"/>
        <v>6.2230956646450272E-58</v>
      </c>
      <c r="X413" s="13">
        <v>0</v>
      </c>
      <c r="Y413" s="13">
        <v>0</v>
      </c>
      <c r="Z413" s="13">
        <v>0</v>
      </c>
      <c r="AA413" s="13">
        <f t="shared" si="75"/>
        <v>5.0796441268289213E-9</v>
      </c>
      <c r="AB413" s="13">
        <f t="shared" si="76"/>
        <v>659.99999999492024</v>
      </c>
      <c r="AC413" s="13">
        <f t="shared" si="68"/>
        <v>659.99999999999989</v>
      </c>
      <c r="AD413" s="13">
        <f t="shared" si="69"/>
        <v>3.4834945928316248E-9</v>
      </c>
      <c r="AE413" s="13">
        <f t="shared" si="70"/>
        <v>6.4136920793294477E-13</v>
      </c>
      <c r="AF413" s="13">
        <f t="shared" si="71"/>
        <v>1.0753091191820567E-13</v>
      </c>
      <c r="AG413" s="13">
        <f t="shared" si="72"/>
        <v>1.0753091191820567E-13</v>
      </c>
      <c r="AH413" s="10"/>
      <c r="AI413" s="13">
        <f t="shared" si="66"/>
        <v>7.9587644080840702E-51</v>
      </c>
      <c r="AJ413" s="10"/>
      <c r="AK413" s="10"/>
      <c r="AL413" s="10"/>
      <c r="AM413" s="10"/>
      <c r="AN413" s="10"/>
    </row>
    <row r="414" spans="19:40">
      <c r="S414" s="10"/>
      <c r="T414" s="12">
        <v>408</v>
      </c>
      <c r="U414" s="13">
        <f t="shared" si="67"/>
        <v>0.38416940446681197</v>
      </c>
      <c r="V414" s="13">
        <f t="shared" si="73"/>
        <v>3.8312814697529018E-58</v>
      </c>
      <c r="W414" s="13">
        <f t="shared" si="74"/>
        <v>3.8312814697529018E-58</v>
      </c>
      <c r="X414" s="13">
        <v>0</v>
      </c>
      <c r="Y414" s="13">
        <v>0</v>
      </c>
      <c r="Z414" s="13">
        <v>0</v>
      </c>
      <c r="AA414" s="13">
        <f t="shared" si="75"/>
        <v>4.7598407692789395E-9</v>
      </c>
      <c r="AB414" s="13">
        <f t="shared" si="76"/>
        <v>659.99999999524005</v>
      </c>
      <c r="AC414" s="13">
        <f t="shared" si="68"/>
        <v>659.99999999999989</v>
      </c>
      <c r="AD414" s="13">
        <f t="shared" si="69"/>
        <v>3.2545623022530997E-9</v>
      </c>
      <c r="AE414" s="13">
        <f t="shared" si="70"/>
        <v>6.0098999612107833E-13</v>
      </c>
      <c r="AF414" s="13">
        <f t="shared" si="71"/>
        <v>1.0046407219234813E-13</v>
      </c>
      <c r="AG414" s="13">
        <f t="shared" si="72"/>
        <v>1.0046407219234814E-13</v>
      </c>
      <c r="AH414" s="10"/>
      <c r="AI414" s="13">
        <f t="shared" si="66"/>
        <v>5.4209507651378143E-51</v>
      </c>
      <c r="AJ414" s="10"/>
      <c r="AK414" s="10"/>
      <c r="AL414" s="10"/>
      <c r="AM414" s="10"/>
      <c r="AN414" s="10"/>
    </row>
    <row r="415" spans="19:40">
      <c r="S415" s="10"/>
      <c r="T415" s="12">
        <v>409</v>
      </c>
      <c r="U415" s="13">
        <f t="shared" si="67"/>
        <v>0.38450268423867834</v>
      </c>
      <c r="V415" s="13">
        <f t="shared" si="73"/>
        <v>2.3574716332614116E-58</v>
      </c>
      <c r="W415" s="13">
        <f t="shared" si="74"/>
        <v>2.3574716332614116E-58</v>
      </c>
      <c r="X415" s="13">
        <v>0</v>
      </c>
      <c r="Y415" s="13">
        <v>0</v>
      </c>
      <c r="Z415" s="13">
        <v>0</v>
      </c>
      <c r="AA415" s="13">
        <f t="shared" si="75"/>
        <v>4.4601715362752158E-9</v>
      </c>
      <c r="AB415" s="13">
        <f t="shared" si="76"/>
        <v>659.99999999553972</v>
      </c>
      <c r="AC415" s="13">
        <f t="shared" si="68"/>
        <v>659.99999999999989</v>
      </c>
      <c r="AD415" s="13">
        <f t="shared" si="69"/>
        <v>3.0406752463585549E-9</v>
      </c>
      <c r="AE415" s="13">
        <f t="shared" si="70"/>
        <v>5.6315297175192132E-13</v>
      </c>
      <c r="AF415" s="13">
        <f t="shared" si="71"/>
        <v>9.3861659139900987E-14</v>
      </c>
      <c r="AG415" s="13">
        <f t="shared" si="72"/>
        <v>9.3861659139900987E-14</v>
      </c>
      <c r="AH415" s="10"/>
      <c r="AI415" s="13">
        <f t="shared" si="66"/>
        <v>3.6911391743047424E-51</v>
      </c>
      <c r="AJ415" s="10"/>
      <c r="AK415" s="10"/>
      <c r="AL415" s="10"/>
      <c r="AM415" s="10"/>
      <c r="AN415" s="10"/>
    </row>
    <row r="416" spans="19:40">
      <c r="S416" s="10"/>
      <c r="T416" s="12">
        <v>410</v>
      </c>
      <c r="U416" s="13">
        <f t="shared" si="67"/>
        <v>0.38483543821260485</v>
      </c>
      <c r="V416" s="13">
        <f t="shared" si="73"/>
        <v>1.4498196141101859E-58</v>
      </c>
      <c r="W416" s="13">
        <f t="shared" si="74"/>
        <v>1.4498196141101859E-58</v>
      </c>
      <c r="X416" s="13">
        <v>0</v>
      </c>
      <c r="Y416" s="13">
        <v>0</v>
      </c>
      <c r="Z416" s="13">
        <v>0</v>
      </c>
      <c r="AA416" s="13">
        <f t="shared" si="75"/>
        <v>4.1793688270822546E-9</v>
      </c>
      <c r="AB416" s="13">
        <f t="shared" si="76"/>
        <v>659.99999999582053</v>
      </c>
      <c r="AC416" s="13">
        <f t="shared" si="68"/>
        <v>659.99999999999989</v>
      </c>
      <c r="AD416" s="13">
        <f t="shared" si="69"/>
        <v>2.8408446651695533E-9</v>
      </c>
      <c r="AE416" s="13">
        <f t="shared" si="70"/>
        <v>5.2769808422755745E-13</v>
      </c>
      <c r="AF416" s="13">
        <f t="shared" si="71"/>
        <v>8.769315103639578E-14</v>
      </c>
      <c r="AG416" s="13">
        <f t="shared" si="72"/>
        <v>8.769315103639578E-14</v>
      </c>
      <c r="AH416" s="10"/>
      <c r="AI416" s="13">
        <f t="shared" si="66"/>
        <v>2.5124692255631733E-51</v>
      </c>
      <c r="AJ416" s="10"/>
      <c r="AK416" s="10"/>
      <c r="AL416" s="10"/>
      <c r="AM416" s="10"/>
      <c r="AN416" s="10"/>
    </row>
    <row r="417" spans="19:40">
      <c r="S417" s="10"/>
      <c r="T417" s="12">
        <v>411</v>
      </c>
      <c r="U417" s="13">
        <f t="shared" si="67"/>
        <v>0.3851676684975211</v>
      </c>
      <c r="V417" s="13">
        <f t="shared" si="73"/>
        <v>8.9114174315629437E-59</v>
      </c>
      <c r="W417" s="13">
        <f t="shared" si="74"/>
        <v>8.9114174315629437E-59</v>
      </c>
      <c r="X417" s="13">
        <v>0</v>
      </c>
      <c r="Y417" s="13">
        <v>0</v>
      </c>
      <c r="Z417" s="13">
        <v>0</v>
      </c>
      <c r="AA417" s="13">
        <f t="shared" si="75"/>
        <v>3.9162448463527187E-9</v>
      </c>
      <c r="AB417" s="13">
        <f t="shared" si="76"/>
        <v>659.9999999960836</v>
      </c>
      <c r="AC417" s="13">
        <f t="shared" si="68"/>
        <v>659.99999999999989</v>
      </c>
      <c r="AD417" s="13">
        <f t="shared" si="69"/>
        <v>2.65414677916928E-9</v>
      </c>
      <c r="AE417" s="13">
        <f t="shared" si="70"/>
        <v>4.9447535938796961E-13</v>
      </c>
      <c r="AF417" s="13">
        <f t="shared" si="71"/>
        <v>8.1930032019038121E-14</v>
      </c>
      <c r="AG417" s="13">
        <f t="shared" si="72"/>
        <v>8.1930032019038121E-14</v>
      </c>
      <c r="AH417" s="10"/>
      <c r="AI417" s="13">
        <f t="shared" si="66"/>
        <v>1.7096085528889638E-51</v>
      </c>
      <c r="AJ417" s="10"/>
      <c r="AK417" s="10"/>
      <c r="AL417" s="10"/>
      <c r="AM417" s="10"/>
      <c r="AN417" s="10"/>
    </row>
    <row r="418" spans="19:40">
      <c r="S418" s="10"/>
      <c r="T418" s="12">
        <v>412</v>
      </c>
      <c r="U418" s="13">
        <f t="shared" si="67"/>
        <v>0.38549937718879185</v>
      </c>
      <c r="V418" s="13">
        <f t="shared" si="73"/>
        <v>5.4745089166542246E-59</v>
      </c>
      <c r="W418" s="13">
        <f t="shared" si="74"/>
        <v>5.4745089166542246E-59</v>
      </c>
      <c r="X418" s="13">
        <v>0</v>
      </c>
      <c r="Y418" s="13">
        <v>0</v>
      </c>
      <c r="Z418" s="13">
        <v>0</v>
      </c>
      <c r="AA418" s="13">
        <f t="shared" si="75"/>
        <v>3.6696865797535846E-9</v>
      </c>
      <c r="AB418" s="13">
        <f t="shared" si="76"/>
        <v>659.99999999633019</v>
      </c>
      <c r="AC418" s="13">
        <f t="shared" si="68"/>
        <v>659.99999999999989</v>
      </c>
      <c r="AD418" s="13">
        <f t="shared" si="69"/>
        <v>2.4797185188420772E-9</v>
      </c>
      <c r="AE418" s="13">
        <f t="shared" si="70"/>
        <v>4.6334426512040222E-13</v>
      </c>
      <c r="AF418" s="13">
        <f t="shared" si="71"/>
        <v>7.6545660263190565E-14</v>
      </c>
      <c r="AG418" s="13">
        <f t="shared" si="72"/>
        <v>7.6545660263190565E-14</v>
      </c>
      <c r="AH418" s="10"/>
      <c r="AI418" s="13">
        <f t="shared" si="66"/>
        <v>1.1629162531884467E-51</v>
      </c>
      <c r="AJ418" s="10"/>
      <c r="AK418" s="10"/>
      <c r="AL418" s="10"/>
      <c r="AM418" s="10"/>
      <c r="AN418" s="10"/>
    </row>
    <row r="419" spans="19:40">
      <c r="S419" s="10"/>
      <c r="T419" s="12">
        <v>413</v>
      </c>
      <c r="U419" s="13">
        <f t="shared" si="67"/>
        <v>0.38583056636833579</v>
      </c>
      <c r="V419" s="13">
        <f t="shared" si="73"/>
        <v>3.361316068336442E-59</v>
      </c>
      <c r="W419" s="13">
        <f t="shared" si="74"/>
        <v>3.361316068336442E-59</v>
      </c>
      <c r="X419" s="13">
        <v>0</v>
      </c>
      <c r="Y419" s="13">
        <v>0</v>
      </c>
      <c r="Z419" s="13">
        <v>0</v>
      </c>
      <c r="AA419" s="13">
        <f t="shared" si="75"/>
        <v>3.4386510859159608E-9</v>
      </c>
      <c r="AB419" s="13">
        <f t="shared" si="76"/>
        <v>659.9999999965612</v>
      </c>
      <c r="AC419" s="13">
        <f t="shared" si="68"/>
        <v>659.99999999999989</v>
      </c>
      <c r="AD419" s="13">
        <f t="shared" si="69"/>
        <v>2.3167535348640053E-9</v>
      </c>
      <c r="AE419" s="13">
        <f t="shared" si="70"/>
        <v>4.3417311690858099E-13</v>
      </c>
      <c r="AF419" s="13">
        <f t="shared" si="71"/>
        <v>7.1515144822185278E-14</v>
      </c>
      <c r="AG419" s="13">
        <f t="shared" si="72"/>
        <v>7.1515144822185278E-14</v>
      </c>
      <c r="AH419" s="10"/>
      <c r="AI419" s="13">
        <f t="shared" si="66"/>
        <v>7.9078104818977315E-52</v>
      </c>
      <c r="AJ419" s="10"/>
      <c r="AK419" s="10"/>
      <c r="AL419" s="10"/>
      <c r="AM419" s="10"/>
      <c r="AN419" s="10"/>
    </row>
    <row r="420" spans="19:40">
      <c r="S420" s="10"/>
      <c r="T420" s="12">
        <v>414</v>
      </c>
      <c r="U420" s="13">
        <f t="shared" si="67"/>
        <v>0.38616123810474501</v>
      </c>
      <c r="V420" s="13">
        <f t="shared" si="73"/>
        <v>2.0627166763450688E-59</v>
      </c>
      <c r="W420" s="13">
        <f t="shared" si="74"/>
        <v>2.0627166763450688E-59</v>
      </c>
      <c r="X420" s="13">
        <v>0</v>
      </c>
      <c r="Y420" s="13">
        <v>0</v>
      </c>
      <c r="Z420" s="13">
        <v>0</v>
      </c>
      <c r="AA420" s="13">
        <f t="shared" si="75"/>
        <v>3.2221610847935156E-9</v>
      </c>
      <c r="AB420" s="13">
        <f t="shared" si="76"/>
        <v>659.99999999677766</v>
      </c>
      <c r="AC420" s="13">
        <f t="shared" si="68"/>
        <v>659.99999999999977</v>
      </c>
      <c r="AD420" s="13">
        <f t="shared" si="69"/>
        <v>2.1644984705002678E-9</v>
      </c>
      <c r="AE420" s="13">
        <f t="shared" si="70"/>
        <v>4.0683852080726222E-13</v>
      </c>
      <c r="AF420" s="13">
        <f t="shared" si="71"/>
        <v>6.6815230561118668E-14</v>
      </c>
      <c r="AG420" s="13">
        <f t="shared" si="72"/>
        <v>6.681523056111868E-14</v>
      </c>
      <c r="AH420" s="10"/>
      <c r="AI420" s="13">
        <f t="shared" si="66"/>
        <v>5.3755182844864725E-52</v>
      </c>
      <c r="AJ420" s="10"/>
      <c r="AK420" s="10"/>
      <c r="AL420" s="10"/>
      <c r="AM420" s="10"/>
      <c r="AN420" s="10"/>
    </row>
    <row r="421" spans="19:40">
      <c r="S421" s="10"/>
      <c r="T421" s="12">
        <v>415</v>
      </c>
      <c r="U421" s="13">
        <f t="shared" si="67"/>
        <v>0.38649139445340225</v>
      </c>
      <c r="V421" s="13">
        <f t="shared" si="73"/>
        <v>1.2651327278628594E-59</v>
      </c>
      <c r="W421" s="13">
        <f t="shared" si="74"/>
        <v>1.2651327278628594E-59</v>
      </c>
      <c r="X421" s="13">
        <v>0</v>
      </c>
      <c r="Y421" s="13">
        <v>0</v>
      </c>
      <c r="Z421" s="13">
        <v>0</v>
      </c>
      <c r="AA421" s="13">
        <f t="shared" si="75"/>
        <v>3.0193008237682726E-9</v>
      </c>
      <c r="AB421" s="13">
        <f t="shared" si="76"/>
        <v>659.99999999698048</v>
      </c>
      <c r="AC421" s="13">
        <f t="shared" si="68"/>
        <v>659.99999999999977</v>
      </c>
      <c r="AD421" s="13">
        <f t="shared" si="69"/>
        <v>2.0222494789774921E-9</v>
      </c>
      <c r="AE421" s="13">
        <f t="shared" si="70"/>
        <v>3.8122485148589314E-13</v>
      </c>
      <c r="AF421" s="13">
        <f t="shared" si="71"/>
        <v>6.2424190652698607E-14</v>
      </c>
      <c r="AG421" s="13">
        <f t="shared" si="72"/>
        <v>6.2424190652698607E-14</v>
      </c>
      <c r="AH421" s="10"/>
      <c r="AI421" s="13">
        <f t="shared" si="66"/>
        <v>3.6529265295203666E-52</v>
      </c>
      <c r="AJ421" s="10"/>
      <c r="AK421" s="10"/>
      <c r="AL421" s="10"/>
      <c r="AM421" s="10"/>
      <c r="AN421" s="10"/>
    </row>
    <row r="422" spans="19:40">
      <c r="S422" s="10"/>
      <c r="T422" s="12">
        <v>416</v>
      </c>
      <c r="U422" s="13">
        <f t="shared" si="67"/>
        <v>0.38682103745659646</v>
      </c>
      <c r="V422" s="13">
        <f t="shared" si="73"/>
        <v>7.7553092853395063E-60</v>
      </c>
      <c r="W422" s="13">
        <f t="shared" si="74"/>
        <v>7.7553092853395063E-60</v>
      </c>
      <c r="X422" s="13">
        <v>0</v>
      </c>
      <c r="Y422" s="13">
        <v>0</v>
      </c>
      <c r="Z422" s="13">
        <v>0</v>
      </c>
      <c r="AA422" s="13">
        <f t="shared" si="75"/>
        <v>2.8292122040174035E-9</v>
      </c>
      <c r="AB422" s="13">
        <f t="shared" si="76"/>
        <v>659.99999999717056</v>
      </c>
      <c r="AC422" s="13">
        <f t="shared" si="68"/>
        <v>659.99999999999977</v>
      </c>
      <c r="AD422" s="13">
        <f t="shared" si="69"/>
        <v>1.8893489697313388E-9</v>
      </c>
      <c r="AE422" s="13">
        <f t="shared" si="70"/>
        <v>3.5722376313351066E-13</v>
      </c>
      <c r="AF422" s="13">
        <f t="shared" si="71"/>
        <v>5.8321726138173206E-14</v>
      </c>
      <c r="AG422" s="13">
        <f t="shared" si="72"/>
        <v>5.8321726138173206E-14</v>
      </c>
      <c r="AH422" s="10"/>
      <c r="AI422" s="13">
        <f t="shared" si="66"/>
        <v>2.4815227320056881E-52</v>
      </c>
      <c r="AJ422" s="10"/>
      <c r="AK422" s="10"/>
      <c r="AL422" s="10"/>
      <c r="AM422" s="10"/>
      <c r="AN422" s="10"/>
    </row>
    <row r="423" spans="19:40">
      <c r="S423" s="10"/>
      <c r="T423" s="12">
        <v>417</v>
      </c>
      <c r="U423" s="13">
        <f t="shared" si="67"/>
        <v>0.38715016914363737</v>
      </c>
      <c r="V423" s="13">
        <f t="shared" si="73"/>
        <v>4.7514800657994566E-60</v>
      </c>
      <c r="W423" s="13">
        <f t="shared" si="74"/>
        <v>4.7514800657994566E-60</v>
      </c>
      <c r="X423" s="13">
        <v>0</v>
      </c>
      <c r="Y423" s="13">
        <v>0</v>
      </c>
      <c r="Z423" s="13">
        <v>0</v>
      </c>
      <c r="AA423" s="13">
        <f t="shared" si="75"/>
        <v>2.6510911507555515E-9</v>
      </c>
      <c r="AB423" s="13">
        <f t="shared" si="76"/>
        <v>659.99999999734871</v>
      </c>
      <c r="AC423" s="13">
        <f t="shared" si="68"/>
        <v>659.99999999999977</v>
      </c>
      <c r="AD423" s="13">
        <f t="shared" si="69"/>
        <v>1.7651825684879312E-9</v>
      </c>
      <c r="AE423" s="13">
        <f t="shared" si="70"/>
        <v>3.3473373115600404E-13</v>
      </c>
      <c r="AF423" s="13">
        <f t="shared" si="71"/>
        <v>5.4488872089029363E-14</v>
      </c>
      <c r="AG423" s="13">
        <f t="shared" si="72"/>
        <v>5.4488872089029357E-14</v>
      </c>
      <c r="AH423" s="10"/>
      <c r="AI423" s="13">
        <f t="shared" si="66"/>
        <v>1.6852041787041934E-52</v>
      </c>
      <c r="AJ423" s="10"/>
      <c r="AK423" s="10"/>
      <c r="AL423" s="10"/>
      <c r="AM423" s="10"/>
      <c r="AN423" s="10"/>
    </row>
    <row r="424" spans="19:40">
      <c r="S424" s="10"/>
      <c r="T424" s="12">
        <v>418</v>
      </c>
      <c r="U424" s="13">
        <f t="shared" si="67"/>
        <v>0.38747879153096959</v>
      </c>
      <c r="V424" s="13">
        <f t="shared" si="73"/>
        <v>2.9095491248943547E-60</v>
      </c>
      <c r="W424" s="13">
        <f t="shared" si="74"/>
        <v>2.9095491248943547E-60</v>
      </c>
      <c r="X424" s="13">
        <v>0</v>
      </c>
      <c r="Y424" s="13">
        <v>0</v>
      </c>
      <c r="Z424" s="13">
        <v>0</v>
      </c>
      <c r="AA424" s="13">
        <f t="shared" si="75"/>
        <v>2.4841842119988112E-9</v>
      </c>
      <c r="AB424" s="13">
        <f t="shared" si="76"/>
        <v>659.9999999975156</v>
      </c>
      <c r="AC424" s="13">
        <f t="shared" si="68"/>
        <v>659.99999999999977</v>
      </c>
      <c r="AD424" s="13">
        <f t="shared" si="69"/>
        <v>1.6491762771261465E-9</v>
      </c>
      <c r="AE424" s="13">
        <f t="shared" si="70"/>
        <v>3.1365962272712269E-13</v>
      </c>
      <c r="AF424" s="13">
        <f t="shared" si="71"/>
        <v>5.0907909935664328E-14</v>
      </c>
      <c r="AG424" s="13">
        <f t="shared" si="72"/>
        <v>5.0907909935664321E-14</v>
      </c>
      <c r="AH424" s="10"/>
      <c r="AI424" s="13">
        <f t="shared" si="66"/>
        <v>1.1440472654685173E-52</v>
      </c>
      <c r="AJ424" s="10"/>
      <c r="AK424" s="10"/>
      <c r="AL424" s="10"/>
      <c r="AM424" s="10"/>
      <c r="AN424" s="10"/>
    </row>
    <row r="425" spans="19:40">
      <c r="S425" s="10"/>
      <c r="T425" s="12">
        <v>419</v>
      </c>
      <c r="U425" s="13">
        <f t="shared" si="67"/>
        <v>0.38780690662228406</v>
      </c>
      <c r="V425" s="13">
        <f t="shared" si="73"/>
        <v>1.7806956804816518E-60</v>
      </c>
      <c r="W425" s="13">
        <f t="shared" si="74"/>
        <v>1.7806956804816518E-60</v>
      </c>
      <c r="X425" s="13">
        <v>0</v>
      </c>
      <c r="Y425" s="13">
        <v>0</v>
      </c>
      <c r="Z425" s="13">
        <v>0</v>
      </c>
      <c r="AA425" s="13">
        <f t="shared" si="75"/>
        <v>2.32778537146314E-9</v>
      </c>
      <c r="AB425" s="13">
        <f t="shared" si="76"/>
        <v>659.99999999767203</v>
      </c>
      <c r="AC425" s="13">
        <f t="shared" si="68"/>
        <v>659.99999999999977</v>
      </c>
      <c r="AD425" s="13">
        <f t="shared" si="69"/>
        <v>1.5407938201913261E-9</v>
      </c>
      <c r="AE425" s="13">
        <f t="shared" si="70"/>
        <v>2.9391229437665916E-13</v>
      </c>
      <c r="AF425" s="13">
        <f t="shared" si="71"/>
        <v>4.7562285557742337E-14</v>
      </c>
      <c r="AG425" s="13">
        <f t="shared" si="72"/>
        <v>4.7562285557742337E-14</v>
      </c>
      <c r="AH425" s="10"/>
      <c r="AI425" s="13">
        <f t="shared" si="66"/>
        <v>7.764130005327455E-53</v>
      </c>
      <c r="AJ425" s="10"/>
      <c r="AK425" s="10"/>
      <c r="AL425" s="10"/>
      <c r="AM425" s="10"/>
      <c r="AN425" s="10"/>
    </row>
    <row r="426" spans="19:40">
      <c r="S426" s="10"/>
      <c r="T426" s="12">
        <v>420</v>
      </c>
      <c r="U426" s="13">
        <f t="shared" si="67"/>
        <v>0.38813451640862945</v>
      </c>
      <c r="V426" s="13">
        <f t="shared" si="73"/>
        <v>1.089233973059362E-60</v>
      </c>
      <c r="W426" s="13">
        <f t="shared" si="74"/>
        <v>1.089233973059362E-60</v>
      </c>
      <c r="X426" s="13">
        <v>0</v>
      </c>
      <c r="Y426" s="13">
        <v>0</v>
      </c>
      <c r="Z426" s="13">
        <v>0</v>
      </c>
      <c r="AA426" s="13">
        <f t="shared" si="75"/>
        <v>2.1812330621157583E-9</v>
      </c>
      <c r="AB426" s="13">
        <f t="shared" si="76"/>
        <v>659.99999999781858</v>
      </c>
      <c r="AC426" s="13">
        <f t="shared" si="68"/>
        <v>659.99999999999977</v>
      </c>
      <c r="AD426" s="13">
        <f t="shared" si="69"/>
        <v>1.4395341657938419E-9</v>
      </c>
      <c r="AE426" s="13">
        <f t="shared" si="70"/>
        <v>2.7540821491360596E-13</v>
      </c>
      <c r="AF426" s="13">
        <f t="shared" si="71"/>
        <v>4.4436532757582877E-14</v>
      </c>
      <c r="AG426" s="13">
        <f t="shared" si="72"/>
        <v>4.4436532757582871E-14</v>
      </c>
      <c r="AH426" s="10"/>
      <c r="AI426" s="13">
        <f t="shared" si="66"/>
        <v>5.2674356819062727E-53</v>
      </c>
      <c r="AJ426" s="10"/>
      <c r="AK426" s="10"/>
      <c r="AL426" s="10"/>
      <c r="AM426" s="10"/>
      <c r="AN426" s="10"/>
    </row>
    <row r="427" spans="19:40">
      <c r="S427" s="10"/>
      <c r="T427" s="12">
        <v>421</v>
      </c>
      <c r="U427" s="13">
        <f t="shared" si="67"/>
        <v>0.38846162286852109</v>
      </c>
      <c r="V427" s="13">
        <f t="shared" si="73"/>
        <v>6.659173755862989E-61</v>
      </c>
      <c r="W427" s="13">
        <f t="shared" si="74"/>
        <v>6.659173755862989E-61</v>
      </c>
      <c r="X427" s="13">
        <v>0</v>
      </c>
      <c r="Y427" s="13">
        <v>0</v>
      </c>
      <c r="Z427" s="13">
        <v>0</v>
      </c>
      <c r="AA427" s="13">
        <f t="shared" si="75"/>
        <v>2.0439073677468662E-9</v>
      </c>
      <c r="AB427" s="13">
        <f t="shared" si="76"/>
        <v>659.99999999795591</v>
      </c>
      <c r="AC427" s="13">
        <f t="shared" si="68"/>
        <v>659.99999999999977</v>
      </c>
      <c r="AD427" s="13">
        <f t="shared" si="69"/>
        <v>1.3449292094320911E-9</v>
      </c>
      <c r="AE427" s="13">
        <f t="shared" si="70"/>
        <v>2.5806911208925088E-13</v>
      </c>
      <c r="AF427" s="13">
        <f t="shared" si="71"/>
        <v>4.1516201762812527E-14</v>
      </c>
      <c r="AG427" s="13">
        <f t="shared" si="72"/>
        <v>4.1516201762812527E-14</v>
      </c>
      <c r="AH427" s="10"/>
      <c r="AI427" s="13">
        <f t="shared" si="66"/>
        <v>3.5724282432544055E-53</v>
      </c>
      <c r="AJ427" s="10"/>
      <c r="AK427" s="10"/>
      <c r="AL427" s="10"/>
      <c r="AM427" s="10"/>
      <c r="AN427" s="10"/>
    </row>
    <row r="428" spans="19:40">
      <c r="S428" s="10"/>
      <c r="T428" s="12">
        <v>422</v>
      </c>
      <c r="U428" s="13">
        <f t="shared" si="67"/>
        <v>0.38878822796805024</v>
      </c>
      <c r="V428" s="13">
        <f t="shared" si="73"/>
        <v>4.0689976844546289E-61</v>
      </c>
      <c r="W428" s="13">
        <f t="shared" si="74"/>
        <v>4.0689976844546289E-61</v>
      </c>
      <c r="X428" s="13">
        <v>0</v>
      </c>
      <c r="Y428" s="13">
        <v>0</v>
      </c>
      <c r="Z428" s="13">
        <v>0</v>
      </c>
      <c r="AA428" s="13">
        <f t="shared" si="75"/>
        <v>1.9152274007243246E-9</v>
      </c>
      <c r="AB428" s="13">
        <f t="shared" si="76"/>
        <v>659.9999999980846</v>
      </c>
      <c r="AC428" s="13">
        <f t="shared" si="68"/>
        <v>659.99999999999989</v>
      </c>
      <c r="AD428" s="13">
        <f t="shared" si="69"/>
        <v>1.2565416100326693E-9</v>
      </c>
      <c r="AE428" s="13">
        <f t="shared" si="70"/>
        <v>2.4182164150559658E-13</v>
      </c>
      <c r="AF428" s="13">
        <f t="shared" si="71"/>
        <v>3.8787792427761698E-14</v>
      </c>
      <c r="AG428" s="13">
        <f t="shared" si="72"/>
        <v>3.8787792427761698E-14</v>
      </c>
      <c r="AH428" s="10"/>
      <c r="AI428" s="13">
        <f t="shared" si="66"/>
        <v>2.4220652314163224E-53</v>
      </c>
      <c r="AJ428" s="10"/>
      <c r="AK428" s="10"/>
      <c r="AL428" s="10"/>
      <c r="AM428" s="10"/>
      <c r="AN428" s="10"/>
    </row>
    <row r="429" spans="19:40">
      <c r="S429" s="10"/>
      <c r="T429" s="12">
        <v>423</v>
      </c>
      <c r="U429" s="13">
        <f t="shared" si="67"/>
        <v>0.38911433366099063</v>
      </c>
      <c r="V429" s="13">
        <f t="shared" si="73"/>
        <v>2.4849788502138597E-61</v>
      </c>
      <c r="W429" s="13">
        <f t="shared" si="74"/>
        <v>2.4849788502138597E-61</v>
      </c>
      <c r="X429" s="13">
        <v>0</v>
      </c>
      <c r="Y429" s="13">
        <v>0</v>
      </c>
      <c r="Z429" s="13">
        <v>0</v>
      </c>
      <c r="AA429" s="13">
        <f t="shared" si="75"/>
        <v>1.7946488448392045E-9</v>
      </c>
      <c r="AB429" s="13">
        <f t="shared" si="76"/>
        <v>659.99999999820523</v>
      </c>
      <c r="AC429" s="13">
        <f t="shared" si="68"/>
        <v>659.99999999999989</v>
      </c>
      <c r="AD429" s="13">
        <f t="shared" si="69"/>
        <v>1.173962768204132E-9</v>
      </c>
      <c r="AE429" s="13">
        <f t="shared" si="70"/>
        <v>2.2659707636858647E-13</v>
      </c>
      <c r="AF429" s="13">
        <f t="shared" si="71"/>
        <v>3.6238691824808326E-14</v>
      </c>
      <c r="AG429" s="13">
        <f t="shared" si="72"/>
        <v>3.6238691824808326E-14</v>
      </c>
      <c r="AH429" s="10"/>
      <c r="AI429" s="13">
        <f t="shared" si="66"/>
        <v>1.6415965186550098E-53</v>
      </c>
      <c r="AJ429" s="10"/>
      <c r="AK429" s="10"/>
      <c r="AL429" s="10"/>
      <c r="AM429" s="10"/>
      <c r="AN429" s="10"/>
    </row>
    <row r="430" spans="19:40">
      <c r="S430" s="10"/>
      <c r="T430" s="12">
        <v>424</v>
      </c>
      <c r="U430" s="13">
        <f t="shared" si="67"/>
        <v>0.38943994188890535</v>
      </c>
      <c r="V430" s="13">
        <f t="shared" si="73"/>
        <v>1.5167930823072134E-61</v>
      </c>
      <c r="W430" s="13">
        <f t="shared" si="74"/>
        <v>1.5167930823072134E-61</v>
      </c>
      <c r="X430" s="13">
        <v>0</v>
      </c>
      <c r="Y430" s="13">
        <v>0</v>
      </c>
      <c r="Z430" s="13">
        <v>0</v>
      </c>
      <c r="AA430" s="13">
        <f t="shared" si="75"/>
        <v>1.681661652848441E-9</v>
      </c>
      <c r="AB430" s="13">
        <f t="shared" si="76"/>
        <v>659.99999999831823</v>
      </c>
      <c r="AC430" s="13">
        <f t="shared" si="68"/>
        <v>659.99999999999989</v>
      </c>
      <c r="AD430" s="13">
        <f t="shared" si="69"/>
        <v>1.0968109373581962E-9</v>
      </c>
      <c r="AE430" s="13">
        <f t="shared" si="70"/>
        <v>2.1233101677379309E-13</v>
      </c>
      <c r="AF430" s="13">
        <f t="shared" si="71"/>
        <v>3.3857115937165313E-14</v>
      </c>
      <c r="AG430" s="13">
        <f t="shared" si="72"/>
        <v>3.3857115937165306E-14</v>
      </c>
      <c r="AH430" s="10"/>
      <c r="AI430" s="13">
        <f t="shared" si="66"/>
        <v>1.112257880804133E-53</v>
      </c>
      <c r="AJ430" s="10"/>
      <c r="AK430" s="10"/>
      <c r="AL430" s="10"/>
      <c r="AM430" s="10"/>
      <c r="AN430" s="10"/>
    </row>
    <row r="431" spans="19:40">
      <c r="S431" s="10"/>
      <c r="T431" s="12">
        <v>425</v>
      </c>
      <c r="U431" s="13">
        <f t="shared" si="67"/>
        <v>0.38976505458125099</v>
      </c>
      <c r="V431" s="13">
        <f t="shared" si="73"/>
        <v>9.2533416933916026E-62</v>
      </c>
      <c r="W431" s="13">
        <f t="shared" si="74"/>
        <v>9.2533416933916026E-62</v>
      </c>
      <c r="X431" s="13">
        <v>0</v>
      </c>
      <c r="Y431" s="13">
        <v>0</v>
      </c>
      <c r="Z431" s="13">
        <v>0</v>
      </c>
      <c r="AA431" s="13">
        <f t="shared" si="75"/>
        <v>1.5757878889751994E-9</v>
      </c>
      <c r="AB431" s="13">
        <f t="shared" si="76"/>
        <v>659.99999999842407</v>
      </c>
      <c r="AC431" s="13">
        <f t="shared" si="68"/>
        <v>659.99999999999989</v>
      </c>
      <c r="AD431" s="13">
        <f t="shared" si="69"/>
        <v>1.0247294589664402E-9</v>
      </c>
      <c r="AE431" s="13">
        <f t="shared" si="70"/>
        <v>1.9896311729484844E-13</v>
      </c>
      <c r="AF431" s="13">
        <f t="shared" si="71"/>
        <v>3.1632055183568042E-14</v>
      </c>
      <c r="AG431" s="13">
        <f t="shared" si="72"/>
        <v>3.1632055183568042E-14</v>
      </c>
      <c r="AH431" s="10"/>
      <c r="AI431" s="13">
        <f t="shared" si="66"/>
        <v>7.5336121627859221E-54</v>
      </c>
      <c r="AJ431" s="10"/>
      <c r="AK431" s="10"/>
      <c r="AL431" s="10"/>
      <c r="AM431" s="10"/>
      <c r="AN431" s="10"/>
    </row>
    <row r="432" spans="19:40">
      <c r="S432" s="10"/>
      <c r="T432" s="12">
        <v>426</v>
      </c>
      <c r="U432" s="13">
        <f t="shared" si="67"/>
        <v>0.39008967365548164</v>
      </c>
      <c r="V432" s="13">
        <f t="shared" si="73"/>
        <v>5.642086049323494E-62</v>
      </c>
      <c r="W432" s="13">
        <f t="shared" si="74"/>
        <v>5.642086049323494E-62</v>
      </c>
      <c r="X432" s="13">
        <v>0</v>
      </c>
      <c r="Y432" s="13">
        <v>0</v>
      </c>
      <c r="Z432" s="13">
        <v>0</v>
      </c>
      <c r="AA432" s="13">
        <f t="shared" si="75"/>
        <v>1.4765797072407315E-9</v>
      </c>
      <c r="AB432" s="13">
        <f t="shared" si="76"/>
        <v>659.99999999852332</v>
      </c>
      <c r="AC432" s="13">
        <f t="shared" si="68"/>
        <v>659.99999999999989</v>
      </c>
      <c r="AD432" s="13">
        <f t="shared" si="69"/>
        <v>9.5738511379443119E-10</v>
      </c>
      <c r="AE432" s="13">
        <f t="shared" si="70"/>
        <v>1.8643683172231463E-13</v>
      </c>
      <c r="AF432" s="13">
        <f t="shared" si="71"/>
        <v>2.955322352303313E-14</v>
      </c>
      <c r="AG432" s="13">
        <f t="shared" si="72"/>
        <v>2.9553223523033124E-14</v>
      </c>
      <c r="AH432" s="10"/>
      <c r="AI432" s="13">
        <f t="shared" si="66"/>
        <v>5.1010542013201607E-54</v>
      </c>
      <c r="AJ432" s="10"/>
      <c r="AK432" s="10"/>
      <c r="AL432" s="10"/>
      <c r="AM432" s="10"/>
      <c r="AN432" s="10"/>
    </row>
    <row r="433" spans="19:40">
      <c r="S433" s="10"/>
      <c r="T433" s="12">
        <v>427</v>
      </c>
      <c r="U433" s="13">
        <f t="shared" si="67"/>
        <v>0.39041380101715167</v>
      </c>
      <c r="V433" s="13">
        <f t="shared" si="73"/>
        <v>3.4383484315455832E-62</v>
      </c>
      <c r="W433" s="13">
        <f t="shared" si="74"/>
        <v>3.4383484315455832E-62</v>
      </c>
      <c r="X433" s="13">
        <v>0</v>
      </c>
      <c r="Y433" s="13">
        <v>0</v>
      </c>
      <c r="Z433" s="13">
        <v>0</v>
      </c>
      <c r="AA433" s="13">
        <f t="shared" si="75"/>
        <v>1.3836174570760639E-9</v>
      </c>
      <c r="AB433" s="13">
        <f t="shared" si="76"/>
        <v>659.99999999861632</v>
      </c>
      <c r="AC433" s="13">
        <f t="shared" si="68"/>
        <v>659.99999999999989</v>
      </c>
      <c r="AD433" s="13">
        <f t="shared" si="69"/>
        <v>8.9446658149133404E-10</v>
      </c>
      <c r="AE433" s="13">
        <f t="shared" si="70"/>
        <v>1.7469917387324042E-13</v>
      </c>
      <c r="AF433" s="13">
        <f t="shared" si="71"/>
        <v>2.761101090440883E-14</v>
      </c>
      <c r="AG433" s="13">
        <f t="shared" si="72"/>
        <v>2.7611010904408833E-14</v>
      </c>
      <c r="AH433" s="10"/>
      <c r="AI433" s="13">
        <f t="shared" si="66"/>
        <v>3.4528343562069956E-54</v>
      </c>
      <c r="AJ433" s="10"/>
      <c r="AK433" s="10"/>
      <c r="AL433" s="10"/>
      <c r="AM433" s="10"/>
      <c r="AN433" s="10"/>
    </row>
    <row r="434" spans="19:40">
      <c r="S434" s="10"/>
      <c r="T434" s="12">
        <v>428</v>
      </c>
      <c r="U434" s="13">
        <f t="shared" si="67"/>
        <v>0.39073743856001741</v>
      </c>
      <c r="V434" s="13">
        <f t="shared" si="73"/>
        <v>2.0942540472773999E-62</v>
      </c>
      <c r="W434" s="13">
        <f t="shared" si="74"/>
        <v>2.0942540472773999E-62</v>
      </c>
      <c r="X434" s="13">
        <v>0</v>
      </c>
      <c r="Y434" s="13">
        <v>0</v>
      </c>
      <c r="Z434" s="13">
        <v>0</v>
      </c>
      <c r="AA434" s="13">
        <f t="shared" si="75"/>
        <v>1.2965079082002602E-9</v>
      </c>
      <c r="AB434" s="13">
        <f t="shared" si="76"/>
        <v>659.9999999987034</v>
      </c>
      <c r="AC434" s="13">
        <f t="shared" si="68"/>
        <v>659.99999999999989</v>
      </c>
      <c r="AD434" s="13">
        <f t="shared" si="69"/>
        <v>8.3568300141397817E-10</v>
      </c>
      <c r="AE434" s="13">
        <f t="shared" si="70"/>
        <v>1.6370049345962886E-13</v>
      </c>
      <c r="AF434" s="13">
        <f t="shared" si="71"/>
        <v>2.5796438840900395E-14</v>
      </c>
      <c r="AG434" s="13">
        <f t="shared" si="72"/>
        <v>2.5796438840900392E-14</v>
      </c>
      <c r="AH434" s="10"/>
      <c r="AI434" s="13">
        <f t="shared" si="66"/>
        <v>2.3364198654779726E-54</v>
      </c>
      <c r="AJ434" s="10"/>
      <c r="AK434" s="10"/>
      <c r="AL434" s="10"/>
      <c r="AM434" s="10"/>
      <c r="AN434" s="10"/>
    </row>
    <row r="435" spans="19:40">
      <c r="S435" s="10"/>
      <c r="T435" s="12">
        <v>429</v>
      </c>
      <c r="U435" s="13">
        <f t="shared" si="67"/>
        <v>0.39106058816613726</v>
      </c>
      <c r="V435" s="13">
        <f t="shared" si="73"/>
        <v>1.274906593722942E-62</v>
      </c>
      <c r="W435" s="13">
        <f t="shared" si="74"/>
        <v>1.274906593722942E-62</v>
      </c>
      <c r="X435" s="13">
        <v>0</v>
      </c>
      <c r="Y435" s="13">
        <v>0</v>
      </c>
      <c r="Z435" s="13">
        <v>0</v>
      </c>
      <c r="AA435" s="13">
        <f t="shared" si="75"/>
        <v>1.2148825872564903E-9</v>
      </c>
      <c r="AB435" s="13">
        <f t="shared" si="76"/>
        <v>659.99999999878503</v>
      </c>
      <c r="AC435" s="13">
        <f t="shared" si="68"/>
        <v>659.99999999999989</v>
      </c>
      <c r="AD435" s="13">
        <f t="shared" si="69"/>
        <v>7.8076262803233743E-10</v>
      </c>
      <c r="AE435" s="13">
        <f t="shared" si="70"/>
        <v>1.5339426606773868E-13</v>
      </c>
      <c r="AF435" s="13">
        <f t="shared" si="71"/>
        <v>2.4101118904199798E-14</v>
      </c>
      <c r="AG435" s="13">
        <f t="shared" si="72"/>
        <v>2.4101118904199798E-14</v>
      </c>
      <c r="AH435" s="10"/>
      <c r="AI435" s="13">
        <f t="shared" si="66"/>
        <v>1.5804675670965326E-54</v>
      </c>
      <c r="AJ435" s="10"/>
      <c r="AK435" s="10"/>
      <c r="AL435" s="10"/>
      <c r="AM435" s="10"/>
      <c r="AN435" s="10"/>
    </row>
    <row r="436" spans="19:40">
      <c r="S436" s="10"/>
      <c r="T436" s="12">
        <v>430</v>
      </c>
      <c r="U436" s="13">
        <f t="shared" si="67"/>
        <v>0.39138325170597099</v>
      </c>
      <c r="V436" s="13">
        <f t="shared" si="73"/>
        <v>7.7570594655534437E-63</v>
      </c>
      <c r="W436" s="13">
        <f t="shared" si="74"/>
        <v>7.7570594655534437E-63</v>
      </c>
      <c r="X436" s="13">
        <v>0</v>
      </c>
      <c r="Y436" s="13">
        <v>0</v>
      </c>
      <c r="Z436" s="13">
        <v>0</v>
      </c>
      <c r="AA436" s="13">
        <f t="shared" si="75"/>
        <v>1.1383962191698782E-9</v>
      </c>
      <c r="AB436" s="13">
        <f t="shared" si="76"/>
        <v>659.99999999886154</v>
      </c>
      <c r="AC436" s="13">
        <f t="shared" si="68"/>
        <v>659.99999999999989</v>
      </c>
      <c r="AD436" s="13">
        <f t="shared" si="69"/>
        <v>7.2945157470061437E-10</v>
      </c>
      <c r="AE436" s="13">
        <f t="shared" si="70"/>
        <v>1.4373689635983314E-13</v>
      </c>
      <c r="AF436" s="13">
        <f t="shared" si="71"/>
        <v>2.2517213946345728E-14</v>
      </c>
      <c r="AG436" s="13">
        <f t="shared" si="72"/>
        <v>2.2517213946345728E-14</v>
      </c>
      <c r="AH436" s="10"/>
      <c r="AI436" s="13">
        <f t="shared" si="66"/>
        <v>1.0687596510378556E-54</v>
      </c>
      <c r="AJ436" s="10"/>
      <c r="AK436" s="10"/>
      <c r="AL436" s="10"/>
      <c r="AM436" s="10"/>
      <c r="AN436" s="10"/>
    </row>
    <row r="437" spans="19:40">
      <c r="S437" s="10"/>
      <c r="T437" s="12">
        <v>431</v>
      </c>
      <c r="U437" s="13">
        <f t="shared" si="67"/>
        <v>0.39170543103847832</v>
      </c>
      <c r="V437" s="13">
        <f t="shared" si="73"/>
        <v>4.7172169191484605E-63</v>
      </c>
      <c r="W437" s="13">
        <f t="shared" si="74"/>
        <v>4.7172169191484605E-63</v>
      </c>
      <c r="X437" s="13">
        <v>0</v>
      </c>
      <c r="Y437" s="13">
        <v>0</v>
      </c>
      <c r="Z437" s="13">
        <v>0</v>
      </c>
      <c r="AA437" s="13">
        <f t="shared" si="75"/>
        <v>1.066725266634074E-9</v>
      </c>
      <c r="AB437" s="13">
        <f t="shared" si="76"/>
        <v>659.99999999893316</v>
      </c>
      <c r="AC437" s="13">
        <f t="shared" si="68"/>
        <v>659.99999999999989</v>
      </c>
      <c r="AD437" s="13">
        <f t="shared" si="69"/>
        <v>6.8151263998661542E-10</v>
      </c>
      <c r="AE437" s="13">
        <f t="shared" si="70"/>
        <v>1.3468753366591847E-13</v>
      </c>
      <c r="AF437" s="13">
        <f t="shared" si="71"/>
        <v>2.1037401870049847E-14</v>
      </c>
      <c r="AG437" s="13">
        <f t="shared" si="72"/>
        <v>2.1037401870049847E-14</v>
      </c>
      <c r="AH437" s="10"/>
      <c r="AI437" s="13">
        <f t="shared" si="66"/>
        <v>7.224943997717228E-55</v>
      </c>
      <c r="AJ437" s="10"/>
      <c r="AK437" s="10"/>
      <c r="AL437" s="10"/>
      <c r="AM437" s="10"/>
      <c r="AN437" s="10"/>
    </row>
    <row r="438" spans="19:40">
      <c r="S438" s="10"/>
      <c r="T438" s="12">
        <v>432</v>
      </c>
      <c r="U438" s="13">
        <f t="shared" si="67"/>
        <v>0.39202712801121575</v>
      </c>
      <c r="V438" s="13">
        <f t="shared" si="73"/>
        <v>2.86711273925404E-63</v>
      </c>
      <c r="W438" s="13">
        <f t="shared" si="74"/>
        <v>2.86711273925404E-63</v>
      </c>
      <c r="X438" s="13">
        <v>0</v>
      </c>
      <c r="Y438" s="13">
        <v>0</v>
      </c>
      <c r="Z438" s="13">
        <v>0</v>
      </c>
      <c r="AA438" s="13">
        <f t="shared" si="75"/>
        <v>9.9956656154857793E-10</v>
      </c>
      <c r="AB438" s="13">
        <f t="shared" si="76"/>
        <v>659.99999999900035</v>
      </c>
      <c r="AC438" s="13">
        <f t="shared" si="68"/>
        <v>659.99999999999989</v>
      </c>
      <c r="AD438" s="13">
        <f t="shared" si="69"/>
        <v>6.3672421113375762E-10</v>
      </c>
      <c r="AE438" s="13">
        <f t="shared" si="70"/>
        <v>1.2620789918542652E-13</v>
      </c>
      <c r="AF438" s="13">
        <f t="shared" si="71"/>
        <v>1.965484178000631E-14</v>
      </c>
      <c r="AG438" s="13">
        <f t="shared" si="72"/>
        <v>1.965484178000631E-14</v>
      </c>
      <c r="AH438" s="10"/>
      <c r="AI438" s="13">
        <f t="shared" si="66"/>
        <v>4.8825770433997541E-55</v>
      </c>
      <c r="AJ438" s="10"/>
      <c r="AK438" s="10"/>
      <c r="AL438" s="10"/>
      <c r="AM438" s="10"/>
      <c r="AN438" s="10"/>
    </row>
    <row r="439" spans="19:40">
      <c r="S439" s="10"/>
      <c r="T439" s="12">
        <v>433</v>
      </c>
      <c r="U439" s="13">
        <f t="shared" si="67"/>
        <v>0.39234834446043299</v>
      </c>
      <c r="V439" s="13">
        <f t="shared" si="73"/>
        <v>1.7417030453586061E-63</v>
      </c>
      <c r="W439" s="13">
        <f t="shared" si="74"/>
        <v>1.7417030453586061E-63</v>
      </c>
      <c r="X439" s="13">
        <v>0</v>
      </c>
      <c r="Y439" s="13">
        <v>0</v>
      </c>
      <c r="Z439" s="13">
        <v>0</v>
      </c>
      <c r="AA439" s="13">
        <f t="shared" si="75"/>
        <v>9.3663602261779589E-10</v>
      </c>
      <c r="AB439" s="13">
        <f t="shared" si="76"/>
        <v>659.99999999906333</v>
      </c>
      <c r="AC439" s="13">
        <f t="shared" si="68"/>
        <v>660</v>
      </c>
      <c r="AD439" s="13">
        <f t="shared" si="69"/>
        <v>5.9487923958661757E-10</v>
      </c>
      <c r="AE439" s="13">
        <f t="shared" si="70"/>
        <v>1.1826212406790352E-13</v>
      </c>
      <c r="AF439" s="13">
        <f t="shared" si="71"/>
        <v>1.8363142358708306E-14</v>
      </c>
      <c r="AG439" s="13">
        <f t="shared" si="72"/>
        <v>1.8363142358708306E-14</v>
      </c>
      <c r="AH439" s="10"/>
      <c r="AI439" s="13">
        <f t="shared" si="66"/>
        <v>3.2985579461114586E-55</v>
      </c>
      <c r="AJ439" s="10"/>
      <c r="AK439" s="10"/>
      <c r="AL439" s="10"/>
      <c r="AM439" s="10"/>
      <c r="AN439" s="10"/>
    </row>
    <row r="440" spans="19:40">
      <c r="S440" s="10"/>
      <c r="T440" s="12">
        <v>434</v>
      </c>
      <c r="U440" s="13">
        <f t="shared" si="67"/>
        <v>0.39266908221116836</v>
      </c>
      <c r="V440" s="13">
        <f t="shared" si="73"/>
        <v>1.05748469592727E-63</v>
      </c>
      <c r="W440" s="13">
        <f t="shared" si="74"/>
        <v>1.05748469592727E-63</v>
      </c>
      <c r="X440" s="13">
        <v>0</v>
      </c>
      <c r="Y440" s="13">
        <v>0</v>
      </c>
      <c r="Z440" s="13">
        <v>0</v>
      </c>
      <c r="AA440" s="13">
        <f t="shared" si="75"/>
        <v>8.7766745368727405E-10</v>
      </c>
      <c r="AB440" s="13">
        <f t="shared" si="76"/>
        <v>659.99999999912234</v>
      </c>
      <c r="AC440" s="13">
        <f t="shared" si="68"/>
        <v>660</v>
      </c>
      <c r="AD440" s="13">
        <f t="shared" si="69"/>
        <v>5.5578428384406439E-10</v>
      </c>
      <c r="AE440" s="13">
        <f t="shared" si="70"/>
        <v>1.1081659768778713E-13</v>
      </c>
      <c r="AF440" s="13">
        <f t="shared" si="71"/>
        <v>1.715633232057892E-14</v>
      </c>
      <c r="AG440" s="13">
        <f t="shared" si="72"/>
        <v>1.715633232057892E-14</v>
      </c>
      <c r="AH440" s="10"/>
      <c r="AI440" s="13">
        <f t="shared" si="66"/>
        <v>2.2277155286799515E-55</v>
      </c>
      <c r="AJ440" s="10"/>
      <c r="AK440" s="10"/>
      <c r="AL440" s="10"/>
      <c r="AM440" s="10"/>
      <c r="AN440" s="10"/>
    </row>
    <row r="441" spans="19:40">
      <c r="S441" s="10"/>
      <c r="T441" s="12">
        <v>435</v>
      </c>
      <c r="U441" s="13">
        <f t="shared" si="67"/>
        <v>0.39298934307734201</v>
      </c>
      <c r="V441" s="13">
        <f t="shared" si="73"/>
        <v>6.4171904668152153E-64</v>
      </c>
      <c r="W441" s="13">
        <f t="shared" si="74"/>
        <v>6.4171904668152153E-64</v>
      </c>
      <c r="X441" s="13">
        <v>0</v>
      </c>
      <c r="Y441" s="13">
        <v>0</v>
      </c>
      <c r="Z441" s="13">
        <v>0</v>
      </c>
      <c r="AA441" s="13">
        <f t="shared" si="75"/>
        <v>8.2241141773407145E-10</v>
      </c>
      <c r="AB441" s="13">
        <f t="shared" si="76"/>
        <v>659.99999999917759</v>
      </c>
      <c r="AC441" s="13">
        <f t="shared" si="68"/>
        <v>660</v>
      </c>
      <c r="AD441" s="13">
        <f t="shared" si="69"/>
        <v>5.1925861521526937E-10</v>
      </c>
      <c r="AE441" s="13">
        <f t="shared" si="70"/>
        <v>1.0383982547147367E-13</v>
      </c>
      <c r="AF441" s="13">
        <f t="shared" si="71"/>
        <v>1.6028832807831329E-14</v>
      </c>
      <c r="AG441" s="13">
        <f t="shared" si="72"/>
        <v>1.6028832807831329E-14</v>
      </c>
      <c r="AH441" s="10"/>
      <c r="AI441" s="13">
        <f t="shared" si="66"/>
        <v>1.5040288108258368E-55</v>
      </c>
      <c r="AJ441" s="10"/>
      <c r="AK441" s="10"/>
      <c r="AL441" s="10"/>
      <c r="AM441" s="10"/>
      <c r="AN441" s="10"/>
    </row>
    <row r="442" spans="19:40">
      <c r="S442" s="10"/>
      <c r="T442" s="12">
        <v>436</v>
      </c>
      <c r="U442" s="13">
        <f t="shared" si="67"/>
        <v>0.39330912886184971</v>
      </c>
      <c r="V442" s="13">
        <f t="shared" si="73"/>
        <v>3.8921255999699695E-64</v>
      </c>
      <c r="W442" s="13">
        <f t="shared" si="74"/>
        <v>3.8921255999699695E-64</v>
      </c>
      <c r="X442" s="13">
        <v>0</v>
      </c>
      <c r="Y442" s="13">
        <v>0</v>
      </c>
      <c r="Z442" s="13">
        <v>0</v>
      </c>
      <c r="AA442" s="13">
        <f t="shared" si="75"/>
        <v>7.7063418174825322E-10</v>
      </c>
      <c r="AB442" s="13">
        <f t="shared" si="76"/>
        <v>659.99999999922932</v>
      </c>
      <c r="AC442" s="13">
        <f t="shared" si="68"/>
        <v>660</v>
      </c>
      <c r="AD442" s="13">
        <f t="shared" si="69"/>
        <v>4.8513338234466673E-10</v>
      </c>
      <c r="AE442" s="13">
        <f t="shared" si="70"/>
        <v>9.7302295675284495E-14</v>
      </c>
      <c r="AF442" s="13">
        <f t="shared" si="71"/>
        <v>1.4975431600449466E-14</v>
      </c>
      <c r="AG442" s="13">
        <f t="shared" si="72"/>
        <v>1.4975431600449466E-14</v>
      </c>
      <c r="AH442" s="10"/>
      <c r="AI442" s="13">
        <f t="shared" si="66"/>
        <v>1.0151111419866078E-55</v>
      </c>
      <c r="AJ442" s="10"/>
      <c r="AK442" s="10"/>
      <c r="AL442" s="10"/>
      <c r="AM442" s="10"/>
      <c r="AN442" s="10"/>
    </row>
    <row r="443" spans="19:40">
      <c r="S443" s="10"/>
      <c r="T443" s="12">
        <v>437</v>
      </c>
      <c r="U443" s="13">
        <f t="shared" si="67"/>
        <v>0.39362844135665542</v>
      </c>
      <c r="V443" s="13">
        <f t="shared" si="73"/>
        <v>2.3593917699815993E-64</v>
      </c>
      <c r="W443" s="13">
        <f t="shared" si="74"/>
        <v>2.3593917699815993E-64</v>
      </c>
      <c r="X443" s="13">
        <v>0</v>
      </c>
      <c r="Y443" s="13">
        <v>0</v>
      </c>
      <c r="Z443" s="13">
        <v>0</v>
      </c>
      <c r="AA443" s="13">
        <f t="shared" si="75"/>
        <v>7.2211672804235217E-10</v>
      </c>
      <c r="AB443" s="13">
        <f t="shared" si="76"/>
        <v>659.99999999927786</v>
      </c>
      <c r="AC443" s="13">
        <f t="shared" si="68"/>
        <v>660</v>
      </c>
      <c r="AD443" s="13">
        <f t="shared" si="69"/>
        <v>4.5325083064361955E-10</v>
      </c>
      <c r="AE443" s="13">
        <f t="shared" si="70"/>
        <v>9.1176354550802042E-14</v>
      </c>
      <c r="AF443" s="13">
        <f t="shared" si="71"/>
        <v>1.3991259021066722E-14</v>
      </c>
      <c r="AG443" s="13">
        <f t="shared" si="72"/>
        <v>1.3991259021066726E-14</v>
      </c>
      <c r="AH443" s="10"/>
      <c r="AI443" s="13">
        <f t="shared" si="66"/>
        <v>6.8490802590805313E-56</v>
      </c>
      <c r="AJ443" s="10"/>
      <c r="AK443" s="10"/>
      <c r="AL443" s="10"/>
      <c r="AM443" s="10"/>
      <c r="AN443" s="10"/>
    </row>
    <row r="444" spans="19:40">
      <c r="S444" s="10"/>
      <c r="T444" s="12">
        <v>438</v>
      </c>
      <c r="U444" s="13">
        <f t="shared" si="67"/>
        <v>0.39394728234288107</v>
      </c>
      <c r="V444" s="13">
        <f t="shared" si="73"/>
        <v>1.4295020674218692E-64</v>
      </c>
      <c r="W444" s="13">
        <f t="shared" si="74"/>
        <v>1.4295020674218692E-64</v>
      </c>
      <c r="X444" s="13">
        <v>0</v>
      </c>
      <c r="Y444" s="13">
        <v>0</v>
      </c>
      <c r="Z444" s="13">
        <v>0</v>
      </c>
      <c r="AA444" s="13">
        <f t="shared" si="75"/>
        <v>6.7665382780663872E-10</v>
      </c>
      <c r="AB444" s="13">
        <f t="shared" si="76"/>
        <v>659.99999999932334</v>
      </c>
      <c r="AC444" s="13">
        <f t="shared" si="68"/>
        <v>660</v>
      </c>
      <c r="AD444" s="13">
        <f t="shared" si="69"/>
        <v>4.2346357302037291E-10</v>
      </c>
      <c r="AE444" s="13">
        <f t="shared" si="70"/>
        <v>8.5436089369525082E-14</v>
      </c>
      <c r="AF444" s="13">
        <f t="shared" si="71"/>
        <v>1.3071765423355528E-14</v>
      </c>
      <c r="AG444" s="13">
        <f t="shared" si="72"/>
        <v>1.3071765423355528E-14</v>
      </c>
      <c r="AH444" s="10"/>
      <c r="AI444" s="13">
        <f t="shared" si="66"/>
        <v>4.6196847805299718E-56</v>
      </c>
      <c r="AJ444" s="10"/>
      <c r="AK444" s="10"/>
      <c r="AL444" s="10"/>
      <c r="AM444" s="10"/>
      <c r="AN444" s="10"/>
    </row>
    <row r="445" spans="19:40">
      <c r="S445" s="10"/>
      <c r="T445" s="12">
        <v>439</v>
      </c>
      <c r="U445" s="13">
        <f t="shared" si="67"/>
        <v>0.39426565359089799</v>
      </c>
      <c r="V445" s="13">
        <f t="shared" si="73"/>
        <v>8.656478328010863E-65</v>
      </c>
      <c r="W445" s="13">
        <f t="shared" si="74"/>
        <v>8.656478328010863E-65</v>
      </c>
      <c r="X445" s="13">
        <v>0</v>
      </c>
      <c r="Y445" s="13">
        <v>0</v>
      </c>
      <c r="Z445" s="13">
        <v>0</v>
      </c>
      <c r="AA445" s="13">
        <f t="shared" si="75"/>
        <v>6.3405317299133765E-10</v>
      </c>
      <c r="AB445" s="13">
        <f t="shared" si="76"/>
        <v>659.99999999936597</v>
      </c>
      <c r="AC445" s="13">
        <f t="shared" si="68"/>
        <v>660</v>
      </c>
      <c r="AD445" s="13">
        <f t="shared" si="69"/>
        <v>3.9563390853700774E-10</v>
      </c>
      <c r="AE445" s="13">
        <f t="shared" si="70"/>
        <v>8.0057218812037573E-14</v>
      </c>
      <c r="AF445" s="13">
        <f t="shared" si="71"/>
        <v>1.2212700159860629E-14</v>
      </c>
      <c r="AG445" s="13">
        <f t="shared" si="72"/>
        <v>1.2212700159860628E-14</v>
      </c>
      <c r="AH445" s="10"/>
      <c r="AI445" s="13">
        <f t="shared" si="66"/>
        <v>3.114971386258241E-56</v>
      </c>
      <c r="AJ445" s="10"/>
      <c r="AK445" s="10"/>
      <c r="AL445" s="10"/>
      <c r="AM445" s="10"/>
      <c r="AN445" s="10"/>
    </row>
    <row r="446" spans="19:40">
      <c r="S446" s="10"/>
      <c r="T446" s="12">
        <v>440</v>
      </c>
      <c r="U446" s="13">
        <f t="shared" si="67"/>
        <v>0.39458355686041541</v>
      </c>
      <c r="V446" s="13">
        <f t="shared" si="73"/>
        <v>5.239256378663793E-65</v>
      </c>
      <c r="W446" s="13">
        <f t="shared" si="74"/>
        <v>5.239256378663793E-65</v>
      </c>
      <c r="X446" s="13">
        <v>0</v>
      </c>
      <c r="Y446" s="13">
        <v>0</v>
      </c>
      <c r="Z446" s="13">
        <v>0</v>
      </c>
      <c r="AA446" s="13">
        <f t="shared" si="75"/>
        <v>5.9413456284365508E-10</v>
      </c>
      <c r="AB446" s="13">
        <f t="shared" si="76"/>
        <v>659.99999999940587</v>
      </c>
      <c r="AC446" s="13">
        <f t="shared" si="68"/>
        <v>660</v>
      </c>
      <c r="AD446" s="13">
        <f t="shared" si="69"/>
        <v>3.6963318584368288E-10</v>
      </c>
      <c r="AE446" s="13">
        <f t="shared" si="70"/>
        <v>7.5016990258037265E-14</v>
      </c>
      <c r="AF446" s="13">
        <f t="shared" si="71"/>
        <v>1.1410091932048534E-14</v>
      </c>
      <c r="AG446" s="13">
        <f t="shared" si="72"/>
        <v>1.1410091932048533E-14</v>
      </c>
      <c r="AH446" s="10"/>
      <c r="AI446" s="13">
        <f t="shared" si="66"/>
        <v>2.0997017739808042E-56</v>
      </c>
      <c r="AJ446" s="10"/>
      <c r="AK446" s="10"/>
      <c r="AL446" s="10"/>
      <c r="AM446" s="10"/>
      <c r="AN446" s="10"/>
    </row>
    <row r="447" spans="19:40">
      <c r="S447" s="10"/>
      <c r="T447" s="12">
        <v>441</v>
      </c>
      <c r="U447" s="13">
        <f t="shared" si="67"/>
        <v>0.39490099390056926</v>
      </c>
      <c r="V447" s="13">
        <f t="shared" si="73"/>
        <v>3.1693501072879999E-65</v>
      </c>
      <c r="W447" s="13">
        <f t="shared" si="74"/>
        <v>3.1693501072879999E-65</v>
      </c>
      <c r="X447" s="13">
        <v>0</v>
      </c>
      <c r="Y447" s="13">
        <v>0</v>
      </c>
      <c r="Z447" s="13">
        <v>0</v>
      </c>
      <c r="AA447" s="13">
        <f t="shared" si="75"/>
        <v>5.5672914165866607E-10</v>
      </c>
      <c r="AB447" s="13">
        <f t="shared" si="76"/>
        <v>659.99999999944328</v>
      </c>
      <c r="AC447" s="13">
        <f t="shared" si="68"/>
        <v>660</v>
      </c>
      <c r="AD447" s="13">
        <f t="shared" si="69"/>
        <v>3.4534120844743083E-10</v>
      </c>
      <c r="AE447" s="13">
        <f t="shared" si="70"/>
        <v>7.0294083542760864E-14</v>
      </c>
      <c r="AF447" s="13">
        <f t="shared" si="71"/>
        <v>1.0660230431734822E-14</v>
      </c>
      <c r="AG447" s="13">
        <f t="shared" si="72"/>
        <v>1.0660230431734822E-14</v>
      </c>
      <c r="AH447" s="10"/>
      <c r="AI447" s="13">
        <f t="shared" si="66"/>
        <v>1.4148917240964779E-56</v>
      </c>
      <c r="AJ447" s="10"/>
      <c r="AK447" s="10"/>
      <c r="AL447" s="10"/>
      <c r="AM447" s="10"/>
      <c r="AN447" s="10"/>
    </row>
    <row r="448" spans="19:40">
      <c r="S448" s="10"/>
      <c r="T448" s="12">
        <v>442</v>
      </c>
      <c r="U448" s="13">
        <f t="shared" si="67"/>
        <v>0.39521796645000884</v>
      </c>
      <c r="V448" s="13">
        <f t="shared" si="73"/>
        <v>1.9162102473734517E-65</v>
      </c>
      <c r="W448" s="13">
        <f t="shared" si="74"/>
        <v>1.9162102473734517E-65</v>
      </c>
      <c r="X448" s="13">
        <v>0</v>
      </c>
      <c r="Y448" s="13">
        <v>0</v>
      </c>
      <c r="Z448" s="13">
        <v>0</v>
      </c>
      <c r="AA448" s="13">
        <f t="shared" si="75"/>
        <v>5.2167868451975066E-10</v>
      </c>
      <c r="AB448" s="13">
        <f t="shared" si="76"/>
        <v>659.99999999947829</v>
      </c>
      <c r="AC448" s="13">
        <f t="shared" si="68"/>
        <v>660</v>
      </c>
      <c r="AD448" s="13">
        <f t="shared" si="69"/>
        <v>3.2264567906618351E-10</v>
      </c>
      <c r="AE448" s="13">
        <f t="shared" si="70"/>
        <v>6.5868520772695797E-14</v>
      </c>
      <c r="AF448" s="13">
        <f t="shared" si="71"/>
        <v>9.9596491890212612E-15</v>
      </c>
      <c r="AG448" s="13">
        <f t="shared" si="72"/>
        <v>9.9596491890212612E-15</v>
      </c>
      <c r="AH448" s="10"/>
      <c r="AI448" s="13">
        <f t="shared" si="66"/>
        <v>9.5312758151382265E-57</v>
      </c>
      <c r="AJ448" s="10"/>
      <c r="AK448" s="10"/>
      <c r="AL448" s="10"/>
      <c r="AM448" s="10"/>
      <c r="AN448" s="10"/>
    </row>
    <row r="449" spans="19:40">
      <c r="S449" s="10"/>
      <c r="T449" s="12">
        <v>443</v>
      </c>
      <c r="U449" s="13">
        <f t="shared" si="67"/>
        <v>0.3955344762369839</v>
      </c>
      <c r="V449" s="13">
        <f t="shared" si="73"/>
        <v>1.1579470173040431E-65</v>
      </c>
      <c r="W449" s="13">
        <f t="shared" si="74"/>
        <v>1.1579470173040431E-65</v>
      </c>
      <c r="X449" s="13">
        <v>0</v>
      </c>
      <c r="Y449" s="13">
        <v>0</v>
      </c>
      <c r="Z449" s="13">
        <v>0</v>
      </c>
      <c r="AA449" s="13">
        <f t="shared" si="75"/>
        <v>4.8883492800725966E-10</v>
      </c>
      <c r="AB449" s="13">
        <f t="shared" si="76"/>
        <v>659.99999999951115</v>
      </c>
      <c r="AC449" s="13">
        <f t="shared" si="68"/>
        <v>660</v>
      </c>
      <c r="AD449" s="13">
        <f t="shared" si="69"/>
        <v>3.0144168049937548E-10</v>
      </c>
      <c r="AE449" s="13">
        <f t="shared" si="70"/>
        <v>6.1721581819098449E-14</v>
      </c>
      <c r="AF449" s="13">
        <f t="shared" si="71"/>
        <v>9.3051095474517919E-15</v>
      </c>
      <c r="AG449" s="13">
        <f t="shared" si="72"/>
        <v>9.3051095474517903E-15</v>
      </c>
      <c r="AH449" s="10"/>
      <c r="AI449" s="13">
        <f t="shared" si="66"/>
        <v>6.4186147439039958E-57</v>
      </c>
      <c r="AJ449" s="10"/>
      <c r="AK449" s="10"/>
      <c r="AL449" s="10"/>
      <c r="AM449" s="10"/>
      <c r="AN449" s="10"/>
    </row>
    <row r="450" spans="19:40">
      <c r="S450" s="10"/>
      <c r="T450" s="12">
        <v>444</v>
      </c>
      <c r="U450" s="13">
        <f t="shared" si="67"/>
        <v>0.39585052497943002</v>
      </c>
      <c r="V450" s="13">
        <f t="shared" si="73"/>
        <v>6.9937003294180305E-66</v>
      </c>
      <c r="W450" s="13">
        <f t="shared" si="74"/>
        <v>6.9937003294180305E-66</v>
      </c>
      <c r="X450" s="13">
        <v>0</v>
      </c>
      <c r="Y450" s="13">
        <v>0</v>
      </c>
      <c r="Z450" s="13">
        <v>0</v>
      </c>
      <c r="AA450" s="13">
        <f t="shared" si="75"/>
        <v>4.5805894304430946E-10</v>
      </c>
      <c r="AB450" s="13">
        <f t="shared" si="76"/>
        <v>659.99999999954196</v>
      </c>
      <c r="AC450" s="13">
        <f t="shared" si="68"/>
        <v>660</v>
      </c>
      <c r="AD450" s="13">
        <f t="shared" si="69"/>
        <v>2.8163119061528875E-10</v>
      </c>
      <c r="AE450" s="13">
        <f t="shared" si="70"/>
        <v>5.7835725131857257E-14</v>
      </c>
      <c r="AF450" s="13">
        <f t="shared" si="71"/>
        <v>8.6935856923076313E-15</v>
      </c>
      <c r="AG450" s="13">
        <f t="shared" si="72"/>
        <v>8.6935856923076313E-15</v>
      </c>
      <c r="AH450" s="10"/>
      <c r="AI450" s="13">
        <f t="shared" si="66"/>
        <v>4.3210990666941121E-57</v>
      </c>
      <c r="AJ450" s="10"/>
      <c r="AK450" s="10"/>
      <c r="AL450" s="10"/>
      <c r="AM450" s="10"/>
      <c r="AN450" s="10"/>
    </row>
    <row r="451" spans="19:40">
      <c r="S451" s="10"/>
      <c r="T451" s="12">
        <v>445</v>
      </c>
      <c r="U451" s="13">
        <f t="shared" si="67"/>
        <v>0.39616611438505273</v>
      </c>
      <c r="V451" s="13">
        <f t="shared" si="73"/>
        <v>4.2218068773135149E-66</v>
      </c>
      <c r="W451" s="13">
        <f t="shared" si="74"/>
        <v>4.2218068773135149E-66</v>
      </c>
      <c r="X451" s="13">
        <v>0</v>
      </c>
      <c r="Y451" s="13">
        <v>0</v>
      </c>
      <c r="Z451" s="13">
        <v>0</v>
      </c>
      <c r="AA451" s="13">
        <f t="shared" si="75"/>
        <v>4.2922054722684206E-10</v>
      </c>
      <c r="AB451" s="13">
        <f t="shared" si="76"/>
        <v>659.99999999957083</v>
      </c>
      <c r="AC451" s="13">
        <f t="shared" si="68"/>
        <v>660</v>
      </c>
      <c r="AD451" s="13">
        <f t="shared" si="69"/>
        <v>2.6312262921301426E-10</v>
      </c>
      <c r="AE451" s="13">
        <f t="shared" si="70"/>
        <v>5.4194513538742681E-14</v>
      </c>
      <c r="AF451" s="13">
        <f t="shared" si="71"/>
        <v>8.122250662829983E-15</v>
      </c>
      <c r="AG451" s="13">
        <f t="shared" si="72"/>
        <v>8.122250662829983E-15</v>
      </c>
      <c r="AH451" s="10"/>
      <c r="AI451" s="13">
        <f t="shared" si="66"/>
        <v>2.9081042999782533E-57</v>
      </c>
      <c r="AJ451" s="10"/>
      <c r="AK451" s="10"/>
      <c r="AL451" s="10"/>
      <c r="AM451" s="10"/>
      <c r="AN451" s="10"/>
    </row>
    <row r="452" spans="19:40">
      <c r="S452" s="10"/>
      <c r="T452" s="12">
        <v>446</v>
      </c>
      <c r="U452" s="13">
        <f t="shared" si="67"/>
        <v>0.39648124615141217</v>
      </c>
      <c r="V452" s="13">
        <f t="shared" si="73"/>
        <v>2.5471993184253109E-66</v>
      </c>
      <c r="W452" s="13">
        <f t="shared" si="74"/>
        <v>2.5471993184253109E-66</v>
      </c>
      <c r="X452" s="13">
        <v>0</v>
      </c>
      <c r="Y452" s="13">
        <v>0</v>
      </c>
      <c r="Z452" s="13">
        <v>0</v>
      </c>
      <c r="AA452" s="13">
        <f t="shared" si="75"/>
        <v>4.0219775415210833E-10</v>
      </c>
      <c r="AB452" s="13">
        <f t="shared" si="76"/>
        <v>659.99999999959789</v>
      </c>
      <c r="AC452" s="13">
        <f t="shared" si="68"/>
        <v>660.00000000000011</v>
      </c>
      <c r="AD452" s="13">
        <f t="shared" si="69"/>
        <v>2.4583043466425958E-10</v>
      </c>
      <c r="AE452" s="13">
        <f t="shared" si="70"/>
        <v>5.0782544716175289E-14</v>
      </c>
      <c r="AF452" s="13">
        <f t="shared" si="71"/>
        <v>7.5884632837075907E-15</v>
      </c>
      <c r="AG452" s="13">
        <f t="shared" si="72"/>
        <v>7.5884632837075923E-15</v>
      </c>
      <c r="AH452" s="10"/>
      <c r="AI452" s="13">
        <f t="shared" si="66"/>
        <v>1.9565401959086827E-57</v>
      </c>
      <c r="AJ452" s="10"/>
      <c r="AK452" s="10"/>
      <c r="AL452" s="10"/>
      <c r="AM452" s="10"/>
      <c r="AN452" s="10"/>
    </row>
    <row r="453" spans="19:40">
      <c r="S453" s="10"/>
      <c r="T453" s="12">
        <v>447</v>
      </c>
      <c r="U453" s="13">
        <f t="shared" si="67"/>
        <v>0.39679592196600516</v>
      </c>
      <c r="V453" s="13">
        <f t="shared" si="73"/>
        <v>1.5360343569998833E-66</v>
      </c>
      <c r="W453" s="13">
        <f t="shared" si="74"/>
        <v>1.5360343569998833E-66</v>
      </c>
      <c r="X453" s="13">
        <v>0</v>
      </c>
      <c r="Y453" s="13">
        <v>0</v>
      </c>
      <c r="Z453" s="13">
        <v>0</v>
      </c>
      <c r="AA453" s="13">
        <f t="shared" si="75"/>
        <v>3.768762574162331E-10</v>
      </c>
      <c r="AB453" s="13">
        <f t="shared" si="76"/>
        <v>659.99999999962324</v>
      </c>
      <c r="AC453" s="13">
        <f t="shared" si="68"/>
        <v>660.00000000000011</v>
      </c>
      <c r="AD453" s="13">
        <f t="shared" si="69"/>
        <v>2.2967466837789467E-10</v>
      </c>
      <c r="AE453" s="13">
        <f t="shared" si="70"/>
        <v>4.7585386037403158E-14</v>
      </c>
      <c r="AF453" s="13">
        <f t="shared" si="71"/>
        <v>7.0897559554157259E-15</v>
      </c>
      <c r="AG453" s="13">
        <f t="shared" si="72"/>
        <v>7.0897559554157267E-15</v>
      </c>
      <c r="AH453" s="10"/>
      <c r="AI453" s="13">
        <f t="shared" si="66"/>
        <v>1.3159240063174301E-57</v>
      </c>
      <c r="AJ453" s="10"/>
      <c r="AK453" s="10"/>
      <c r="AL453" s="10"/>
      <c r="AM453" s="10"/>
      <c r="AN453" s="10"/>
    </row>
    <row r="454" spans="19:40">
      <c r="S454" s="10"/>
      <c r="T454" s="12">
        <v>448</v>
      </c>
      <c r="U454" s="13">
        <f t="shared" si="67"/>
        <v>0.39711014350634743</v>
      </c>
      <c r="V454" s="13">
        <f t="shared" si="73"/>
        <v>9.257901845886168E-67</v>
      </c>
      <c r="W454" s="13">
        <f t="shared" si="74"/>
        <v>9.257901845886168E-67</v>
      </c>
      <c r="X454" s="13">
        <v>0</v>
      </c>
      <c r="Y454" s="13">
        <v>0</v>
      </c>
      <c r="Z454" s="13">
        <v>0</v>
      </c>
      <c r="AA454" s="13">
        <f t="shared" si="75"/>
        <v>3.5314894709817275E-10</v>
      </c>
      <c r="AB454" s="13">
        <f t="shared" si="76"/>
        <v>659.999999999647</v>
      </c>
      <c r="AC454" s="13">
        <f t="shared" si="68"/>
        <v>660.00000000000011</v>
      </c>
      <c r="AD454" s="13">
        <f t="shared" si="69"/>
        <v>2.1458064525875042E-10</v>
      </c>
      <c r="AE454" s="13">
        <f t="shared" si="70"/>
        <v>4.4589513522496551E-14</v>
      </c>
      <c r="AF454" s="13">
        <f t="shared" si="71"/>
        <v>6.6238232469636908E-15</v>
      </c>
      <c r="AG454" s="13">
        <f t="shared" si="72"/>
        <v>6.62382324696369E-15</v>
      </c>
      <c r="AH454" s="10"/>
      <c r="AI454" s="13">
        <f t="shared" ref="AI454:AI486" si="77">EXP(-lambda_pacl*(T454^gamma_pacl))</f>
        <v>8.8478200597687246E-58</v>
      </c>
      <c r="AJ454" s="10"/>
      <c r="AK454" s="10"/>
      <c r="AL454" s="10"/>
      <c r="AM454" s="10"/>
      <c r="AN454" s="10"/>
    </row>
    <row r="455" spans="19:40">
      <c r="S455" s="10"/>
      <c r="T455" s="12">
        <v>449</v>
      </c>
      <c r="U455" s="13">
        <f t="shared" ref="U455:U486" si="78">gamma_pacl*lambda_pacl*T455^(gamma_pacl-1)</f>
        <v>0.3974239124400552</v>
      </c>
      <c r="V455" s="13">
        <f t="shared" si="73"/>
        <v>5.5769668710006295E-67</v>
      </c>
      <c r="W455" s="13">
        <f t="shared" si="74"/>
        <v>5.5769668710006295E-67</v>
      </c>
      <c r="X455" s="13">
        <v>0</v>
      </c>
      <c r="Y455" s="13">
        <v>0</v>
      </c>
      <c r="Z455" s="13">
        <v>0</v>
      </c>
      <c r="AA455" s="13">
        <f t="shared" si="75"/>
        <v>3.3091545668479206E-10</v>
      </c>
      <c r="AB455" s="13">
        <f t="shared" si="76"/>
        <v>659.99999999966928</v>
      </c>
      <c r="AC455" s="13">
        <f t="shared" ref="AC455:AC486" si="79">V455+AA455+AB455</f>
        <v>660.00000000000023</v>
      </c>
      <c r="AD455" s="13">
        <f t="shared" ref="AD455:AD486" si="80">(V455*cPFS_PALB_after+AA455*cP)/AC455/(1+rdis_Month)^T454</f>
        <v>2.0047858845234904E-10</v>
      </c>
      <c r="AE455" s="13">
        <f t="shared" ref="AE455:AE486" si="81">(V455+AA455)/AC455/12</f>
        <v>4.1782254631918181E-14</v>
      </c>
      <c r="AF455" s="13">
        <f t="shared" ref="AF455:AF486" si="82">(V455*uS+AA455*uP)/AC455/12/(1+rdis_Month)^T454</f>
        <v>6.1885112383172112E-15</v>
      </c>
      <c r="AG455" s="13">
        <f t="shared" ref="AG455:AG486" si="83">(W455*uS/12+X455*(uS+duAE1_PALB)/12+Y455*(uS/12+duAE2_PALB)/12+Z455*(uS+duAE3_PALB)/12+AA455*uP/12)/AC455/(1+rdis_Month)^T454</f>
        <v>6.1885112383172112E-15</v>
      </c>
      <c r="AH455" s="10"/>
      <c r="AI455" s="13">
        <f t="shared" si="77"/>
        <v>5.9471020002626924E-58</v>
      </c>
      <c r="AJ455" s="10"/>
      <c r="AK455" s="10"/>
      <c r="AL455" s="10"/>
      <c r="AM455" s="10"/>
      <c r="AN455" s="10"/>
    </row>
    <row r="456" spans="19:40">
      <c r="S456" s="10"/>
      <c r="T456" s="12">
        <v>450</v>
      </c>
      <c r="U456" s="13">
        <f t="shared" si="78"/>
        <v>0.39773723042492498</v>
      </c>
      <c r="V456" s="13">
        <f t="shared" ref="V456:V486" si="84">SUM(W456:Z456)</f>
        <v>3.3578215748150389E-67</v>
      </c>
      <c r="W456" s="13">
        <f t="shared" ref="W456:W486" si="85">(1-($Q$13+U456))*W455</f>
        <v>3.3578215748150389E-67</v>
      </c>
      <c r="X456" s="13">
        <v>0</v>
      </c>
      <c r="Y456" s="13">
        <v>0</v>
      </c>
      <c r="Z456" s="13">
        <v>0</v>
      </c>
      <c r="AA456" s="13">
        <f t="shared" ref="AA456:AA486" si="86">(1-$Q$17)*AA455+(U456*W455)</f>
        <v>3.1008173852055379E-10</v>
      </c>
      <c r="AB456" s="13">
        <f t="shared" ref="AB456:AB486" si="87">(AB455*1)+(AA455*$Q$17)+(W455*$Q$13)</f>
        <v>659.99999999969009</v>
      </c>
      <c r="AC456" s="13">
        <f t="shared" si="79"/>
        <v>660.00000000000023</v>
      </c>
      <c r="AD456" s="13">
        <f t="shared" si="80"/>
        <v>1.8730330677951647E-10</v>
      </c>
      <c r="AE456" s="13">
        <f t="shared" si="81"/>
        <v>3.915173466168607E-14</v>
      </c>
      <c r="AF456" s="13">
        <f t="shared" si="82"/>
        <v>5.7818075632277455E-15</v>
      </c>
      <c r="AG456" s="13">
        <f t="shared" si="83"/>
        <v>5.7818075632277455E-15</v>
      </c>
      <c r="AH456" s="10"/>
      <c r="AI456" s="13">
        <f t="shared" si="77"/>
        <v>3.9961181730480985E-58</v>
      </c>
      <c r="AJ456" s="10"/>
      <c r="AK456" s="10"/>
      <c r="AL456" s="10"/>
      <c r="AM456" s="10"/>
      <c r="AN456" s="10"/>
    </row>
    <row r="457" spans="19:40">
      <c r="S457" s="10"/>
      <c r="T457" s="12">
        <v>451</v>
      </c>
      <c r="U457" s="13">
        <f t="shared" si="78"/>
        <v>0.39805009910901307</v>
      </c>
      <c r="V457" s="13">
        <f t="shared" si="84"/>
        <v>2.0206515595587988E-67</v>
      </c>
      <c r="W457" s="13">
        <f t="shared" si="85"/>
        <v>2.0206515595587988E-67</v>
      </c>
      <c r="X457" s="13">
        <v>0</v>
      </c>
      <c r="Y457" s="13">
        <v>0</v>
      </c>
      <c r="Z457" s="13">
        <v>0</v>
      </c>
      <c r="AA457" s="13">
        <f t="shared" si="86"/>
        <v>2.9055966598597358E-10</v>
      </c>
      <c r="AB457" s="13">
        <f t="shared" si="87"/>
        <v>659.99999999970964</v>
      </c>
      <c r="AC457" s="13">
        <f t="shared" si="79"/>
        <v>660.00000000000023</v>
      </c>
      <c r="AD457" s="13">
        <f t="shared" si="80"/>
        <v>1.7499389336971667E-10</v>
      </c>
      <c r="AE457" s="13">
        <f t="shared" si="81"/>
        <v>3.6686826513380488E-14</v>
      </c>
      <c r="AF457" s="13">
        <f t="shared" si="82"/>
        <v>5.4018321064385282E-15</v>
      </c>
      <c r="AG457" s="13">
        <f t="shared" si="83"/>
        <v>5.4018321064385282E-15</v>
      </c>
      <c r="AH457" s="10"/>
      <c r="AI457" s="13">
        <f t="shared" si="77"/>
        <v>2.6843261578469445E-58</v>
      </c>
      <c r="AJ457" s="10"/>
      <c r="AK457" s="10"/>
      <c r="AL457" s="10"/>
      <c r="AM457" s="10"/>
      <c r="AN457" s="10"/>
    </row>
    <row r="458" spans="19:40">
      <c r="S458" s="10"/>
      <c r="T458" s="12">
        <v>452</v>
      </c>
      <c r="U458" s="13">
        <f t="shared" si="78"/>
        <v>0.39836252013071477</v>
      </c>
      <c r="V458" s="13">
        <f t="shared" si="84"/>
        <v>1.2153453843585697E-67</v>
      </c>
      <c r="W458" s="13">
        <f t="shared" si="85"/>
        <v>1.2153453843585697E-67</v>
      </c>
      <c r="X458" s="13">
        <v>0</v>
      </c>
      <c r="Y458" s="13">
        <v>0</v>
      </c>
      <c r="Z458" s="13">
        <v>0</v>
      </c>
      <c r="AA458" s="13">
        <f t="shared" si="86"/>
        <v>2.7226666072205479E-10</v>
      </c>
      <c r="AB458" s="13">
        <f t="shared" si="87"/>
        <v>659.99999999972795</v>
      </c>
      <c r="AC458" s="13">
        <f t="shared" si="79"/>
        <v>660.00000000000023</v>
      </c>
      <c r="AD458" s="13">
        <f t="shared" si="80"/>
        <v>1.6349344409994513E-10</v>
      </c>
      <c r="AE458" s="13">
        <f t="shared" si="81"/>
        <v>3.4377103626522058E-14</v>
      </c>
      <c r="AF458" s="13">
        <f t="shared" si="82"/>
        <v>5.0468283122623019E-15</v>
      </c>
      <c r="AG458" s="13">
        <f t="shared" si="83"/>
        <v>5.0468283122623019E-15</v>
      </c>
      <c r="AH458" s="10"/>
      <c r="AI458" s="13">
        <f t="shared" si="77"/>
        <v>1.8025879533480596E-58</v>
      </c>
      <c r="AJ458" s="10"/>
      <c r="AK458" s="10"/>
      <c r="AL458" s="10"/>
      <c r="AM458" s="10"/>
      <c r="AN458" s="10"/>
    </row>
    <row r="459" spans="19:40">
      <c r="S459" s="10"/>
      <c r="T459" s="12">
        <v>453</v>
      </c>
      <c r="U459" s="13">
        <f t="shared" si="78"/>
        <v>0.39867449511884173</v>
      </c>
      <c r="V459" s="13">
        <f t="shared" si="84"/>
        <v>7.3060506220551544E-68</v>
      </c>
      <c r="W459" s="13">
        <f t="shared" si="85"/>
        <v>7.3060506220551544E-68</v>
      </c>
      <c r="X459" s="13">
        <v>0</v>
      </c>
      <c r="Y459" s="13">
        <v>0</v>
      </c>
      <c r="Z459" s="13">
        <v>0</v>
      </c>
      <c r="AA459" s="13">
        <f t="shared" si="86"/>
        <v>2.5512534332386311E-10</v>
      </c>
      <c r="AB459" s="13">
        <f t="shared" si="87"/>
        <v>659.99999999974511</v>
      </c>
      <c r="AC459" s="13">
        <f t="shared" si="79"/>
        <v>660.00000000000023</v>
      </c>
      <c r="AD459" s="13">
        <f t="shared" si="80"/>
        <v>1.5274879453757918E-10</v>
      </c>
      <c r="AE459" s="13">
        <f t="shared" si="81"/>
        <v>3.2212795874225132E-14</v>
      </c>
      <c r="AF459" s="13">
        <f t="shared" si="82"/>
        <v>4.7151550643519074E-15</v>
      </c>
      <c r="AG459" s="13">
        <f t="shared" si="83"/>
        <v>4.7151550643519082E-15</v>
      </c>
      <c r="AH459" s="10"/>
      <c r="AI459" s="13">
        <f t="shared" si="77"/>
        <v>1.2101022249378364E-58</v>
      </c>
      <c r="AJ459" s="10"/>
      <c r="AK459" s="10"/>
      <c r="AL459" s="10"/>
      <c r="AM459" s="10"/>
      <c r="AN459" s="10"/>
    </row>
    <row r="460" spans="19:40">
      <c r="S460" s="10"/>
      <c r="T460" s="12">
        <v>454</v>
      </c>
      <c r="U460" s="13">
        <f t="shared" si="78"/>
        <v>0.39898602569269948</v>
      </c>
      <c r="V460" s="13">
        <f t="shared" si="84"/>
        <v>4.3897573818165622E-68</v>
      </c>
      <c r="W460" s="13">
        <f t="shared" si="85"/>
        <v>4.3897573818165622E-68</v>
      </c>
      <c r="X460" s="13">
        <v>0</v>
      </c>
      <c r="Y460" s="13">
        <v>0</v>
      </c>
      <c r="Z460" s="13">
        <v>0</v>
      </c>
      <c r="AA460" s="13">
        <f t="shared" si="86"/>
        <v>2.3906320602567455E-10</v>
      </c>
      <c r="AB460" s="13">
        <f t="shared" si="87"/>
        <v>659.99999999976114</v>
      </c>
      <c r="AC460" s="13">
        <f t="shared" si="79"/>
        <v>660.00000000000023</v>
      </c>
      <c r="AD460" s="13">
        <f t="shared" si="80"/>
        <v>1.4271027417111837E-10</v>
      </c>
      <c r="AE460" s="13">
        <f t="shared" si="81"/>
        <v>3.0184748235564962E-14</v>
      </c>
      <c r="AF460" s="13">
        <f t="shared" si="82"/>
        <v>4.4052790991254024E-15</v>
      </c>
      <c r="AG460" s="13">
        <f t="shared" si="83"/>
        <v>4.4052790991254024E-15</v>
      </c>
      <c r="AH460" s="10"/>
      <c r="AI460" s="13">
        <f t="shared" si="77"/>
        <v>8.1210514530365754E-59</v>
      </c>
      <c r="AJ460" s="10"/>
      <c r="AK460" s="10"/>
      <c r="AL460" s="10"/>
      <c r="AM460" s="10"/>
      <c r="AN460" s="10"/>
    </row>
    <row r="461" spans="19:40">
      <c r="S461" s="10"/>
      <c r="T461" s="12">
        <v>455</v>
      </c>
      <c r="U461" s="13">
        <f t="shared" si="78"/>
        <v>0.39929711346216279</v>
      </c>
      <c r="V461" s="13">
        <f t="shared" si="84"/>
        <v>2.6361701726466164E-68</v>
      </c>
      <c r="W461" s="13">
        <f t="shared" si="85"/>
        <v>2.6361701726466164E-68</v>
      </c>
      <c r="X461" s="13">
        <v>0</v>
      </c>
      <c r="Y461" s="13">
        <v>0</v>
      </c>
      <c r="Z461" s="13">
        <v>0</v>
      </c>
      <c r="AA461" s="13">
        <f t="shared" si="86"/>
        <v>2.2401230599315569E-10</v>
      </c>
      <c r="AB461" s="13">
        <f t="shared" si="87"/>
        <v>659.99999999977615</v>
      </c>
      <c r="AC461" s="13">
        <f t="shared" si="79"/>
        <v>660.00000000000011</v>
      </c>
      <c r="AD461" s="13">
        <f t="shared" si="80"/>
        <v>1.3333147679267138E-10</v>
      </c>
      <c r="AE461" s="13">
        <f t="shared" si="81"/>
        <v>2.8284382069842883E-14</v>
      </c>
      <c r="AF461" s="13">
        <f t="shared" si="82"/>
        <v>4.1157679177744094E-15</v>
      </c>
      <c r="AG461" s="13">
        <f t="shared" si="83"/>
        <v>4.1157679177744094E-15</v>
      </c>
      <c r="AH461" s="10"/>
      <c r="AI461" s="13">
        <f t="shared" si="77"/>
        <v>5.4483784302576211E-59</v>
      </c>
      <c r="AJ461" s="10"/>
      <c r="AK461" s="10"/>
      <c r="AL461" s="10"/>
      <c r="AM461" s="10"/>
      <c r="AN461" s="10"/>
    </row>
    <row r="462" spans="19:40">
      <c r="S462" s="10"/>
      <c r="T462" s="12">
        <v>456</v>
      </c>
      <c r="U462" s="13">
        <f t="shared" si="78"/>
        <v>0.39960776002775289</v>
      </c>
      <c r="V462" s="13">
        <f t="shared" si="84"/>
        <v>1.5822738541435632E-68</v>
      </c>
      <c r="W462" s="13">
        <f t="shared" si="85"/>
        <v>1.5822738541435632E-68</v>
      </c>
      <c r="X462" s="13">
        <v>0</v>
      </c>
      <c r="Y462" s="13">
        <v>0</v>
      </c>
      <c r="Z462" s="13">
        <v>0</v>
      </c>
      <c r="AA462" s="13">
        <f t="shared" si="86"/>
        <v>2.0990897792520149E-10</v>
      </c>
      <c r="AB462" s="13">
        <f t="shared" si="87"/>
        <v>659.99999999979025</v>
      </c>
      <c r="AC462" s="13">
        <f t="shared" si="79"/>
        <v>660.00000000000011</v>
      </c>
      <c r="AD462" s="13">
        <f t="shared" si="80"/>
        <v>1.2456904597070997E-10</v>
      </c>
      <c r="AE462" s="13">
        <f t="shared" si="81"/>
        <v>2.6503658828939578E-14</v>
      </c>
      <c r="AF462" s="13">
        <f t="shared" si="82"/>
        <v>3.8452831640892335E-15</v>
      </c>
      <c r="AG462" s="13">
        <f t="shared" si="83"/>
        <v>3.8452831640892343E-15</v>
      </c>
      <c r="AH462" s="10"/>
      <c r="AI462" s="13">
        <f t="shared" si="77"/>
        <v>3.6541574808125357E-59</v>
      </c>
      <c r="AJ462" s="10"/>
      <c r="AK462" s="10"/>
      <c r="AL462" s="10"/>
      <c r="AM462" s="10"/>
      <c r="AN462" s="10"/>
    </row>
    <row r="463" spans="19:40">
      <c r="S463" s="10"/>
      <c r="T463" s="12">
        <v>457</v>
      </c>
      <c r="U463" s="13">
        <f t="shared" si="78"/>
        <v>0.39991796698070992</v>
      </c>
      <c r="V463" s="13">
        <f t="shared" si="84"/>
        <v>9.4921665447361423E-69</v>
      </c>
      <c r="W463" s="13">
        <f t="shared" si="85"/>
        <v>9.4921665447361423E-69</v>
      </c>
      <c r="X463" s="13">
        <v>0</v>
      </c>
      <c r="Y463" s="13">
        <v>0</v>
      </c>
      <c r="Z463" s="13">
        <v>0</v>
      </c>
      <c r="AA463" s="13">
        <f t="shared" si="86"/>
        <v>1.9669356474973726E-10</v>
      </c>
      <c r="AB463" s="13">
        <f t="shared" si="87"/>
        <v>659.99999999980344</v>
      </c>
      <c r="AC463" s="13">
        <f t="shared" si="79"/>
        <v>660.00000000000011</v>
      </c>
      <c r="AD463" s="13">
        <f t="shared" si="80"/>
        <v>1.1638247462136994E-10</v>
      </c>
      <c r="AE463" s="13">
        <f t="shared" si="81"/>
        <v>2.483504605425975E-14</v>
      </c>
      <c r="AF463" s="13">
        <f t="shared" si="82"/>
        <v>3.5925744374876491E-15</v>
      </c>
      <c r="AG463" s="13">
        <f t="shared" si="83"/>
        <v>3.5925744374876491E-15</v>
      </c>
      <c r="AH463" s="10"/>
      <c r="AI463" s="13">
        <f t="shared" si="77"/>
        <v>2.4500358452205511E-59</v>
      </c>
      <c r="AJ463" s="10"/>
      <c r="AK463" s="10"/>
      <c r="AL463" s="10"/>
      <c r="AM463" s="10"/>
      <c r="AN463" s="10"/>
    </row>
    <row r="464" spans="19:40">
      <c r="S464" s="10"/>
      <c r="T464" s="12">
        <v>458</v>
      </c>
      <c r="U464" s="13">
        <f t="shared" si="78"/>
        <v>0.40022773590306893</v>
      </c>
      <c r="V464" s="13">
        <f t="shared" si="84"/>
        <v>5.6914737383597868E-69</v>
      </c>
      <c r="W464" s="13">
        <f t="shared" si="85"/>
        <v>5.6914737383597868E-69</v>
      </c>
      <c r="X464" s="13">
        <v>0</v>
      </c>
      <c r="Y464" s="13">
        <v>0</v>
      </c>
      <c r="Z464" s="13">
        <v>0</v>
      </c>
      <c r="AA464" s="13">
        <f t="shared" si="86"/>
        <v>1.8431016527432767E-10</v>
      </c>
      <c r="AB464" s="13">
        <f t="shared" si="87"/>
        <v>659.99999999981583</v>
      </c>
      <c r="AC464" s="13">
        <f t="shared" si="79"/>
        <v>660.00000000000011</v>
      </c>
      <c r="AD464" s="13">
        <f t="shared" si="80"/>
        <v>1.0873391775175546E-10</v>
      </c>
      <c r="AE464" s="13">
        <f t="shared" si="81"/>
        <v>2.3271485514435308E-14</v>
      </c>
      <c r="AF464" s="13">
        <f t="shared" si="82"/>
        <v>3.3564735126461503E-15</v>
      </c>
      <c r="AG464" s="13">
        <f t="shared" si="83"/>
        <v>3.3564735126461503E-15</v>
      </c>
      <c r="AH464" s="10"/>
      <c r="AI464" s="13">
        <f t="shared" si="77"/>
        <v>1.6421884405626297E-59</v>
      </c>
      <c r="AJ464" s="10"/>
      <c r="AK464" s="10"/>
      <c r="AL464" s="10"/>
      <c r="AM464" s="10"/>
      <c r="AN464" s="10"/>
    </row>
    <row r="465" spans="19:40">
      <c r="S465" s="10"/>
      <c r="T465" s="12">
        <v>459</v>
      </c>
      <c r="U465" s="13">
        <f t="shared" si="78"/>
        <v>0.40053706836773245</v>
      </c>
      <c r="V465" s="13">
        <f t="shared" si="84"/>
        <v>3.4108295146223943E-69</v>
      </c>
      <c r="W465" s="13">
        <f t="shared" si="85"/>
        <v>3.4108295146223943E-69</v>
      </c>
      <c r="X465" s="13">
        <v>0</v>
      </c>
      <c r="Y465" s="13">
        <v>0</v>
      </c>
      <c r="Z465" s="13">
        <v>0</v>
      </c>
      <c r="AA465" s="13">
        <f t="shared" si="86"/>
        <v>1.7270639772415511E-10</v>
      </c>
      <c r="AB465" s="13">
        <f t="shared" si="87"/>
        <v>659.99999999982742</v>
      </c>
      <c r="AC465" s="13">
        <f t="shared" si="79"/>
        <v>660.00000000000011</v>
      </c>
      <c r="AD465" s="13">
        <f t="shared" si="80"/>
        <v>1.0158801750959323E-10</v>
      </c>
      <c r="AE465" s="13">
        <f t="shared" si="81"/>
        <v>2.1806363349009482E-14</v>
      </c>
      <c r="AF465" s="13">
        <f t="shared" si="82"/>
        <v>3.1358889390121154E-15</v>
      </c>
      <c r="AG465" s="13">
        <f t="shared" si="83"/>
        <v>3.1358889390121158E-15</v>
      </c>
      <c r="AH465" s="10"/>
      <c r="AI465" s="13">
        <f t="shared" si="77"/>
        <v>1.1003709264551716E-59</v>
      </c>
      <c r="AJ465" s="10"/>
      <c r="AK465" s="10"/>
      <c r="AL465" s="10"/>
      <c r="AM465" s="10"/>
      <c r="AN465" s="10"/>
    </row>
    <row r="466" spans="19:40">
      <c r="S466" s="10"/>
      <c r="T466" s="12">
        <v>460</v>
      </c>
      <c r="U466" s="13">
        <f t="shared" si="78"/>
        <v>0.40084596593854233</v>
      </c>
      <c r="V466" s="13">
        <f t="shared" si="84"/>
        <v>2.0430141634616172E-69</v>
      </c>
      <c r="W466" s="13">
        <f t="shared" si="85"/>
        <v>2.0430141634616172E-69</v>
      </c>
      <c r="X466" s="13">
        <v>0</v>
      </c>
      <c r="Y466" s="13">
        <v>0</v>
      </c>
      <c r="Z466" s="13">
        <v>0</v>
      </c>
      <c r="AA466" s="13">
        <f t="shared" si="86"/>
        <v>1.6183317816713328E-10</v>
      </c>
      <c r="AB466" s="13">
        <f t="shared" si="87"/>
        <v>659.99999999983834</v>
      </c>
      <c r="AC466" s="13">
        <f t="shared" si="79"/>
        <v>660.00000000000011</v>
      </c>
      <c r="AD466" s="13">
        <f t="shared" si="80"/>
        <v>9.4911739730474359E-11</v>
      </c>
      <c r="AE466" s="13">
        <f t="shared" si="81"/>
        <v>2.0433482091809752E-14</v>
      </c>
      <c r="AF466" s="13">
        <f t="shared" si="82"/>
        <v>2.9298009952314019E-15</v>
      </c>
      <c r="AG466" s="13">
        <f t="shared" si="83"/>
        <v>2.9298009952314015E-15</v>
      </c>
      <c r="AH466" s="10"/>
      <c r="AI466" s="13">
        <f t="shared" si="77"/>
        <v>7.370907762013954E-60</v>
      </c>
      <c r="AJ466" s="10"/>
      <c r="AK466" s="10"/>
      <c r="AL466" s="10"/>
      <c r="AM466" s="10"/>
      <c r="AN466" s="10"/>
    </row>
    <row r="467" spans="19:40">
      <c r="S467" s="10"/>
      <c r="T467" s="12">
        <v>461</v>
      </c>
      <c r="U467" s="13">
        <f t="shared" si="78"/>
        <v>0.40115443017035218</v>
      </c>
      <c r="V467" s="13">
        <f t="shared" si="84"/>
        <v>1.2230917319067137E-69</v>
      </c>
      <c r="W467" s="13">
        <f t="shared" si="85"/>
        <v>1.2230917319067137E-69</v>
      </c>
      <c r="X467" s="13">
        <v>0</v>
      </c>
      <c r="Y467" s="13">
        <v>0</v>
      </c>
      <c r="Z467" s="13">
        <v>0</v>
      </c>
      <c r="AA467" s="13">
        <f t="shared" si="86"/>
        <v>1.5164451288889405E-10</v>
      </c>
      <c r="AB467" s="13">
        <f t="shared" si="87"/>
        <v>659.99999999984857</v>
      </c>
      <c r="AC467" s="13">
        <f t="shared" si="79"/>
        <v>660.00000000000023</v>
      </c>
      <c r="AD467" s="13">
        <f t="shared" si="80"/>
        <v>8.8674221227071692E-11</v>
      </c>
      <c r="AE467" s="13">
        <f t="shared" si="81"/>
        <v>1.9147034455668437E-14</v>
      </c>
      <c r="AF467" s="13">
        <f t="shared" si="82"/>
        <v>2.7372569751666666E-15</v>
      </c>
      <c r="AG467" s="13">
        <f t="shared" si="83"/>
        <v>2.7372569751666666E-15</v>
      </c>
      <c r="AH467" s="10"/>
      <c r="AI467" s="13">
        <f t="shared" si="77"/>
        <v>4.9359276772287088E-60</v>
      </c>
      <c r="AJ467" s="10"/>
      <c r="AK467" s="10"/>
      <c r="AL467" s="10"/>
      <c r="AM467" s="10"/>
      <c r="AN467" s="10"/>
    </row>
    <row r="468" spans="19:40">
      <c r="S468" s="10"/>
      <c r="T468" s="12">
        <v>462</v>
      </c>
      <c r="U468" s="13">
        <f t="shared" si="78"/>
        <v>0.40146246260909829</v>
      </c>
      <c r="V468" s="13">
        <f t="shared" si="84"/>
        <v>7.3185184022323991E-70</v>
      </c>
      <c r="W468" s="13">
        <f t="shared" si="85"/>
        <v>7.3185184022323991E-70</v>
      </c>
      <c r="X468" s="13">
        <v>0</v>
      </c>
      <c r="Y468" s="13">
        <v>0</v>
      </c>
      <c r="Z468" s="13">
        <v>0</v>
      </c>
      <c r="AA468" s="13">
        <f t="shared" si="86"/>
        <v>1.4209730383939422E-10</v>
      </c>
      <c r="AB468" s="13">
        <f t="shared" si="87"/>
        <v>659.99999999985812</v>
      </c>
      <c r="AC468" s="13">
        <f t="shared" si="79"/>
        <v>660.00000000000023</v>
      </c>
      <c r="AD468" s="13">
        <f t="shared" si="80"/>
        <v>8.2846627114379577E-11</v>
      </c>
      <c r="AE468" s="13">
        <f t="shared" si="81"/>
        <v>1.7941578767600274E-14</v>
      </c>
      <c r="AF468" s="13">
        <f t="shared" si="82"/>
        <v>2.5573667837145332E-15</v>
      </c>
      <c r="AG468" s="13">
        <f t="shared" si="83"/>
        <v>2.5573667837145332E-15</v>
      </c>
      <c r="AH468" s="10"/>
      <c r="AI468" s="13">
        <f t="shared" si="77"/>
        <v>3.3043247873595516E-60</v>
      </c>
      <c r="AJ468" s="10"/>
      <c r="AK468" s="10"/>
      <c r="AL468" s="10"/>
      <c r="AM468" s="10"/>
      <c r="AN468" s="10"/>
    </row>
    <row r="469" spans="19:40">
      <c r="S469" s="10"/>
      <c r="T469" s="12">
        <v>463</v>
      </c>
      <c r="U469" s="13">
        <f t="shared" si="78"/>
        <v>0.40177006479186983</v>
      </c>
      <c r="V469" s="13">
        <f t="shared" si="84"/>
        <v>4.3768734642872617E-70</v>
      </c>
      <c r="W469" s="13">
        <f t="shared" si="85"/>
        <v>4.3768734642872617E-70</v>
      </c>
      <c r="X469" s="13">
        <v>0</v>
      </c>
      <c r="Y469" s="13">
        <v>0</v>
      </c>
      <c r="Z469" s="13">
        <v>0</v>
      </c>
      <c r="AA469" s="13">
        <f t="shared" si="86"/>
        <v>1.33151166328181E-10</v>
      </c>
      <c r="AB469" s="13">
        <f t="shared" si="87"/>
        <v>659.9999999998671</v>
      </c>
      <c r="AC469" s="13">
        <f t="shared" si="79"/>
        <v>660.00000000000023</v>
      </c>
      <c r="AD469" s="13">
        <f t="shared" si="80"/>
        <v>7.7402017511416841E-11</v>
      </c>
      <c r="AE469" s="13">
        <f t="shared" si="81"/>
        <v>1.6812015950527898E-14</v>
      </c>
      <c r="AF469" s="13">
        <f t="shared" si="82"/>
        <v>2.3892988220618941E-15</v>
      </c>
      <c r="AG469" s="13">
        <f t="shared" si="83"/>
        <v>2.3892988220618941E-15</v>
      </c>
      <c r="AH469" s="10"/>
      <c r="AI469" s="13">
        <f t="shared" si="77"/>
        <v>2.2113780043505644E-60</v>
      </c>
      <c r="AJ469" s="10"/>
      <c r="AK469" s="10"/>
      <c r="AL469" s="10"/>
      <c r="AM469" s="10"/>
      <c r="AN469" s="10"/>
    </row>
    <row r="470" spans="19:40">
      <c r="S470" s="10"/>
      <c r="T470" s="12">
        <v>464</v>
      </c>
      <c r="U470" s="13">
        <f t="shared" si="78"/>
        <v>0.402077238246979</v>
      </c>
      <c r="V470" s="13">
        <f t="shared" si="84"/>
        <v>2.6162647710343827E-70</v>
      </c>
      <c r="W470" s="13">
        <f t="shared" si="85"/>
        <v>2.6162647710343827E-70</v>
      </c>
      <c r="X470" s="13">
        <v>0</v>
      </c>
      <c r="Y470" s="13">
        <v>0</v>
      </c>
      <c r="Z470" s="13">
        <v>0</v>
      </c>
      <c r="AA470" s="13">
        <f t="shared" si="86"/>
        <v>1.2476825819716766E-10</v>
      </c>
      <c r="AB470" s="13">
        <f t="shared" si="87"/>
        <v>659.99999999987551</v>
      </c>
      <c r="AC470" s="13">
        <f t="shared" si="79"/>
        <v>660.00000000000023</v>
      </c>
      <c r="AD470" s="13">
        <f t="shared" si="80"/>
        <v>7.2315223003180255E-11</v>
      </c>
      <c r="AE470" s="13">
        <f t="shared" si="81"/>
        <v>1.5753567954187831E-14</v>
      </c>
      <c r="AF470" s="13">
        <f t="shared" si="82"/>
        <v>2.2322761433596513E-15</v>
      </c>
      <c r="AG470" s="13">
        <f t="shared" si="83"/>
        <v>2.2322761433596509E-15</v>
      </c>
      <c r="AH470" s="10"/>
      <c r="AI470" s="13">
        <f t="shared" si="77"/>
        <v>1.479482205500299E-60</v>
      </c>
      <c r="AJ470" s="10"/>
      <c r="AK470" s="10"/>
      <c r="AL470" s="10"/>
      <c r="AM470" s="10"/>
      <c r="AN470" s="10"/>
    </row>
    <row r="471" spans="19:40">
      <c r="S471" s="10"/>
      <c r="T471" s="12">
        <v>465</v>
      </c>
      <c r="U471" s="13">
        <f t="shared" si="78"/>
        <v>0.40238398449402851</v>
      </c>
      <c r="V471" s="13">
        <f t="shared" si="84"/>
        <v>1.5630629576894424E-70</v>
      </c>
      <c r="W471" s="13">
        <f t="shared" si="85"/>
        <v>1.5630629576894424E-70</v>
      </c>
      <c r="X471" s="13">
        <v>0</v>
      </c>
      <c r="Y471" s="13">
        <v>0</v>
      </c>
      <c r="Z471" s="13">
        <v>0</v>
      </c>
      <c r="AA471" s="13">
        <f t="shared" si="86"/>
        <v>1.1691311974831996E-10</v>
      </c>
      <c r="AB471" s="13">
        <f t="shared" si="87"/>
        <v>659.99999999988336</v>
      </c>
      <c r="AC471" s="13">
        <f t="shared" si="79"/>
        <v>660.00000000000023</v>
      </c>
      <c r="AD471" s="13">
        <f t="shared" si="80"/>
        <v>6.7562728287132002E-11</v>
      </c>
      <c r="AE471" s="13">
        <f t="shared" si="81"/>
        <v>1.4761757543979788E-14</v>
      </c>
      <c r="AF471" s="13">
        <f t="shared" si="82"/>
        <v>2.0855728610423061E-15</v>
      </c>
      <c r="AG471" s="13">
        <f t="shared" si="83"/>
        <v>2.0855728610423057E-15</v>
      </c>
      <c r="AH471" s="10"/>
      <c r="AI471" s="13">
        <f t="shared" si="77"/>
        <v>9.895168537462687E-61</v>
      </c>
      <c r="AJ471" s="10"/>
      <c r="AK471" s="10"/>
      <c r="AL471" s="10"/>
      <c r="AM471" s="10"/>
      <c r="AN471" s="10"/>
    </row>
    <row r="472" spans="19:40">
      <c r="S472" s="10"/>
      <c r="T472" s="12">
        <v>466</v>
      </c>
      <c r="U472" s="13">
        <f t="shared" si="78"/>
        <v>0.40269030504398168</v>
      </c>
      <c r="V472" s="13">
        <f t="shared" si="84"/>
        <v>9.3335857043173419E-71</v>
      </c>
      <c r="W472" s="13">
        <f t="shared" si="85"/>
        <v>9.3335857043173419E-71</v>
      </c>
      <c r="X472" s="13">
        <v>0</v>
      </c>
      <c r="Y472" s="13">
        <v>0</v>
      </c>
      <c r="Z472" s="13">
        <v>0</v>
      </c>
      <c r="AA472" s="13">
        <f t="shared" si="86"/>
        <v>1.0955252374914772E-10</v>
      </c>
      <c r="AB472" s="13">
        <f t="shared" si="87"/>
        <v>659.99999999989075</v>
      </c>
      <c r="AC472" s="13">
        <f t="shared" si="79"/>
        <v>660.00000000000034</v>
      </c>
      <c r="AD472" s="13">
        <f t="shared" si="80"/>
        <v>6.312256346634071E-11</v>
      </c>
      <c r="AE472" s="13">
        <f t="shared" si="81"/>
        <v>1.383238936226612E-14</v>
      </c>
      <c r="AF472" s="13">
        <f t="shared" si="82"/>
        <v>1.9485107931897145E-15</v>
      </c>
      <c r="AG472" s="13">
        <f t="shared" si="83"/>
        <v>1.9485107931897145E-15</v>
      </c>
      <c r="AH472" s="10"/>
      <c r="AI472" s="13">
        <f t="shared" si="77"/>
        <v>6.6161222224361459E-61</v>
      </c>
      <c r="AJ472" s="10"/>
      <c r="AK472" s="10"/>
      <c r="AL472" s="10"/>
      <c r="AM472" s="10"/>
      <c r="AN472" s="10"/>
    </row>
    <row r="473" spans="19:40">
      <c r="S473" s="10"/>
      <c r="T473" s="12">
        <v>467</v>
      </c>
      <c r="U473" s="13">
        <f t="shared" si="78"/>
        <v>0.40299620139922876</v>
      </c>
      <c r="V473" s="13">
        <f t="shared" si="84"/>
        <v>5.5705494463324188E-71</v>
      </c>
      <c r="W473" s="13">
        <f t="shared" si="85"/>
        <v>5.5705494463324188E-71</v>
      </c>
      <c r="X473" s="13">
        <v>0</v>
      </c>
      <c r="Y473" s="13">
        <v>0</v>
      </c>
      <c r="Z473" s="13">
        <v>0</v>
      </c>
      <c r="AA473" s="13">
        <f t="shared" si="86"/>
        <v>1.0265533488152461E-10</v>
      </c>
      <c r="AB473" s="13">
        <f t="shared" si="87"/>
        <v>659.99999999989768</v>
      </c>
      <c r="AC473" s="13">
        <f t="shared" si="79"/>
        <v>660.00000000000034</v>
      </c>
      <c r="AD473" s="13">
        <f t="shared" si="80"/>
        <v>5.8974202486744324E-11</v>
      </c>
      <c r="AE473" s="13">
        <f t="shared" si="81"/>
        <v>1.2961532182010676E-14</v>
      </c>
      <c r="AF473" s="13">
        <f t="shared" si="82"/>
        <v>1.8204563274185192E-15</v>
      </c>
      <c r="AG473" s="13">
        <f t="shared" si="83"/>
        <v>1.8204563274185196E-15</v>
      </c>
      <c r="AH473" s="10"/>
      <c r="AI473" s="13">
        <f t="shared" si="77"/>
        <v>4.422327507095425E-61</v>
      </c>
      <c r="AJ473" s="10"/>
      <c r="AK473" s="10"/>
      <c r="AL473" s="10"/>
      <c r="AM473" s="10"/>
      <c r="AN473" s="10"/>
    </row>
    <row r="474" spans="19:40">
      <c r="S474" s="10"/>
      <c r="T474" s="12">
        <v>468</v>
      </c>
      <c r="U474" s="13">
        <f t="shared" si="78"/>
        <v>0.40330167505365405</v>
      </c>
      <c r="V474" s="13">
        <f t="shared" si="84"/>
        <v>3.3229607102307785E-71</v>
      </c>
      <c r="W474" s="13">
        <f t="shared" si="85"/>
        <v>3.3229607102307785E-71</v>
      </c>
      <c r="X474" s="13">
        <v>0</v>
      </c>
      <c r="Y474" s="13">
        <v>0</v>
      </c>
      <c r="Z474" s="13">
        <v>0</v>
      </c>
      <c r="AA474" s="13">
        <f t="shared" si="86"/>
        <v>9.6192378039305072E-11</v>
      </c>
      <c r="AB474" s="13">
        <f t="shared" si="87"/>
        <v>659.99999999990416</v>
      </c>
      <c r="AC474" s="13">
        <f t="shared" si="79"/>
        <v>660.00000000000034</v>
      </c>
      <c r="AD474" s="13">
        <f t="shared" si="80"/>
        <v>5.5098468249029467E-11</v>
      </c>
      <c r="AE474" s="13">
        <f t="shared" si="81"/>
        <v>1.2145502277690027E-14</v>
      </c>
      <c r="AF474" s="13">
        <f t="shared" si="82"/>
        <v>1.7008174918102462E-15</v>
      </c>
      <c r="AG474" s="13">
        <f t="shared" si="83"/>
        <v>1.7008174918102462E-15</v>
      </c>
      <c r="AH474" s="10"/>
      <c r="AI474" s="13">
        <f t="shared" si="77"/>
        <v>2.9550547228521145E-61</v>
      </c>
      <c r="AJ474" s="10"/>
      <c r="AK474" s="10"/>
      <c r="AL474" s="10"/>
      <c r="AM474" s="10"/>
      <c r="AN474" s="10"/>
    </row>
    <row r="475" spans="19:40">
      <c r="S475" s="10"/>
      <c r="T475" s="12">
        <v>469</v>
      </c>
      <c r="U475" s="13">
        <f t="shared" si="78"/>
        <v>0.40360672749270216</v>
      </c>
      <c r="V475" s="13">
        <f t="shared" si="84"/>
        <v>1.9812087207396067E-71</v>
      </c>
      <c r="W475" s="13">
        <f t="shared" si="85"/>
        <v>1.9812087207396067E-71</v>
      </c>
      <c r="X475" s="13">
        <v>0</v>
      </c>
      <c r="Y475" s="13">
        <v>0</v>
      </c>
      <c r="Z475" s="13">
        <v>0</v>
      </c>
      <c r="AA475" s="13">
        <f t="shared" si="86"/>
        <v>9.0136314917636913E-11</v>
      </c>
      <c r="AB475" s="13">
        <f t="shared" si="87"/>
        <v>659.99999999991019</v>
      </c>
      <c r="AC475" s="13">
        <f t="shared" si="79"/>
        <v>660.00000000000034</v>
      </c>
      <c r="AD475" s="13">
        <f t="shared" si="80"/>
        <v>5.1477443956477004E-11</v>
      </c>
      <c r="AE475" s="13">
        <f t="shared" si="81"/>
        <v>1.1380847843135967E-14</v>
      </c>
      <c r="AF475" s="13">
        <f t="shared" si="82"/>
        <v>1.589041218335502E-15</v>
      </c>
      <c r="AG475" s="13">
        <f t="shared" si="83"/>
        <v>1.5890412183355018E-15</v>
      </c>
      <c r="AH475" s="10"/>
      <c r="AI475" s="13">
        <f t="shared" si="77"/>
        <v>1.9740019583953419E-61</v>
      </c>
      <c r="AJ475" s="10"/>
      <c r="AK475" s="10"/>
      <c r="AL475" s="10"/>
      <c r="AM475" s="10"/>
      <c r="AN475" s="10"/>
    </row>
    <row r="476" spans="19:40">
      <c r="S476" s="10"/>
      <c r="T476" s="12">
        <v>470</v>
      </c>
      <c r="U476" s="13">
        <f t="shared" si="78"/>
        <v>0.40391136019344431</v>
      </c>
      <c r="V476" s="13">
        <f t="shared" si="84"/>
        <v>1.1806286003165036E-71</v>
      </c>
      <c r="W476" s="13">
        <f t="shared" si="85"/>
        <v>1.1806286003165036E-71</v>
      </c>
      <c r="X476" s="13">
        <v>0</v>
      </c>
      <c r="Y476" s="13">
        <v>0</v>
      </c>
      <c r="Z476" s="13">
        <v>0</v>
      </c>
      <c r="AA476" s="13">
        <f t="shared" si="86"/>
        <v>8.4461528371942824E-11</v>
      </c>
      <c r="AB476" s="13">
        <f t="shared" si="87"/>
        <v>659.99999999991587</v>
      </c>
      <c r="AC476" s="13">
        <f t="shared" si="79"/>
        <v>660.00000000000034</v>
      </c>
      <c r="AD476" s="13">
        <f t="shared" si="80"/>
        <v>4.809439028895161E-11</v>
      </c>
      <c r="AE476" s="13">
        <f t="shared" si="81"/>
        <v>1.0664334390396815E-14</v>
      </c>
      <c r="AF476" s="13">
        <f t="shared" si="82"/>
        <v>1.484610786123598E-15</v>
      </c>
      <c r="AG476" s="13">
        <f t="shared" si="83"/>
        <v>1.484610786123598E-15</v>
      </c>
      <c r="AH476" s="10"/>
      <c r="AI476" s="13">
        <f t="shared" si="77"/>
        <v>1.3182483586705829E-61</v>
      </c>
      <c r="AJ476" s="10"/>
      <c r="AK476" s="10"/>
      <c r="AL476" s="10"/>
      <c r="AM476" s="10"/>
      <c r="AN476" s="10"/>
    </row>
    <row r="477" spans="19:40">
      <c r="S477" s="10"/>
      <c r="T477" s="12">
        <v>471</v>
      </c>
      <c r="U477" s="13">
        <f t="shared" si="78"/>
        <v>0.40421557462464142</v>
      </c>
      <c r="V477" s="13">
        <f t="shared" si="84"/>
        <v>7.0319310527004626E-72</v>
      </c>
      <c r="W477" s="13">
        <f t="shared" si="85"/>
        <v>7.0319310527004626E-72</v>
      </c>
      <c r="X477" s="13">
        <v>0</v>
      </c>
      <c r="Y477" s="13">
        <v>0</v>
      </c>
      <c r="Z477" s="13">
        <v>0</v>
      </c>
      <c r="AA477" s="13">
        <f t="shared" si="86"/>
        <v>7.9144014057409024E-11</v>
      </c>
      <c r="AB477" s="13">
        <f t="shared" si="87"/>
        <v>659.99999999992122</v>
      </c>
      <c r="AC477" s="13">
        <f t="shared" si="79"/>
        <v>660.00000000000034</v>
      </c>
      <c r="AD477" s="13">
        <f t="shared" si="80"/>
        <v>4.4933668020145865E-11</v>
      </c>
      <c r="AE477" s="13">
        <f t="shared" si="81"/>
        <v>9.9929310678546701E-15</v>
      </c>
      <c r="AF477" s="13">
        <f t="shared" si="82"/>
        <v>1.3870434327583136E-15</v>
      </c>
      <c r="AG477" s="13">
        <f t="shared" si="83"/>
        <v>1.3870434327583134E-15</v>
      </c>
      <c r="AH477" s="10"/>
      <c r="AI477" s="13">
        <f t="shared" si="77"/>
        <v>8.8006487920500831E-62</v>
      </c>
      <c r="AJ477" s="10"/>
      <c r="AK477" s="10"/>
      <c r="AL477" s="10"/>
      <c r="AM477" s="10"/>
      <c r="AN477" s="10"/>
    </row>
    <row r="478" spans="19:40">
      <c r="S478" s="10"/>
      <c r="T478" s="12">
        <v>472</v>
      </c>
      <c r="U478" s="13">
        <f t="shared" si="78"/>
        <v>0.40451937224681028</v>
      </c>
      <c r="V478" s="13">
        <f t="shared" si="84"/>
        <v>4.186145646275721E-72</v>
      </c>
      <c r="W478" s="13">
        <f t="shared" si="85"/>
        <v>4.186145646275721E-72</v>
      </c>
      <c r="X478" s="13">
        <v>0</v>
      </c>
      <c r="Y478" s="13">
        <v>0</v>
      </c>
      <c r="Z478" s="13">
        <v>0</v>
      </c>
      <c r="AA478" s="13">
        <f t="shared" si="86"/>
        <v>7.4161278890616351E-11</v>
      </c>
      <c r="AB478" s="13">
        <f t="shared" si="87"/>
        <v>659.99999999992622</v>
      </c>
      <c r="AC478" s="13">
        <f t="shared" si="79"/>
        <v>660.00000000000034</v>
      </c>
      <c r="AD478" s="13">
        <f t="shared" si="80"/>
        <v>4.1980665720353244E-11</v>
      </c>
      <c r="AE478" s="13">
        <f t="shared" si="81"/>
        <v>9.3637978397242821E-15</v>
      </c>
      <c r="AF478" s="13">
        <f t="shared" si="82"/>
        <v>1.29588812255726E-15</v>
      </c>
      <c r="AG478" s="13">
        <f t="shared" si="83"/>
        <v>1.29588812255726E-15</v>
      </c>
      <c r="AH478" s="10"/>
      <c r="AI478" s="13">
        <f t="shared" si="77"/>
        <v>5.8735424581871984E-62</v>
      </c>
      <c r="AJ478" s="10"/>
      <c r="AK478" s="10"/>
      <c r="AL478" s="10"/>
      <c r="AM478" s="10"/>
      <c r="AN478" s="10"/>
    </row>
    <row r="479" spans="19:40">
      <c r="S479" s="10"/>
      <c r="T479" s="12">
        <v>473</v>
      </c>
      <c r="U479" s="13">
        <f t="shared" si="78"/>
        <v>0.40482275451228655</v>
      </c>
      <c r="V479" s="13">
        <f t="shared" si="84"/>
        <v>2.4907645811098407E-72</v>
      </c>
      <c r="W479" s="13">
        <f t="shared" si="85"/>
        <v>2.4907645811098407E-72</v>
      </c>
      <c r="X479" s="13">
        <v>0</v>
      </c>
      <c r="Y479" s="13">
        <v>0</v>
      </c>
      <c r="Z479" s="13">
        <v>0</v>
      </c>
      <c r="AA479" s="13">
        <f t="shared" si="86"/>
        <v>6.9492245903806392E-11</v>
      </c>
      <c r="AB479" s="13">
        <f t="shared" si="87"/>
        <v>659.99999999993088</v>
      </c>
      <c r="AC479" s="13">
        <f t="shared" si="79"/>
        <v>660.00000000000034</v>
      </c>
      <c r="AD479" s="13">
        <f t="shared" si="80"/>
        <v>3.9221732210552782E-11</v>
      </c>
      <c r="AE479" s="13">
        <f t="shared" si="81"/>
        <v>8.7742734727028227E-15</v>
      </c>
      <c r="AF479" s="13">
        <f t="shared" si="82"/>
        <v>1.2107234615180175E-15</v>
      </c>
      <c r="AG479" s="13">
        <f t="shared" si="83"/>
        <v>1.2107234615180175E-15</v>
      </c>
      <c r="AH479" s="10"/>
      <c r="AI479" s="13">
        <f t="shared" si="77"/>
        <v>3.918805308433978E-62</v>
      </c>
      <c r="AJ479" s="10"/>
      <c r="AK479" s="10"/>
      <c r="AL479" s="10"/>
      <c r="AM479" s="10"/>
      <c r="AN479" s="10"/>
    </row>
    <row r="480" spans="19:40">
      <c r="S480" s="10"/>
      <c r="T480" s="12">
        <v>474</v>
      </c>
      <c r="U480" s="13">
        <f t="shared" si="78"/>
        <v>0.40512572286528714</v>
      </c>
      <c r="V480" s="13">
        <f t="shared" si="84"/>
        <v>1.4812550162700873E-72</v>
      </c>
      <c r="W480" s="13">
        <f t="shared" si="85"/>
        <v>1.4812550162700873E-72</v>
      </c>
      <c r="X480" s="13">
        <v>0</v>
      </c>
      <c r="Y480" s="13">
        <v>0</v>
      </c>
      <c r="Z480" s="13">
        <v>0</v>
      </c>
      <c r="AA480" s="13">
        <f t="shared" si="86"/>
        <v>6.5117165089316354E-11</v>
      </c>
      <c r="AB480" s="13">
        <f t="shared" si="87"/>
        <v>659.9999999999352</v>
      </c>
      <c r="AC480" s="13">
        <f t="shared" si="79"/>
        <v>660.00000000000034</v>
      </c>
      <c r="AD480" s="13">
        <f t="shared" si="80"/>
        <v>3.6644113455554082E-11</v>
      </c>
      <c r="AE480" s="13">
        <f t="shared" si="81"/>
        <v>8.22186427895408E-15</v>
      </c>
      <c r="AF480" s="13">
        <f t="shared" si="82"/>
        <v>1.1311557492922395E-15</v>
      </c>
      <c r="AG480" s="13">
        <f t="shared" si="83"/>
        <v>1.1311557492922395E-15</v>
      </c>
      <c r="AH480" s="10"/>
      <c r="AI480" s="13">
        <f t="shared" si="77"/>
        <v>2.6138195115463367E-62</v>
      </c>
      <c r="AJ480" s="10"/>
      <c r="AK480" s="10"/>
      <c r="AL480" s="10"/>
      <c r="AM480" s="10"/>
      <c r="AN480" s="10"/>
    </row>
    <row r="481" spans="19:40">
      <c r="S481" s="10"/>
      <c r="T481" s="12">
        <v>475</v>
      </c>
      <c r="U481" s="13">
        <f t="shared" si="78"/>
        <v>0.40542827874197318</v>
      </c>
      <c r="V481" s="13">
        <f t="shared" si="84"/>
        <v>8.8045260190371509E-73</v>
      </c>
      <c r="W481" s="13">
        <f t="shared" si="85"/>
        <v>8.8045260190371509E-73</v>
      </c>
      <c r="X481" s="13">
        <v>0</v>
      </c>
      <c r="Y481" s="13">
        <v>0</v>
      </c>
      <c r="Z481" s="13">
        <v>0</v>
      </c>
      <c r="AA481" s="13">
        <f t="shared" si="86"/>
        <v>6.10175298570545E-11</v>
      </c>
      <c r="AB481" s="13">
        <f t="shared" si="87"/>
        <v>659.99999999993929</v>
      </c>
      <c r="AC481" s="13">
        <f t="shared" si="79"/>
        <v>660.00000000000034</v>
      </c>
      <c r="AD481" s="13">
        <f t="shared" si="80"/>
        <v>3.4235893604470527E-11</v>
      </c>
      <c r="AE481" s="13">
        <f t="shared" si="81"/>
        <v>7.7042335678099071E-15</v>
      </c>
      <c r="AF481" s="13">
        <f t="shared" si="82"/>
        <v>1.0568171591823461E-15</v>
      </c>
      <c r="AG481" s="13">
        <f t="shared" si="83"/>
        <v>1.0568171591823461E-15</v>
      </c>
      <c r="AH481" s="10"/>
      <c r="AI481" s="13">
        <f t="shared" si="77"/>
        <v>1.7428740977536762E-62</v>
      </c>
      <c r="AJ481" s="10"/>
      <c r="AK481" s="10"/>
      <c r="AL481" s="10"/>
      <c r="AM481" s="10"/>
      <c r="AN481" s="10"/>
    </row>
    <row r="482" spans="19:40">
      <c r="S482" s="10"/>
      <c r="T482" s="12">
        <v>476</v>
      </c>
      <c r="U482" s="13">
        <f t="shared" si="78"/>
        <v>0.40573042357051231</v>
      </c>
      <c r="V482" s="13">
        <f t="shared" si="84"/>
        <v>5.2307180465702964E-73</v>
      </c>
      <c r="W482" s="13">
        <f t="shared" si="85"/>
        <v>5.2307180465702964E-73</v>
      </c>
      <c r="X482" s="13">
        <v>0</v>
      </c>
      <c r="Y482" s="13">
        <v>0</v>
      </c>
      <c r="Z482" s="13">
        <v>0</v>
      </c>
      <c r="AA482" s="13">
        <f t="shared" si="86"/>
        <v>5.7175998751631558E-11</v>
      </c>
      <c r="AB482" s="13">
        <f t="shared" si="87"/>
        <v>659.99999999994316</v>
      </c>
      <c r="AC482" s="13">
        <f t="shared" si="79"/>
        <v>660.00000000000034</v>
      </c>
      <c r="AD482" s="13">
        <f t="shared" si="80"/>
        <v>3.1985939905962528E-11</v>
      </c>
      <c r="AE482" s="13">
        <f t="shared" si="81"/>
        <v>7.2191917615696377E-15</v>
      </c>
      <c r="AF482" s="13">
        <f t="shared" si="82"/>
        <v>9.8736403774728758E-16</v>
      </c>
      <c r="AG482" s="13">
        <f t="shared" si="83"/>
        <v>9.8736403774728758E-16</v>
      </c>
      <c r="AH482" s="10"/>
      <c r="AI482" s="13">
        <f t="shared" si="77"/>
        <v>1.161783292191273E-62</v>
      </c>
      <c r="AJ482" s="10"/>
      <c r="AK482" s="10"/>
      <c r="AL482" s="10"/>
      <c r="AM482" s="10"/>
      <c r="AN482" s="10"/>
    </row>
    <row r="483" spans="19:40">
      <c r="S483" s="10"/>
      <c r="T483" s="12">
        <v>477</v>
      </c>
      <c r="U483" s="13">
        <f t="shared" si="78"/>
        <v>0.40603215877113857</v>
      </c>
      <c r="V483" s="13">
        <f t="shared" si="84"/>
        <v>3.1059610832801227E-73</v>
      </c>
      <c r="W483" s="13">
        <f t="shared" si="85"/>
        <v>3.1059610832801227E-73</v>
      </c>
      <c r="X483" s="13">
        <v>0</v>
      </c>
      <c r="Y483" s="13">
        <v>0</v>
      </c>
      <c r="Z483" s="13">
        <v>0</v>
      </c>
      <c r="AA483" s="13">
        <f t="shared" si="86"/>
        <v>5.35763220980113E-11</v>
      </c>
      <c r="AB483" s="13">
        <f t="shared" si="87"/>
        <v>659.99999999994679</v>
      </c>
      <c r="AC483" s="13">
        <f t="shared" si="79"/>
        <v>660.00000000000034</v>
      </c>
      <c r="AD483" s="13">
        <f t="shared" si="80"/>
        <v>2.9883851243603868E-11</v>
      </c>
      <c r="AE483" s="13">
        <f t="shared" si="81"/>
        <v>6.7646871335872823E-15</v>
      </c>
      <c r="AF483" s="13">
        <f t="shared" si="82"/>
        <v>9.2247531615676335E-16</v>
      </c>
      <c r="AG483" s="13">
        <f t="shared" si="83"/>
        <v>9.2247531615676335E-16</v>
      </c>
      <c r="AH483" s="10"/>
      <c r="AI483" s="13">
        <f t="shared" si="77"/>
        <v>7.7419989246053752E-63</v>
      </c>
      <c r="AJ483" s="10"/>
      <c r="AK483" s="10"/>
      <c r="AL483" s="10"/>
      <c r="AM483" s="10"/>
      <c r="AN483" s="10"/>
    </row>
    <row r="484" spans="19:40">
      <c r="S484" s="10"/>
      <c r="T484" s="12">
        <v>478</v>
      </c>
      <c r="U484" s="13">
        <f t="shared" si="78"/>
        <v>0.40633348575621409</v>
      </c>
      <c r="V484" s="13">
        <f t="shared" si="84"/>
        <v>1.8433604496091176E-73</v>
      </c>
      <c r="W484" s="13">
        <f t="shared" si="85"/>
        <v>1.8433604496091176E-73</v>
      </c>
      <c r="X484" s="13">
        <v>0</v>
      </c>
      <c r="Y484" s="13">
        <v>0</v>
      </c>
      <c r="Z484" s="13">
        <v>0</v>
      </c>
      <c r="AA484" s="13">
        <f t="shared" si="86"/>
        <v>5.0203273265391705E-11</v>
      </c>
      <c r="AB484" s="13">
        <f t="shared" si="87"/>
        <v>659.99999999995021</v>
      </c>
      <c r="AC484" s="13">
        <f t="shared" si="79"/>
        <v>660.00000000000045</v>
      </c>
      <c r="AD484" s="13">
        <f t="shared" si="80"/>
        <v>2.7919910053459809E-11</v>
      </c>
      <c r="AE484" s="13">
        <f t="shared" si="81"/>
        <v>6.3387971294686447E-15</v>
      </c>
      <c r="AF484" s="13">
        <f t="shared" si="82"/>
        <v>8.6185102594988478E-16</v>
      </c>
      <c r="AG484" s="13">
        <f t="shared" si="83"/>
        <v>8.6185102594988478E-16</v>
      </c>
      <c r="AH484" s="10"/>
      <c r="AI484" s="13">
        <f t="shared" si="77"/>
        <v>5.1576294087915929E-63</v>
      </c>
      <c r="AJ484" s="10"/>
      <c r="AK484" s="10"/>
      <c r="AL484" s="10"/>
      <c r="AM484" s="10"/>
      <c r="AN484" s="10"/>
    </row>
    <row r="485" spans="19:40">
      <c r="S485" s="10"/>
      <c r="T485" s="12">
        <v>479</v>
      </c>
      <c r="U485" s="13">
        <f t="shared" si="78"/>
        <v>0.40663440593028877</v>
      </c>
      <c r="V485" s="13">
        <f t="shared" si="84"/>
        <v>1.0934634291942735E-73</v>
      </c>
      <c r="W485" s="13">
        <f t="shared" si="85"/>
        <v>1.0934634291942735E-73</v>
      </c>
      <c r="X485" s="13">
        <v>0</v>
      </c>
      <c r="Y485" s="13">
        <v>0</v>
      </c>
      <c r="Z485" s="13">
        <v>0</v>
      </c>
      <c r="AA485" s="13">
        <f t="shared" si="86"/>
        <v>4.7042584258562738E-11</v>
      </c>
      <c r="AB485" s="13">
        <f t="shared" si="87"/>
        <v>659.99999999995339</v>
      </c>
      <c r="AC485" s="13">
        <f t="shared" si="79"/>
        <v>660.00000000000045</v>
      </c>
      <c r="AD485" s="13">
        <f t="shared" si="80"/>
        <v>2.6085037401600952E-11</v>
      </c>
      <c r="AE485" s="13">
        <f t="shared" si="81"/>
        <v>5.9397202346670086E-15</v>
      </c>
      <c r="AF485" s="13">
        <f t="shared" si="82"/>
        <v>8.0521091233691194E-16</v>
      </c>
      <c r="AG485" s="13">
        <f t="shared" si="83"/>
        <v>8.0521091233691204E-16</v>
      </c>
      <c r="AH485" s="10"/>
      <c r="AI485" s="13">
        <f t="shared" si="77"/>
        <v>3.4349180819574038E-63</v>
      </c>
      <c r="AJ485" s="10"/>
      <c r="AK485" s="10"/>
      <c r="AL485" s="10"/>
      <c r="AM485" s="10"/>
      <c r="AN485" s="10"/>
    </row>
    <row r="486" spans="19:40">
      <c r="S486" s="10"/>
      <c r="T486" s="12">
        <v>480</v>
      </c>
      <c r="U486" s="13">
        <f t="shared" si="78"/>
        <v>0.40693492069015968</v>
      </c>
      <c r="V486" s="13">
        <f t="shared" si="84"/>
        <v>6.4830323309413351E-74</v>
      </c>
      <c r="W486" s="13">
        <f t="shared" si="85"/>
        <v>6.4830323309413351E-74</v>
      </c>
      <c r="X486" s="13">
        <v>0</v>
      </c>
      <c r="Y486" s="13">
        <v>0</v>
      </c>
      <c r="Z486" s="13">
        <v>0</v>
      </c>
      <c r="AA486" s="13">
        <f t="shared" si="86"/>
        <v>4.408088536429235E-11</v>
      </c>
      <c r="AB486" s="13">
        <f t="shared" si="87"/>
        <v>659.99999999995634</v>
      </c>
      <c r="AC486" s="13">
        <f t="shared" si="79"/>
        <v>660.00000000000045</v>
      </c>
      <c r="AD486" s="13">
        <f t="shared" si="80"/>
        <v>2.4370751013884527E-11</v>
      </c>
      <c r="AE486" s="13">
        <f t="shared" si="81"/>
        <v>5.5657683540773136E-15</v>
      </c>
      <c r="AF486" s="13">
        <f t="shared" si="82"/>
        <v>7.5229313863361764E-16</v>
      </c>
      <c r="AG486" s="13">
        <f t="shared" si="83"/>
        <v>7.5229313863361764E-16</v>
      </c>
      <c r="AH486" s="10"/>
      <c r="AI486" s="13">
        <f t="shared" si="77"/>
        <v>2.2869255942719894E-63</v>
      </c>
      <c r="AJ486" s="10"/>
      <c r="AK486" s="10"/>
      <c r="AL486" s="10"/>
      <c r="AM486" s="10"/>
      <c r="AN486" s="10"/>
    </row>
    <row r="487" spans="19:4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row>
  </sheetData>
  <mergeCells count="1">
    <mergeCell ref="W4:Z4"/>
  </mergeCells>
  <phoneticPr fontId="6" type="noConversion"/>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6ECF5-674A-AC46-99F3-797426CFE05B}">
  <sheetPr codeName="Sheet5"/>
  <dimension ref="A1:L7"/>
  <sheetViews>
    <sheetView workbookViewId="0">
      <selection activeCell="F4" sqref="F4:J4"/>
    </sheetView>
  </sheetViews>
  <sheetFormatPr defaultColWidth="11.33203125" defaultRowHeight="14"/>
  <sheetData>
    <row r="1" spans="1:12">
      <c r="A1" s="21" t="s">
        <v>81</v>
      </c>
      <c r="B1" s="21" t="s">
        <v>82</v>
      </c>
      <c r="C1" s="21" t="s">
        <v>83</v>
      </c>
      <c r="D1" s="21" t="s">
        <v>84</v>
      </c>
      <c r="E1" s="22" t="s">
        <v>85</v>
      </c>
      <c r="F1" s="21" t="s">
        <v>86</v>
      </c>
      <c r="G1" s="22" t="s">
        <v>87</v>
      </c>
      <c r="H1" s="22" t="s">
        <v>88</v>
      </c>
      <c r="I1" s="22" t="s">
        <v>89</v>
      </c>
      <c r="J1" s="22" t="s">
        <v>90</v>
      </c>
      <c r="K1" s="21" t="s">
        <v>91</v>
      </c>
      <c r="L1" s="22" t="s">
        <v>92</v>
      </c>
    </row>
    <row r="2" spans="1:12">
      <c r="A2" t="s">
        <v>93</v>
      </c>
      <c r="B2" t="s">
        <v>94</v>
      </c>
      <c r="C2" t="s">
        <v>95</v>
      </c>
      <c r="D2" s="23">
        <v>0.69569999999999999</v>
      </c>
      <c r="E2" s="278" t="s">
        <v>96</v>
      </c>
      <c r="F2">
        <v>-0.24660000000000001</v>
      </c>
      <c r="G2">
        <v>-0.27129999999999999</v>
      </c>
      <c r="H2">
        <v>-0.222</v>
      </c>
      <c r="J2" s="24" t="s">
        <v>97</v>
      </c>
      <c r="K2" s="17"/>
      <c r="L2" s="17"/>
    </row>
    <row r="3" spans="1:12">
      <c r="A3" t="s">
        <v>93</v>
      </c>
      <c r="B3" t="s">
        <v>98</v>
      </c>
      <c r="C3" t="s">
        <v>99</v>
      </c>
      <c r="D3" s="23">
        <v>0.3826</v>
      </c>
      <c r="E3" s="278"/>
      <c r="F3">
        <v>-0.24660000000000001</v>
      </c>
      <c r="G3">
        <v>-0.27129999999999999</v>
      </c>
      <c r="H3">
        <v>-0.222</v>
      </c>
      <c r="J3" s="24" t="s">
        <v>97</v>
      </c>
      <c r="K3" s="17"/>
      <c r="L3" s="17"/>
    </row>
    <row r="4" spans="1:12">
      <c r="A4" t="s">
        <v>93</v>
      </c>
      <c r="B4" t="s">
        <v>100</v>
      </c>
      <c r="C4" t="s">
        <v>101</v>
      </c>
      <c r="D4" s="23">
        <v>5.2200000000000003E-2</v>
      </c>
      <c r="E4" s="278"/>
      <c r="F4">
        <v>0.2303</v>
      </c>
      <c r="J4" s="24" t="s">
        <v>102</v>
      </c>
      <c r="K4" s="17"/>
      <c r="L4" s="17"/>
    </row>
    <row r="5" spans="1:12">
      <c r="A5" t="s">
        <v>103</v>
      </c>
      <c r="B5" t="s">
        <v>104</v>
      </c>
      <c r="C5" t="s">
        <v>105</v>
      </c>
      <c r="D5" s="25">
        <v>0.121</v>
      </c>
      <c r="E5" s="279" t="s">
        <v>106</v>
      </c>
      <c r="F5">
        <v>-5.7000000000000002E-2</v>
      </c>
      <c r="G5" s="29" t="s">
        <v>107</v>
      </c>
      <c r="H5" s="29" t="s">
        <v>107</v>
      </c>
      <c r="J5" s="24" t="s">
        <v>108</v>
      </c>
      <c r="K5" s="17"/>
      <c r="L5" s="17"/>
    </row>
    <row r="6" spans="1:12">
      <c r="A6" t="s">
        <v>103</v>
      </c>
      <c r="B6" t="s">
        <v>109</v>
      </c>
      <c r="C6" t="s">
        <v>110</v>
      </c>
      <c r="D6" s="25">
        <v>9.2999999999999999E-2</v>
      </c>
      <c r="E6" s="279"/>
      <c r="F6">
        <v>-0.1198</v>
      </c>
      <c r="G6">
        <v>-0.1318</v>
      </c>
      <c r="H6">
        <v>-0.10780000000000001</v>
      </c>
      <c r="J6" s="24" t="s">
        <v>97</v>
      </c>
      <c r="K6" s="17"/>
      <c r="L6" s="17"/>
    </row>
    <row r="7" spans="1:12">
      <c r="A7" t="s">
        <v>103</v>
      </c>
      <c r="B7" t="s">
        <v>111</v>
      </c>
      <c r="C7" t="s">
        <v>112</v>
      </c>
      <c r="D7" s="25">
        <v>2.3E-2</v>
      </c>
      <c r="E7" s="279"/>
      <c r="F7">
        <v>-0.06</v>
      </c>
      <c r="G7" s="29" t="s">
        <v>107</v>
      </c>
      <c r="H7" s="29" t="s">
        <v>107</v>
      </c>
      <c r="J7" s="24" t="s">
        <v>113</v>
      </c>
      <c r="K7" s="17"/>
      <c r="L7" s="17"/>
    </row>
  </sheetData>
  <mergeCells count="2">
    <mergeCell ref="E2:E4"/>
    <mergeCell ref="E5:E7"/>
  </mergeCells>
  <phoneticPr fontId="6" type="noConversion"/>
  <hyperlinks>
    <hyperlink ref="J2" r:id="rId1" xr:uid="{275AB008-866E-614B-8297-2894D1239CEC}"/>
    <hyperlink ref="J5" r:id="rId2" xr:uid="{BDE030B8-2223-C640-B1D6-8C069D6EC791}"/>
    <hyperlink ref="J6" r:id="rId3" xr:uid="{97C0BC3D-2C2E-6647-866B-2F41DB9785D4}"/>
    <hyperlink ref="J4" r:id="rId4" xr:uid="{47C9E705-BCA2-6445-B5F6-4D3155341A60}"/>
  </hyperlinks>
  <pageMargins left="0.7" right="0.7" top="0.75" bottom="0.75" header="0.3" footer="0.3"/>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E5D4B-F930-F941-AB74-18F0D1F706C6}">
  <sheetPr codeName="Sheet7"/>
  <dimension ref="A1:N134"/>
  <sheetViews>
    <sheetView zoomScale="85" zoomScaleNormal="85" workbookViewId="0">
      <selection activeCell="B40" sqref="B40"/>
    </sheetView>
  </sheetViews>
  <sheetFormatPr defaultColWidth="11.33203125" defaultRowHeight="14"/>
  <cols>
    <col min="1" max="1" width="39.58203125" customWidth="1"/>
    <col min="2" max="2" width="34.58203125" customWidth="1"/>
    <col min="3" max="3" width="46.83203125" customWidth="1"/>
    <col min="4" max="4" width="56.08203125" customWidth="1"/>
    <col min="5" max="5" width="29.08203125" customWidth="1"/>
    <col min="6" max="6" width="26.58203125" customWidth="1"/>
    <col min="7" max="7" width="24.58203125" customWidth="1"/>
    <col min="8" max="8" width="28.08203125" customWidth="1"/>
    <col min="9" max="9" width="33" customWidth="1"/>
    <col min="10" max="10" width="61.08203125" customWidth="1"/>
    <col min="12" max="12" width="16.83203125" customWidth="1"/>
  </cols>
  <sheetData>
    <row r="1" spans="1:6">
      <c r="A1" s="310" t="s">
        <v>115</v>
      </c>
      <c r="B1" s="310"/>
      <c r="C1" s="310"/>
      <c r="D1" s="310"/>
      <c r="E1" s="310"/>
      <c r="F1" s="310"/>
    </row>
    <row r="2" spans="1:6">
      <c r="A2" s="310"/>
      <c r="B2" s="310"/>
      <c r="C2" s="310"/>
      <c r="D2" s="310"/>
      <c r="E2" s="310"/>
      <c r="F2" s="310"/>
    </row>
    <row r="4" spans="1:6">
      <c r="B4" s="317" t="s">
        <v>116</v>
      </c>
      <c r="C4" s="317"/>
      <c r="D4" s="317"/>
      <c r="E4" s="317"/>
      <c r="F4" s="317"/>
    </row>
    <row r="5" spans="1:6">
      <c r="B5" t="s">
        <v>117</v>
      </c>
      <c r="C5" t="s">
        <v>118</v>
      </c>
      <c r="D5" t="s">
        <v>119</v>
      </c>
      <c r="E5" t="s">
        <v>120</v>
      </c>
      <c r="F5" s="92" t="s">
        <v>45</v>
      </c>
    </row>
    <row r="6" spans="1:6">
      <c r="A6" s="93" t="s">
        <v>121</v>
      </c>
      <c r="B6" s="246">
        <f>B48</f>
        <v>4770.0871428571427</v>
      </c>
      <c r="C6" s="246">
        <f>H101</f>
        <v>143.7046833</v>
      </c>
      <c r="D6" s="246">
        <f>F84</f>
        <v>334.35425866666668</v>
      </c>
      <c r="E6" s="246">
        <f>D92</f>
        <v>39.557869704000005</v>
      </c>
      <c r="F6" s="265">
        <f>SUM(B6:E6)</f>
        <v>5287.7039545278094</v>
      </c>
    </row>
    <row r="7" spans="1:6">
      <c r="A7" s="93" t="s">
        <v>122</v>
      </c>
      <c r="B7" s="246">
        <f>B49</f>
        <v>3725.2671428571425</v>
      </c>
      <c r="C7" s="246">
        <f>I101</f>
        <v>134.27245830000001</v>
      </c>
      <c r="D7" s="246">
        <f>G84</f>
        <v>232.81015203061935</v>
      </c>
      <c r="E7" s="246">
        <f>0</f>
        <v>0</v>
      </c>
      <c r="F7" s="265">
        <f>SUM(B7:E7)</f>
        <v>4092.349753187762</v>
      </c>
    </row>
    <row r="12" spans="1:6">
      <c r="B12" s="317" t="s">
        <v>123</v>
      </c>
      <c r="C12" s="317"/>
      <c r="D12" s="317"/>
      <c r="E12" s="317"/>
      <c r="F12" s="317"/>
    </row>
    <row r="13" spans="1:6">
      <c r="B13" t="s">
        <v>117</v>
      </c>
      <c r="C13" t="s">
        <v>118</v>
      </c>
      <c r="D13" t="s">
        <v>119</v>
      </c>
      <c r="E13" t="s">
        <v>120</v>
      </c>
      <c r="F13" s="92" t="s">
        <v>45</v>
      </c>
    </row>
    <row r="14" spans="1:6">
      <c r="A14" s="93" t="s">
        <v>121</v>
      </c>
      <c r="B14" s="246">
        <f>B66</f>
        <v>5999.2677142857137</v>
      </c>
      <c r="C14" s="246">
        <f>H101</f>
        <v>143.7046833</v>
      </c>
      <c r="D14" s="246">
        <f>F119</f>
        <v>403.7442483866667</v>
      </c>
      <c r="E14" s="246">
        <f>D126</f>
        <v>81.330036274484996</v>
      </c>
      <c r="F14" s="265">
        <f>SUM(B14:E14)</f>
        <v>6628.0466822468661</v>
      </c>
    </row>
    <row r="15" spans="1:6">
      <c r="A15" s="93" t="s">
        <v>122</v>
      </c>
      <c r="B15" s="246">
        <f>B67</f>
        <v>4954.4477142857131</v>
      </c>
      <c r="C15" s="246">
        <f>I101</f>
        <v>134.27245830000001</v>
      </c>
      <c r="D15" s="246">
        <f>G119</f>
        <v>256.36151895061937</v>
      </c>
      <c r="E15" s="246">
        <f>0</f>
        <v>0</v>
      </c>
      <c r="F15" s="265">
        <f>SUM(B15:E15)</f>
        <v>5345.0816915363321</v>
      </c>
    </row>
    <row r="29" spans="1:6">
      <c r="A29" s="310" t="s">
        <v>124</v>
      </c>
      <c r="B29" s="310"/>
      <c r="C29" s="310"/>
      <c r="D29" s="310"/>
      <c r="E29" s="310"/>
      <c r="F29" s="310"/>
    </row>
    <row r="30" spans="1:6">
      <c r="A30" s="310"/>
      <c r="B30" s="310"/>
      <c r="C30" s="310"/>
      <c r="D30" s="310"/>
      <c r="E30" s="310"/>
      <c r="F30" s="310"/>
    </row>
    <row r="32" spans="1:6" ht="15" customHeight="1"/>
    <row r="37" spans="1:4" ht="15.5">
      <c r="A37" s="94" t="s">
        <v>125</v>
      </c>
      <c r="B37" s="131" t="s">
        <v>126</v>
      </c>
      <c r="C37" s="131" t="s">
        <v>127</v>
      </c>
      <c r="D37" s="132" t="s">
        <v>128</v>
      </c>
    </row>
    <row r="38" spans="1:4">
      <c r="A38" s="95" t="s">
        <v>129</v>
      </c>
      <c r="B38" s="74" t="s">
        <v>130</v>
      </c>
      <c r="C38" s="74" t="s">
        <v>131</v>
      </c>
      <c r="D38" s="96" t="s">
        <v>132</v>
      </c>
    </row>
    <row r="39" spans="1:4" ht="15.5">
      <c r="A39" s="102" t="s">
        <v>133</v>
      </c>
      <c r="B39" s="130">
        <v>2950</v>
      </c>
      <c r="C39" s="102">
        <v>522.41</v>
      </c>
      <c r="D39" s="115">
        <v>522.41</v>
      </c>
    </row>
    <row r="40" spans="1:4" ht="15.5">
      <c r="A40" s="102" t="s">
        <v>134</v>
      </c>
      <c r="B40" s="116" t="s">
        <v>135</v>
      </c>
      <c r="C40" s="117" t="s">
        <v>136</v>
      </c>
      <c r="D40" s="118" t="s">
        <v>136</v>
      </c>
    </row>
    <row r="41" spans="1:4" ht="15.5">
      <c r="A41" s="102" t="s">
        <v>137</v>
      </c>
      <c r="B41" s="102">
        <v>21</v>
      </c>
      <c r="C41" s="102">
        <v>2</v>
      </c>
      <c r="D41" s="115">
        <v>2</v>
      </c>
    </row>
    <row r="42" spans="1:4" ht="15.5">
      <c r="A42" s="119" t="s">
        <v>138</v>
      </c>
      <c r="B42" s="120">
        <f>B39/28*30.4</f>
        <v>3202.8571428571427</v>
      </c>
      <c r="C42" s="119">
        <f>C39*3</f>
        <v>1567.23</v>
      </c>
      <c r="D42" s="121">
        <f>D39</f>
        <v>522.41</v>
      </c>
    </row>
    <row r="43" spans="1:4" ht="15.5">
      <c r="A43" s="102" t="s">
        <v>139</v>
      </c>
      <c r="B43" s="122" t="s">
        <v>140</v>
      </c>
      <c r="C43" s="123" t="s">
        <v>141</v>
      </c>
      <c r="D43" s="124" t="s">
        <v>141</v>
      </c>
    </row>
    <row r="44" spans="1:4" ht="15.5">
      <c r="A44" s="102" t="s">
        <v>142</v>
      </c>
      <c r="B44" s="120"/>
      <c r="C44" s="125" t="s">
        <v>143</v>
      </c>
      <c r="D44" s="126" t="s">
        <v>143</v>
      </c>
    </row>
    <row r="45" spans="1:4" ht="15.5">
      <c r="A45" s="102" t="s">
        <v>144</v>
      </c>
      <c r="B45" s="123" t="s">
        <v>145</v>
      </c>
      <c r="C45" s="127" t="s">
        <v>145</v>
      </c>
      <c r="D45" s="128" t="s">
        <v>145</v>
      </c>
    </row>
    <row r="46" spans="1:4" ht="15.5">
      <c r="A46" s="102"/>
      <c r="B46" s="129"/>
      <c r="C46" s="104"/>
      <c r="D46" s="104"/>
    </row>
    <row r="47" spans="1:4" ht="15.5">
      <c r="A47" s="285" t="s">
        <v>146</v>
      </c>
      <c r="B47" s="286"/>
      <c r="C47" s="104"/>
      <c r="D47" s="104"/>
    </row>
    <row r="48" spans="1:4" ht="15.5">
      <c r="A48" s="102" t="s">
        <v>121</v>
      </c>
      <c r="B48" s="103">
        <f>B42+C42</f>
        <v>4770.0871428571427</v>
      </c>
      <c r="C48" s="104"/>
      <c r="D48" s="104"/>
    </row>
    <row r="49" spans="1:4" ht="15.5">
      <c r="A49" s="105" t="s">
        <v>147</v>
      </c>
      <c r="B49" s="106">
        <f>B42+D42</f>
        <v>3725.2671428571425</v>
      </c>
      <c r="C49" s="104"/>
      <c r="D49" s="104"/>
    </row>
    <row r="54" spans="1:4" ht="15.5">
      <c r="A54" s="104"/>
      <c r="B54" s="104"/>
      <c r="C54" s="104"/>
      <c r="D54" s="104"/>
    </row>
    <row r="55" spans="1:4" ht="15.5">
      <c r="A55" s="175" t="s">
        <v>125</v>
      </c>
      <c r="B55" s="176" t="s">
        <v>148</v>
      </c>
      <c r="C55" s="182" t="s">
        <v>127</v>
      </c>
      <c r="D55" s="185" t="s">
        <v>128</v>
      </c>
    </row>
    <row r="56" spans="1:4" ht="15.5">
      <c r="A56" s="129" t="s">
        <v>129</v>
      </c>
      <c r="B56" s="104" t="s">
        <v>149</v>
      </c>
      <c r="C56" s="183" t="s">
        <v>131</v>
      </c>
      <c r="D56" s="177" t="s">
        <v>132</v>
      </c>
    </row>
    <row r="57" spans="1:4" ht="15.5">
      <c r="A57" s="129" t="s">
        <v>133</v>
      </c>
      <c r="B57" s="107">
        <v>4082.14</v>
      </c>
      <c r="C57" s="102">
        <v>522.41</v>
      </c>
      <c r="D57" s="129">
        <v>522.41</v>
      </c>
    </row>
    <row r="58" spans="1:4" ht="15.5">
      <c r="A58" s="129" t="s">
        <v>134</v>
      </c>
      <c r="B58" s="108" t="s">
        <v>150</v>
      </c>
      <c r="C58" s="117" t="s">
        <v>136</v>
      </c>
      <c r="D58" s="178" t="s">
        <v>136</v>
      </c>
    </row>
    <row r="59" spans="1:4" ht="15.5">
      <c r="A59" s="129" t="s">
        <v>137</v>
      </c>
      <c r="B59" s="104">
        <v>56</v>
      </c>
      <c r="C59" s="102">
        <v>2</v>
      </c>
      <c r="D59" s="129">
        <v>2</v>
      </c>
    </row>
    <row r="60" spans="1:4" ht="15.5">
      <c r="A60" s="173" t="s">
        <v>138</v>
      </c>
      <c r="B60" s="109">
        <f>B57/28*30.4</f>
        <v>4432.0377142857133</v>
      </c>
      <c r="C60" s="119">
        <f>C57*3</f>
        <v>1567.23</v>
      </c>
      <c r="D60" s="173">
        <f>D57</f>
        <v>522.41</v>
      </c>
    </row>
    <row r="61" spans="1:4" ht="15.5">
      <c r="A61" s="129" t="s">
        <v>151</v>
      </c>
      <c r="B61" s="110" t="s">
        <v>152</v>
      </c>
      <c r="C61" s="123" t="s">
        <v>141</v>
      </c>
      <c r="D61" s="179" t="s">
        <v>141</v>
      </c>
    </row>
    <row r="62" spans="1:4" ht="15.5">
      <c r="A62" s="129" t="s">
        <v>153</v>
      </c>
      <c r="B62" s="109"/>
      <c r="C62" s="125" t="s">
        <v>143</v>
      </c>
      <c r="D62" s="180" t="s">
        <v>143</v>
      </c>
    </row>
    <row r="63" spans="1:4" ht="15.5">
      <c r="A63" s="129" t="s">
        <v>144</v>
      </c>
      <c r="B63" s="110" t="s">
        <v>154</v>
      </c>
      <c r="C63" s="184" t="s">
        <v>154</v>
      </c>
      <c r="D63" s="181" t="s">
        <v>154</v>
      </c>
    </row>
    <row r="64" spans="1:4" ht="15.5">
      <c r="A64" s="174"/>
      <c r="B64" s="104"/>
      <c r="C64" s="104"/>
      <c r="D64" s="104"/>
    </row>
    <row r="65" spans="1:10" ht="15.5">
      <c r="A65" s="315" t="s">
        <v>155</v>
      </c>
      <c r="B65" s="316"/>
      <c r="C65" s="104"/>
      <c r="D65" s="104"/>
    </row>
    <row r="66" spans="1:10" ht="15.5">
      <c r="A66" s="111" t="s">
        <v>121</v>
      </c>
      <c r="B66" s="112">
        <f>B60+C60</f>
        <v>5999.2677142857137</v>
      </c>
      <c r="C66" s="104"/>
      <c r="D66" s="104"/>
    </row>
    <row r="67" spans="1:10" ht="15.5">
      <c r="A67" s="113" t="s">
        <v>147</v>
      </c>
      <c r="B67" s="114">
        <f>B60+D60</f>
        <v>4954.4477142857131</v>
      </c>
      <c r="C67" s="104"/>
      <c r="D67" s="104"/>
    </row>
    <row r="72" spans="1:10" ht="15.5">
      <c r="A72" s="34"/>
      <c r="B72" s="35"/>
      <c r="C72" s="36"/>
      <c r="D72" s="36"/>
      <c r="E72" s="36"/>
      <c r="F72" s="36"/>
      <c r="G72" s="36"/>
      <c r="H72" s="34"/>
      <c r="I72" s="34"/>
    </row>
    <row r="73" spans="1:10" ht="15.5">
      <c r="A73" s="133" t="s">
        <v>126</v>
      </c>
      <c r="B73" s="143" t="s">
        <v>156</v>
      </c>
      <c r="C73" s="46" t="s">
        <v>157</v>
      </c>
      <c r="D73" s="47" t="s">
        <v>158</v>
      </c>
      <c r="E73" s="36"/>
      <c r="F73" s="36"/>
      <c r="G73" s="36"/>
      <c r="H73" s="34"/>
      <c r="I73" s="34"/>
    </row>
    <row r="74" spans="1:10" ht="15.5">
      <c r="A74" s="48"/>
      <c r="B74" s="35"/>
      <c r="C74" s="36"/>
      <c r="D74" s="36"/>
      <c r="E74" s="36"/>
      <c r="F74" s="36"/>
      <c r="G74" s="36"/>
      <c r="H74" s="34"/>
      <c r="I74" s="34"/>
    </row>
    <row r="75" spans="1:10" ht="15.5">
      <c r="A75" s="34"/>
      <c r="B75" s="35"/>
      <c r="C75" s="36"/>
      <c r="D75" s="36"/>
      <c r="E75" s="36"/>
      <c r="F75" s="36"/>
      <c r="G75" s="36"/>
      <c r="H75" s="34"/>
      <c r="I75" s="34"/>
    </row>
    <row r="76" spans="1:10" ht="15.5">
      <c r="A76" s="34"/>
      <c r="B76" s="299" t="s">
        <v>119</v>
      </c>
      <c r="C76" s="301" t="s">
        <v>159</v>
      </c>
      <c r="D76" s="303" t="s">
        <v>160</v>
      </c>
      <c r="E76" s="305" t="s">
        <v>161</v>
      </c>
      <c r="F76" s="307" t="s">
        <v>162</v>
      </c>
      <c r="G76" s="308"/>
      <c r="H76" s="289" t="s">
        <v>163</v>
      </c>
      <c r="I76" s="287" t="s">
        <v>164</v>
      </c>
      <c r="J76" s="282" t="s">
        <v>165</v>
      </c>
    </row>
    <row r="77" spans="1:10" ht="15.5">
      <c r="A77" s="34"/>
      <c r="B77" s="300"/>
      <c r="C77" s="302"/>
      <c r="D77" s="304"/>
      <c r="E77" s="306"/>
      <c r="F77" s="55" t="s">
        <v>166</v>
      </c>
      <c r="G77" s="36" t="s">
        <v>167</v>
      </c>
      <c r="H77" s="290"/>
      <c r="I77" s="288"/>
      <c r="J77" s="281"/>
    </row>
    <row r="78" spans="1:10" ht="22.5" customHeight="1">
      <c r="A78" s="34"/>
      <c r="B78" s="56" t="s">
        <v>168</v>
      </c>
      <c r="C78" s="76">
        <v>3</v>
      </c>
      <c r="D78" s="77">
        <v>2</v>
      </c>
      <c r="E78" s="36" t="s">
        <v>169</v>
      </c>
      <c r="F78" s="155">
        <f>C78*1.028*D78</f>
        <v>6.1680000000000001</v>
      </c>
      <c r="G78" s="158">
        <f>C78*1.028*0.333</f>
        <v>1.026972</v>
      </c>
      <c r="H78" s="167" t="s">
        <v>170</v>
      </c>
      <c r="I78" s="166" t="s">
        <v>171</v>
      </c>
      <c r="J78" s="169" t="s">
        <v>172</v>
      </c>
    </row>
    <row r="79" spans="1:10" s="97" customFormat="1" ht="44.25" customHeight="1">
      <c r="A79" s="34"/>
      <c r="B79" s="142" t="s">
        <v>173</v>
      </c>
      <c r="C79" s="101">
        <v>142</v>
      </c>
      <c r="D79" s="139">
        <v>1</v>
      </c>
      <c r="E79" s="99">
        <f>(18/2+(12*40-1-18)/3)/(40*12-1)</f>
        <v>0.33959638135003478</v>
      </c>
      <c r="F79" s="153">
        <f>C79*1.028*D79</f>
        <v>145.976</v>
      </c>
      <c r="G79" s="159">
        <f>C79*1.028*E79</f>
        <v>49.57292136395268</v>
      </c>
      <c r="H79" s="91" t="s">
        <v>174</v>
      </c>
      <c r="I79" s="141" t="s">
        <v>171</v>
      </c>
      <c r="J79" s="170" t="s">
        <v>175</v>
      </c>
    </row>
    <row r="80" spans="1:10" ht="18.75" customHeight="1">
      <c r="A80" s="34"/>
      <c r="B80" s="142" t="s">
        <v>176</v>
      </c>
      <c r="C80" s="101">
        <v>41</v>
      </c>
      <c r="D80" s="139">
        <v>0.3</v>
      </c>
      <c r="E80" s="140">
        <v>0.3</v>
      </c>
      <c r="F80" s="156">
        <f>C80*1.028*D80</f>
        <v>12.644400000000001</v>
      </c>
      <c r="G80" s="160">
        <f>C80*1.028*E80</f>
        <v>12.644400000000001</v>
      </c>
      <c r="H80" s="91" t="s">
        <v>177</v>
      </c>
      <c r="I80" s="80" t="s">
        <v>178</v>
      </c>
      <c r="J80" s="263" t="s">
        <v>179</v>
      </c>
    </row>
    <row r="81" spans="1:10" ht="38.5">
      <c r="A81" s="34"/>
      <c r="B81" s="142" t="s">
        <v>180</v>
      </c>
      <c r="C81" s="163">
        <f>(1*206.47+5*164.19)/6</f>
        <v>171.23666666666668</v>
      </c>
      <c r="D81" s="139">
        <v>0.2</v>
      </c>
      <c r="E81" s="140">
        <v>0.2</v>
      </c>
      <c r="F81" s="156">
        <f t="shared" ref="F81" si="0">C81*1.028*D81</f>
        <v>35.20625866666667</v>
      </c>
      <c r="G81" s="160">
        <f>C81*1.028*E81</f>
        <v>35.20625866666667</v>
      </c>
      <c r="H81" s="91" t="s">
        <v>177</v>
      </c>
      <c r="I81" s="141" t="s">
        <v>171</v>
      </c>
      <c r="J81" s="171" t="s">
        <v>181</v>
      </c>
    </row>
    <row r="82" spans="1:10" ht="23.25" customHeight="1">
      <c r="A82" s="34"/>
      <c r="B82" s="142" t="s">
        <v>182</v>
      </c>
      <c r="C82" s="101">
        <v>39</v>
      </c>
      <c r="D82" s="164">
        <v>0.3</v>
      </c>
      <c r="E82" s="144">
        <v>0.3</v>
      </c>
      <c r="F82" s="157">
        <f>C82*1.028*D82</f>
        <v>12.0276</v>
      </c>
      <c r="G82" s="161">
        <f>C82*1.028*D82</f>
        <v>12.0276</v>
      </c>
      <c r="H82" s="91" t="s">
        <v>177</v>
      </c>
      <c r="I82" s="141" t="s">
        <v>171</v>
      </c>
      <c r="J82" s="169"/>
    </row>
    <row r="83" spans="1:10" ht="23.25" customHeight="1">
      <c r="A83" s="34"/>
      <c r="B83" s="142" t="s">
        <v>183</v>
      </c>
      <c r="C83" s="101">
        <v>119</v>
      </c>
      <c r="D83" s="164">
        <v>1</v>
      </c>
      <c r="E83" s="144">
        <v>1</v>
      </c>
      <c r="F83" s="157">
        <f>C83*1.028*D83</f>
        <v>122.33200000000001</v>
      </c>
      <c r="G83" s="161">
        <f>C83*1.028*D83</f>
        <v>122.33200000000001</v>
      </c>
      <c r="H83" s="168" t="s">
        <v>177</v>
      </c>
      <c r="I83" s="100" t="s">
        <v>171</v>
      </c>
      <c r="J83" s="172" t="s">
        <v>184</v>
      </c>
    </row>
    <row r="84" spans="1:10" ht="23.25" customHeight="1">
      <c r="A84" s="34"/>
      <c r="B84" s="58" t="s">
        <v>185</v>
      </c>
      <c r="C84" s="59"/>
      <c r="D84" s="59"/>
      <c r="E84" s="165"/>
      <c r="F84" s="162">
        <f>SUM(F78:F83)</f>
        <v>334.35425866666668</v>
      </c>
      <c r="G84" s="162">
        <f>SUM(G78:G83)</f>
        <v>232.81015203061935</v>
      </c>
      <c r="H84" s="92"/>
      <c r="I84" s="92"/>
      <c r="J84" s="92"/>
    </row>
    <row r="85" spans="1:10" ht="15.5">
      <c r="A85" s="34"/>
      <c r="B85" s="35"/>
      <c r="C85" s="36"/>
      <c r="D85" s="36"/>
      <c r="E85" s="81"/>
      <c r="F85" s="82"/>
      <c r="G85" s="81"/>
      <c r="H85" s="92"/>
      <c r="I85" s="92"/>
    </row>
    <row r="86" spans="1:10" ht="15.5">
      <c r="A86" s="34"/>
      <c r="B86" s="35"/>
      <c r="C86" s="36"/>
      <c r="D86" s="36"/>
      <c r="E86" s="36"/>
      <c r="F86" s="36"/>
      <c r="G86" s="36"/>
      <c r="H86" s="34"/>
      <c r="I86" s="34"/>
    </row>
    <row r="87" spans="1:10" ht="15.5">
      <c r="A87" s="34"/>
      <c r="B87" s="52" t="s">
        <v>186</v>
      </c>
      <c r="C87" s="42" t="s">
        <v>159</v>
      </c>
      <c r="D87" s="76" t="s">
        <v>162</v>
      </c>
      <c r="E87" s="98" t="s">
        <v>187</v>
      </c>
      <c r="F87" s="53" t="s">
        <v>188</v>
      </c>
      <c r="G87" s="188" t="s">
        <v>164</v>
      </c>
      <c r="H87" s="76" t="s">
        <v>165</v>
      </c>
    </row>
    <row r="88" spans="1:10" ht="15.5">
      <c r="A88" t="s">
        <v>189</v>
      </c>
      <c r="B88" s="54" t="s">
        <v>95</v>
      </c>
      <c r="C88" s="42">
        <v>3</v>
      </c>
      <c r="D88" s="198">
        <f>C88*1.028</f>
        <v>3.0840000000000001</v>
      </c>
      <c r="E88" s="76">
        <v>69.569999999999993</v>
      </c>
      <c r="F88" s="154" t="s">
        <v>190</v>
      </c>
      <c r="G88" s="191" t="s">
        <v>171</v>
      </c>
      <c r="H88" s="189" t="s">
        <v>168</v>
      </c>
    </row>
    <row r="89" spans="1:10" ht="15.5">
      <c r="A89" t="s">
        <v>98</v>
      </c>
      <c r="B89" s="56" t="s">
        <v>99</v>
      </c>
      <c r="C89" s="195">
        <v>0</v>
      </c>
      <c r="D89" s="199">
        <v>0</v>
      </c>
      <c r="E89" s="78">
        <v>38.26</v>
      </c>
      <c r="F89" s="154" t="s">
        <v>190</v>
      </c>
      <c r="G89" s="154" t="s">
        <v>190</v>
      </c>
      <c r="H89" s="86"/>
    </row>
    <row r="90" spans="1:10" ht="15.5">
      <c r="A90" t="s">
        <v>100</v>
      </c>
      <c r="B90" s="136" t="s">
        <v>101</v>
      </c>
      <c r="C90" s="196">
        <v>697.19</v>
      </c>
      <c r="D90" s="200">
        <f>C90*1.028</f>
        <v>716.71132000000011</v>
      </c>
      <c r="E90" s="197">
        <v>5.22</v>
      </c>
      <c r="F90" s="201" t="s">
        <v>190</v>
      </c>
      <c r="G90" s="145" t="s">
        <v>171</v>
      </c>
      <c r="H90" s="187" t="s">
        <v>191</v>
      </c>
    </row>
    <row r="91" spans="1:10" ht="15.5">
      <c r="A91" s="34"/>
      <c r="B91" s="56" t="s">
        <v>192</v>
      </c>
      <c r="C91" s="195" t="s">
        <v>193</v>
      </c>
      <c r="D91" s="199" t="s">
        <v>193</v>
      </c>
      <c r="E91" s="88" t="s">
        <v>193</v>
      </c>
      <c r="F91" s="202" t="s">
        <v>193</v>
      </c>
      <c r="G91" s="192"/>
      <c r="H91" s="190"/>
    </row>
    <row r="92" spans="1:10" ht="15.5">
      <c r="A92" s="34"/>
      <c r="B92" s="58" t="s">
        <v>194</v>
      </c>
      <c r="C92" s="59"/>
      <c r="D92" s="194">
        <f>D88*0.6957+D90*0.0522</f>
        <v>39.557869704000005</v>
      </c>
      <c r="E92" s="81"/>
      <c r="F92" s="36"/>
      <c r="G92" s="36"/>
      <c r="H92" s="34"/>
    </row>
    <row r="93" spans="1:10" ht="15.5">
      <c r="A93" s="34"/>
      <c r="B93" s="35"/>
      <c r="C93" s="36"/>
      <c r="D93" s="45"/>
      <c r="E93" s="36"/>
      <c r="F93" s="36"/>
      <c r="G93" s="36"/>
      <c r="H93" s="34"/>
    </row>
    <row r="94" spans="1:10" ht="15.5">
      <c r="A94" s="34"/>
      <c r="B94" s="35"/>
      <c r="C94" s="36"/>
      <c r="D94" s="36"/>
      <c r="E94" s="36"/>
      <c r="F94" s="36"/>
      <c r="G94" s="36"/>
      <c r="H94" s="34"/>
    </row>
    <row r="95" spans="1:10" ht="15.5">
      <c r="A95" s="34"/>
      <c r="B95" s="35"/>
      <c r="C95" s="36"/>
      <c r="D95" s="36"/>
      <c r="E95" s="36"/>
      <c r="F95" s="36"/>
      <c r="G95" s="36"/>
      <c r="H95" s="34"/>
    </row>
    <row r="96" spans="1:10" ht="15.5">
      <c r="B96" s="60"/>
      <c r="C96" s="61"/>
      <c r="D96" s="61"/>
      <c r="E96" s="61"/>
      <c r="F96" s="61"/>
      <c r="G96" s="61"/>
      <c r="I96" s="34"/>
    </row>
    <row r="97" spans="1:14" ht="15.5">
      <c r="B97" s="60"/>
      <c r="C97" s="61"/>
      <c r="D97" s="61"/>
      <c r="E97" s="61"/>
      <c r="F97" s="61"/>
      <c r="G97" s="61"/>
      <c r="I97" s="34"/>
    </row>
    <row r="98" spans="1:14" ht="29.25" customHeight="1">
      <c r="A98" s="37" t="s">
        <v>195</v>
      </c>
      <c r="B98" s="62" t="s">
        <v>156</v>
      </c>
      <c r="C98" s="63" t="s">
        <v>196</v>
      </c>
      <c r="D98" s="64" t="s">
        <v>197</v>
      </c>
      <c r="E98" s="65" t="s">
        <v>163</v>
      </c>
      <c r="F98" s="39" t="s">
        <v>164</v>
      </c>
      <c r="G98" s="46" t="s">
        <v>198</v>
      </c>
      <c r="H98" s="137" t="s">
        <v>199</v>
      </c>
      <c r="I98" s="137" t="s">
        <v>200</v>
      </c>
    </row>
    <row r="99" spans="1:14" ht="29">
      <c r="A99" s="34" t="s">
        <v>201</v>
      </c>
      <c r="B99" s="66" t="s">
        <v>202</v>
      </c>
      <c r="C99" s="67" t="s">
        <v>203</v>
      </c>
      <c r="D99" s="55">
        <v>55</v>
      </c>
      <c r="E99" s="208" t="s">
        <v>190</v>
      </c>
      <c r="F99" s="43" t="s">
        <v>178</v>
      </c>
      <c r="G99" s="68">
        <f>D99/4</f>
        <v>13.75</v>
      </c>
      <c r="H99" s="57">
        <f>I99*3</f>
        <v>42.487499999999997</v>
      </c>
      <c r="I99" s="57">
        <f>G99*1.03</f>
        <v>14.1625</v>
      </c>
    </row>
    <row r="100" spans="1:14" ht="43.5">
      <c r="A100" s="34"/>
      <c r="B100" s="69" t="s">
        <v>204</v>
      </c>
      <c r="C100" s="70" t="s">
        <v>205</v>
      </c>
      <c r="D100" s="50">
        <v>188.58</v>
      </c>
      <c r="E100" s="209" t="s">
        <v>190</v>
      </c>
      <c r="F100" s="100" t="s">
        <v>171</v>
      </c>
      <c r="G100" s="71">
        <f>D100</f>
        <v>188.58</v>
      </c>
      <c r="H100" s="71">
        <f>I100</f>
        <v>194.23740000000001</v>
      </c>
      <c r="I100" s="71">
        <f>G100*1.03</f>
        <v>194.23740000000001</v>
      </c>
    </row>
    <row r="101" spans="1:14" ht="15.5">
      <c r="A101" s="34"/>
      <c r="B101" s="72" t="s">
        <v>206</v>
      </c>
      <c r="C101" s="51" t="s">
        <v>193</v>
      </c>
      <c r="D101" s="51" t="s">
        <v>193</v>
      </c>
      <c r="E101" s="51" t="s">
        <v>193</v>
      </c>
      <c r="F101" s="51" t="s">
        <v>193</v>
      </c>
      <c r="G101" s="51" t="s">
        <v>193</v>
      </c>
      <c r="H101" s="73">
        <f>H100*0.667+H99*0.333</f>
        <v>143.7046833</v>
      </c>
      <c r="I101" s="73">
        <f>I100*0.667+I99*0.333</f>
        <v>134.27245830000001</v>
      </c>
    </row>
    <row r="102" spans="1:14" ht="15.5">
      <c r="A102" s="34"/>
      <c r="B102" s="60"/>
      <c r="C102" s="61"/>
      <c r="D102" s="61"/>
      <c r="E102" s="61"/>
      <c r="F102" s="61"/>
      <c r="G102" s="61"/>
      <c r="H102" s="34"/>
    </row>
    <row r="103" spans="1:14" ht="15.5">
      <c r="A103" s="34"/>
      <c r="B103" s="35"/>
      <c r="C103" s="36"/>
      <c r="D103" s="36"/>
      <c r="E103" s="36"/>
      <c r="F103" s="36"/>
      <c r="G103" s="36"/>
      <c r="H103" s="34"/>
    </row>
    <row r="104" spans="1:14" ht="15.5">
      <c r="A104" s="34"/>
      <c r="B104" s="35"/>
      <c r="C104" s="36"/>
      <c r="D104" s="36"/>
      <c r="E104" s="36"/>
      <c r="F104" s="36"/>
      <c r="G104" s="36"/>
      <c r="H104" s="34"/>
      <c r="I104" s="34"/>
    </row>
    <row r="105" spans="1:14" ht="15.5">
      <c r="A105" s="34"/>
      <c r="B105" s="60"/>
      <c r="C105" s="61"/>
      <c r="D105" s="61"/>
      <c r="E105" s="61"/>
      <c r="F105" s="61"/>
      <c r="G105" s="61"/>
      <c r="H105" s="34"/>
      <c r="I105" s="34"/>
    </row>
    <row r="106" spans="1:14" ht="15.5">
      <c r="A106" s="34"/>
      <c r="B106" s="35"/>
      <c r="C106" s="75"/>
      <c r="D106" s="36"/>
      <c r="E106" s="36"/>
      <c r="F106" s="36"/>
      <c r="G106" s="36"/>
      <c r="H106" s="34"/>
      <c r="I106" s="34"/>
    </row>
    <row r="107" spans="1:14" ht="15.5">
      <c r="A107" s="134" t="s">
        <v>207</v>
      </c>
      <c r="B107" s="38" t="s">
        <v>156</v>
      </c>
      <c r="C107" s="46" t="s">
        <v>157</v>
      </c>
      <c r="D107" s="47" t="s">
        <v>158</v>
      </c>
      <c r="E107" s="36"/>
      <c r="F107" s="36"/>
      <c r="G107" s="36"/>
      <c r="H107" s="34"/>
      <c r="I107" s="34"/>
    </row>
    <row r="108" spans="1:14" ht="15.5">
      <c r="B108" s="35"/>
      <c r="C108" s="36"/>
      <c r="D108" s="36"/>
      <c r="E108" s="36"/>
      <c r="F108" s="36"/>
      <c r="G108" s="36"/>
    </row>
    <row r="109" spans="1:14" ht="15.5">
      <c r="B109" s="35"/>
      <c r="C109" s="36"/>
      <c r="D109" s="36"/>
      <c r="E109" s="36"/>
      <c r="F109" s="36"/>
      <c r="G109" s="36"/>
    </row>
    <row r="110" spans="1:14" ht="16" customHeight="1">
      <c r="B110" s="291" t="s">
        <v>119</v>
      </c>
      <c r="C110" s="293" t="s">
        <v>208</v>
      </c>
      <c r="D110" s="295" t="s">
        <v>160</v>
      </c>
      <c r="E110" s="305" t="s">
        <v>161</v>
      </c>
      <c r="F110" s="297" t="s">
        <v>209</v>
      </c>
      <c r="G110" s="313" t="s">
        <v>210</v>
      </c>
      <c r="H110" s="311" t="s">
        <v>163</v>
      </c>
      <c r="I110" s="280" t="s">
        <v>164</v>
      </c>
      <c r="J110" s="283" t="s">
        <v>165</v>
      </c>
    </row>
    <row r="111" spans="1:14" ht="16" customHeight="1">
      <c r="B111" s="292"/>
      <c r="C111" s="294"/>
      <c r="D111" s="296"/>
      <c r="E111" s="309"/>
      <c r="F111" s="298"/>
      <c r="G111" s="314"/>
      <c r="H111" s="312"/>
      <c r="I111" s="281"/>
      <c r="J111" s="284"/>
    </row>
    <row r="112" spans="1:14" ht="16" customHeight="1">
      <c r="B112" s="79" t="s">
        <v>211</v>
      </c>
      <c r="C112" s="76">
        <v>18.03</v>
      </c>
      <c r="D112" s="77">
        <v>3</v>
      </c>
      <c r="E112" s="92">
        <v>1</v>
      </c>
      <c r="F112" s="152">
        <f>C112*1.031*1.028*D112</f>
        <v>57.32826012000001</v>
      </c>
      <c r="G112" s="207">
        <f>C112*1.031*1.028*E112</f>
        <v>19.109420040000003</v>
      </c>
      <c r="H112" s="151" t="s">
        <v>177</v>
      </c>
      <c r="I112" s="151" t="s">
        <v>177</v>
      </c>
      <c r="J112" s="205" t="s">
        <v>212</v>
      </c>
      <c r="K112" s="92"/>
      <c r="L112" s="92"/>
      <c r="M112" s="92"/>
      <c r="N112" s="92"/>
    </row>
    <row r="113" spans="1:14" ht="16" customHeight="1">
      <c r="B113" s="90" t="s">
        <v>213</v>
      </c>
      <c r="C113" s="78">
        <v>17.2</v>
      </c>
      <c r="D113" s="89">
        <v>1</v>
      </c>
      <c r="E113" s="186">
        <v>0.3</v>
      </c>
      <c r="F113" s="153">
        <f>C113*1.031*1.028*D113</f>
        <v>18.229729599999995</v>
      </c>
      <c r="G113" s="207">
        <f>C113*1.031*1.028*E113</f>
        <v>5.4689188799999986</v>
      </c>
      <c r="H113" s="151" t="s">
        <v>177</v>
      </c>
      <c r="I113" s="151" t="s">
        <v>177</v>
      </c>
      <c r="J113" s="146" t="s">
        <v>214</v>
      </c>
      <c r="K113" s="92"/>
      <c r="L113" s="92"/>
      <c r="M113" s="92"/>
      <c r="N113" s="92"/>
    </row>
    <row r="114" spans="1:14" ht="31.5" customHeight="1">
      <c r="B114" s="142" t="s">
        <v>173</v>
      </c>
      <c r="C114" s="101">
        <v>142</v>
      </c>
      <c r="D114" s="139">
        <v>1</v>
      </c>
      <c r="E114" s="99">
        <f>(18/2+(12*40-1-18)/3)/(40*12-1)</f>
        <v>0.33959638135003478</v>
      </c>
      <c r="F114" s="153">
        <f>C114*1.028*D114</f>
        <v>145.976</v>
      </c>
      <c r="G114" s="159">
        <f>C114*1.028*E114</f>
        <v>49.57292136395268</v>
      </c>
      <c r="H114" s="91" t="s">
        <v>174</v>
      </c>
      <c r="I114" s="150" t="s">
        <v>171</v>
      </c>
      <c r="J114" s="147" t="s">
        <v>175</v>
      </c>
      <c r="K114" s="97"/>
      <c r="L114" s="92"/>
      <c r="M114" s="92"/>
      <c r="N114" s="92"/>
    </row>
    <row r="115" spans="1:14" ht="26.25" customHeight="1">
      <c r="B115" s="142" t="s">
        <v>176</v>
      </c>
      <c r="C115" s="101">
        <v>41</v>
      </c>
      <c r="D115" s="139">
        <v>0.3</v>
      </c>
      <c r="E115" s="140">
        <v>0.3</v>
      </c>
      <c r="F115" s="156">
        <f>C115*1.028*D115</f>
        <v>12.644400000000001</v>
      </c>
      <c r="G115" s="160">
        <f>C115*1.028*E115</f>
        <v>12.644400000000001</v>
      </c>
      <c r="H115" s="91" t="s">
        <v>177</v>
      </c>
      <c r="I115" s="151" t="s">
        <v>178</v>
      </c>
      <c r="J115" s="264" t="s">
        <v>179</v>
      </c>
      <c r="L115" s="92"/>
      <c r="M115" s="92"/>
      <c r="N115" s="92"/>
    </row>
    <row r="116" spans="1:14" ht="41.25" customHeight="1">
      <c r="B116" s="142" t="s">
        <v>180</v>
      </c>
      <c r="C116" s="163">
        <f>(1*206.47+5*164.19)/6</f>
        <v>171.23666666666668</v>
      </c>
      <c r="D116" s="139">
        <v>0.2</v>
      </c>
      <c r="E116" s="140">
        <v>0.2</v>
      </c>
      <c r="F116" s="156">
        <f t="shared" ref="F116" si="1">C116*1.028*D116</f>
        <v>35.20625866666667</v>
      </c>
      <c r="G116" s="160">
        <f>C116*1.028*E116</f>
        <v>35.20625866666667</v>
      </c>
      <c r="H116" s="91" t="s">
        <v>177</v>
      </c>
      <c r="I116" s="150" t="s">
        <v>171</v>
      </c>
      <c r="J116" s="148" t="s">
        <v>181</v>
      </c>
      <c r="L116" s="92"/>
      <c r="M116" s="92"/>
      <c r="N116" s="92"/>
    </row>
    <row r="117" spans="1:14" ht="15.5">
      <c r="B117" s="142" t="s">
        <v>182</v>
      </c>
      <c r="C117" s="101">
        <v>39</v>
      </c>
      <c r="D117" s="164">
        <v>0.3</v>
      </c>
      <c r="E117" s="144">
        <v>0.3</v>
      </c>
      <c r="F117" s="157">
        <f>C117*1.028*D117</f>
        <v>12.0276</v>
      </c>
      <c r="G117" s="161">
        <f>C117*1.028*D117</f>
        <v>12.0276</v>
      </c>
      <c r="H117" s="91" t="s">
        <v>177</v>
      </c>
      <c r="I117" s="150" t="s">
        <v>171</v>
      </c>
      <c r="J117" s="146"/>
      <c r="L117" s="92"/>
      <c r="M117" s="92"/>
      <c r="N117" s="92"/>
    </row>
    <row r="118" spans="1:14" ht="21.75" customHeight="1">
      <c r="B118" s="142" t="s">
        <v>183</v>
      </c>
      <c r="C118" s="101">
        <v>119</v>
      </c>
      <c r="D118" s="164">
        <v>1</v>
      </c>
      <c r="E118" s="144">
        <v>1</v>
      </c>
      <c r="F118" s="203">
        <f>C118*1.028*D118</f>
        <v>122.33200000000001</v>
      </c>
      <c r="G118" s="161">
        <f>C118*1.028*D118</f>
        <v>122.33200000000001</v>
      </c>
      <c r="H118" s="168" t="s">
        <v>177</v>
      </c>
      <c r="I118" s="206" t="s">
        <v>171</v>
      </c>
      <c r="J118" s="149" t="s">
        <v>184</v>
      </c>
      <c r="L118" s="92"/>
      <c r="M118" s="92"/>
      <c r="N118" s="92"/>
    </row>
    <row r="119" spans="1:14" ht="22.5" customHeight="1">
      <c r="B119" s="58" t="s">
        <v>185</v>
      </c>
      <c r="C119" s="59"/>
      <c r="D119" s="59"/>
      <c r="E119" s="165"/>
      <c r="F119" s="204">
        <f>SUM(F112:F118)</f>
        <v>403.7442483866667</v>
      </c>
      <c r="G119" s="162">
        <f>SUM(G112:G118)</f>
        <v>256.36151895061937</v>
      </c>
      <c r="H119" s="92"/>
      <c r="I119" s="92"/>
      <c r="J119" s="92"/>
      <c r="L119" s="92"/>
      <c r="M119" s="92"/>
      <c r="N119" s="92"/>
    </row>
    <row r="120" spans="1:14">
      <c r="B120" s="60"/>
      <c r="C120" s="61"/>
      <c r="D120" s="61"/>
      <c r="E120" s="61"/>
      <c r="F120" s="61"/>
      <c r="G120" s="61"/>
      <c r="H120" s="92"/>
      <c r="I120" s="92"/>
      <c r="J120" s="92"/>
      <c r="K120" s="92"/>
      <c r="L120" s="92"/>
      <c r="M120" s="92"/>
      <c r="N120" s="92"/>
    </row>
    <row r="121" spans="1:14">
      <c r="B121" s="60"/>
      <c r="C121" s="61"/>
      <c r="D121" s="61"/>
      <c r="E121" s="61"/>
      <c r="F121" s="61"/>
      <c r="G121" s="61"/>
      <c r="H121" s="92"/>
      <c r="I121" s="92"/>
      <c r="J121" s="92"/>
      <c r="K121" s="92"/>
      <c r="L121" s="92"/>
      <c r="M121" s="92"/>
      <c r="N121" s="92"/>
    </row>
    <row r="122" spans="1:14" ht="15.5">
      <c r="B122" s="49" t="s">
        <v>186</v>
      </c>
      <c r="C122" s="83" t="s">
        <v>215</v>
      </c>
      <c r="D122" s="138" t="s">
        <v>216</v>
      </c>
      <c r="E122" s="40" t="s">
        <v>187</v>
      </c>
      <c r="F122" s="76" t="s">
        <v>188</v>
      </c>
      <c r="G122" s="40" t="s">
        <v>164</v>
      </c>
      <c r="H122" s="39" t="s">
        <v>165</v>
      </c>
      <c r="J122" s="92"/>
      <c r="K122" s="92"/>
      <c r="L122" s="92"/>
      <c r="M122" s="92"/>
      <c r="N122" s="92"/>
    </row>
    <row r="123" spans="1:14" ht="15.5">
      <c r="A123" t="s">
        <v>217</v>
      </c>
      <c r="B123" s="84" t="s">
        <v>105</v>
      </c>
      <c r="C123" s="36">
        <v>57</v>
      </c>
      <c r="D123" s="85">
        <f>C123*1.03</f>
        <v>58.71</v>
      </c>
      <c r="E123" s="76">
        <v>12.11</v>
      </c>
      <c r="F123" s="43" t="s">
        <v>177</v>
      </c>
      <c r="G123" s="43" t="s">
        <v>178</v>
      </c>
      <c r="H123" s="210" t="s">
        <v>218</v>
      </c>
    </row>
    <row r="124" spans="1:14" ht="15.5">
      <c r="A124" t="s">
        <v>109</v>
      </c>
      <c r="B124" s="86" t="s">
        <v>110</v>
      </c>
      <c r="C124" s="36">
        <v>635</v>
      </c>
      <c r="D124" s="81">
        <f>C124*1.028</f>
        <v>652.78</v>
      </c>
      <c r="E124" s="78">
        <v>9.3000000000000007</v>
      </c>
      <c r="F124" s="80" t="s">
        <v>177</v>
      </c>
      <c r="G124" s="141" t="s">
        <v>171</v>
      </c>
      <c r="H124" s="211" t="s">
        <v>219</v>
      </c>
    </row>
    <row r="125" spans="1:14" ht="15.5">
      <c r="A125" t="s">
        <v>111</v>
      </c>
      <c r="B125" s="87" t="s">
        <v>220</v>
      </c>
      <c r="C125" s="36">
        <v>552.78</v>
      </c>
      <c r="D125" s="81">
        <f>C125*1.025*1.031*1.028</f>
        <v>600.5206788659998</v>
      </c>
      <c r="E125" s="88">
        <v>2.25</v>
      </c>
      <c r="F125" s="44" t="s">
        <v>177</v>
      </c>
      <c r="G125" s="100" t="s">
        <v>171</v>
      </c>
      <c r="H125" s="212" t="s">
        <v>221</v>
      </c>
    </row>
    <row r="126" spans="1:14" ht="15.5">
      <c r="B126" s="58" t="s">
        <v>194</v>
      </c>
      <c r="C126" s="59"/>
      <c r="D126" s="193">
        <f>D123*0.1211+D124*0.093+D125*0.0225</f>
        <v>81.330036274484996</v>
      </c>
      <c r="E126" s="61"/>
      <c r="F126" s="81"/>
      <c r="G126" s="36" t="s">
        <v>193</v>
      </c>
    </row>
    <row r="127" spans="1:14">
      <c r="B127" s="60"/>
      <c r="C127" s="61"/>
      <c r="D127" s="61"/>
      <c r="E127" s="61"/>
      <c r="F127" s="61"/>
      <c r="G127" s="61"/>
    </row>
    <row r="128" spans="1:14">
      <c r="A128" s="61"/>
      <c r="B128" s="61"/>
      <c r="C128" s="61"/>
      <c r="D128" s="61"/>
      <c r="E128" s="61"/>
      <c r="F128" s="61"/>
      <c r="G128" s="61"/>
    </row>
    <row r="129" spans="1:7">
      <c r="D129" s="61"/>
      <c r="F129" s="61"/>
      <c r="G129" s="61"/>
    </row>
    <row r="130" spans="1:7">
      <c r="D130" s="61"/>
      <c r="F130" s="61"/>
      <c r="G130" s="61"/>
    </row>
    <row r="131" spans="1:7">
      <c r="B131" s="60"/>
      <c r="C131" s="61"/>
      <c r="D131" s="141"/>
      <c r="F131" s="61"/>
      <c r="G131" s="61"/>
    </row>
    <row r="132" spans="1:7">
      <c r="A132" s="41" t="s">
        <v>222</v>
      </c>
    </row>
    <row r="133" spans="1:7">
      <c r="A133" s="41" t="s">
        <v>223</v>
      </c>
    </row>
    <row r="134" spans="1:7">
      <c r="A134" s="41" t="s">
        <v>224</v>
      </c>
    </row>
  </sheetData>
  <mergeCells count="23">
    <mergeCell ref="A1:F2"/>
    <mergeCell ref="A29:F30"/>
    <mergeCell ref="H110:H111"/>
    <mergeCell ref="G110:G111"/>
    <mergeCell ref="A65:B65"/>
    <mergeCell ref="B4:F4"/>
    <mergeCell ref="B12:F12"/>
    <mergeCell ref="I110:I111"/>
    <mergeCell ref="J76:J77"/>
    <mergeCell ref="J110:J111"/>
    <mergeCell ref="A47:B47"/>
    <mergeCell ref="I76:I77"/>
    <mergeCell ref="H76:H77"/>
    <mergeCell ref="B110:B111"/>
    <mergeCell ref="C110:C111"/>
    <mergeCell ref="D110:D111"/>
    <mergeCell ref="F110:F111"/>
    <mergeCell ref="B76:B77"/>
    <mergeCell ref="C76:C77"/>
    <mergeCell ref="D76:D77"/>
    <mergeCell ref="E76:E77"/>
    <mergeCell ref="F76:G76"/>
    <mergeCell ref="E110:E111"/>
  </mergeCells>
  <phoneticPr fontId="6" type="noConversion"/>
  <hyperlinks>
    <hyperlink ref="C61" r:id="rId1" xr:uid="{F6E11979-3571-BD45-BDAC-F99AACDBD2A6}"/>
    <hyperlink ref="D61" r:id="rId2" xr:uid="{E1FE60F1-5005-3449-9B00-7D4069E383B1}"/>
    <hyperlink ref="C43" r:id="rId3" xr:uid="{4C9B9AAF-B87E-A241-B40F-BB22D7837E57}"/>
    <hyperlink ref="D43" r:id="rId4" xr:uid="{EF43D4C8-D7CF-D941-988E-8CA74BBAC544}"/>
    <hyperlink ref="C45" r:id="rId5" xr:uid="{692049E7-7052-3C4A-A1CA-E9BD7D5DB78E}"/>
    <hyperlink ref="D45" r:id="rId6" xr:uid="{0D9258FA-E90B-764C-B5CB-4D17CF935AB4}"/>
    <hyperlink ref="B45" r:id="rId7" xr:uid="{74E65257-50B9-394D-A3EB-26DAC884245B}"/>
    <hyperlink ref="B43" r:id="rId8" xr:uid="{BFD00CEA-DA59-9048-8054-75D138EC7BAC}"/>
    <hyperlink ref="B61" r:id="rId9" xr:uid="{C9E349F3-2775-A74D-97AC-9C85DE2E3AEE}"/>
    <hyperlink ref="B63" r:id="rId10" xr:uid="{18B6A1E1-747D-7C44-90F4-70DD174AB6BD}"/>
    <hyperlink ref="C63" r:id="rId11" xr:uid="{C3508C89-A896-8C43-B759-B52483E1C687}"/>
    <hyperlink ref="D63" r:id="rId12" xr:uid="{452397D9-C2F6-A643-84D4-1D1E9BF702B3}"/>
    <hyperlink ref="G123" r:id="rId13" xr:uid="{59C1A402-20F9-473E-A093-6084F4D468CC}"/>
    <hyperlink ref="F88" r:id="rId14" xr:uid="{A9966258-8B92-4D6B-A4ED-3125F8582A16}"/>
    <hyperlink ref="F89" r:id="rId15" xr:uid="{108FF911-41A0-4C7D-A29E-FAC4B080297C}"/>
    <hyperlink ref="F90" r:id="rId16" xr:uid="{0B92F2FD-280D-4AEA-8F33-4B4617C68510}"/>
    <hyperlink ref="A134" r:id="rId17" xr:uid="{92408717-8343-473E-9847-DBDF34AB25AC}"/>
    <hyperlink ref="F123" r:id="rId18" xr:uid="{FD5D6373-7E9D-4FB7-BF24-FB524228076A}"/>
    <hyperlink ref="H78" r:id="rId19" xr:uid="{33159173-B9B4-4453-B822-DA5267670DF6}"/>
    <hyperlink ref="I78" r:id="rId20" location="heading-1" xr:uid="{AB263E61-EDE6-4E41-A38B-F89DE98F2F50}"/>
    <hyperlink ref="H80" r:id="rId21" xr:uid="{DC8EB553-0444-46FA-9B39-965D1DCEA4DD}"/>
    <hyperlink ref="I83" r:id="rId22" location="heading-1" xr:uid="{14688245-EB96-4D03-AD3D-835F722B52E0}"/>
    <hyperlink ref="H81" r:id="rId23" xr:uid="{8881B2F2-B1B2-4A2D-B930-FD5CE0ED75A0}"/>
    <hyperlink ref="H82" r:id="rId24" xr:uid="{9E474DEC-385B-43C1-86F7-16F4BE39FA76}"/>
    <hyperlink ref="H83" r:id="rId25" xr:uid="{6E65EB9C-6CE8-4824-AB0F-525752E8F977}"/>
    <hyperlink ref="H79" r:id="rId26" xr:uid="{6F75A916-BFA2-48D6-8C06-FFCEC4582C9D}"/>
    <hyperlink ref="I82" r:id="rId27" location="heading-1" xr:uid="{07081F6A-1176-4FAF-A788-97529A79D1CA}"/>
    <hyperlink ref="I79" r:id="rId28" location="heading-1" xr:uid="{6C83D4E7-9926-48E4-B710-01E844464E5A}"/>
    <hyperlink ref="I80" r:id="rId29" xr:uid="{C7A7BFB4-9584-41C9-A739-B0F195DBECC2}"/>
    <hyperlink ref="I81" r:id="rId30" location="heading-1" xr:uid="{8D246394-8AF2-4AFF-A0D1-47CCD0CADE97}"/>
    <hyperlink ref="H115" r:id="rId31" xr:uid="{5B5FA4E3-B904-4D01-A9FB-6CA9BF03A5DA}"/>
    <hyperlink ref="I118" r:id="rId32" location="heading-1" xr:uid="{D0E49295-63F7-425F-B42B-3521792FD683}"/>
    <hyperlink ref="H116" r:id="rId33" xr:uid="{04F0AE28-127A-4301-A149-25F3932760F5}"/>
    <hyperlink ref="H117" r:id="rId34" xr:uid="{ABF6CA58-70A6-4C81-814F-9976D5CD8274}"/>
    <hyperlink ref="H118" r:id="rId35" xr:uid="{24BE3BE7-3D57-4F49-B820-DF074A7F298C}"/>
    <hyperlink ref="H114" r:id="rId36" xr:uid="{5ADB53E5-0271-4D1C-B1F7-4AADB117FDB1}"/>
    <hyperlink ref="I117" r:id="rId37" location="heading-1" xr:uid="{6C33DEF4-F9A6-472A-B430-0BFAD15F05CA}"/>
    <hyperlink ref="I114" r:id="rId38" location="heading-1" xr:uid="{284AF5DA-B936-4045-AEE1-A08B5C0FB82B}"/>
    <hyperlink ref="I115" r:id="rId39" xr:uid="{FD922A3C-7AAF-4489-AFE2-DB1C67A590BE}"/>
    <hyperlink ref="I116" r:id="rId40" location="heading-1" xr:uid="{78C975C8-3351-49C9-B96B-88277A474FEA}"/>
    <hyperlink ref="H112" r:id="rId41" xr:uid="{B1605980-034B-4508-808C-49CAF11220E1}"/>
    <hyperlink ref="H113" r:id="rId42" xr:uid="{8C369B86-C948-4CB4-9B6F-AB4BC3A98332}"/>
    <hyperlink ref="G88" r:id="rId43" location="heading-1" xr:uid="{E47F097F-9101-4A6E-ADE5-94B394523690}"/>
    <hyperlink ref="G90" r:id="rId44" location="heading-1" xr:uid="{B9DF189C-5F17-4F48-B292-4281B928C186}"/>
    <hyperlink ref="G124" r:id="rId45" location="heading-1" xr:uid="{3A5EFC28-8560-4867-A9F2-00793F6439AD}"/>
    <hyperlink ref="F124:F125" r:id="rId46" display="NICE TA Alpesilib" xr:uid="{75715CED-CBCB-4170-B726-707DE7E125C6}"/>
    <hyperlink ref="G125" r:id="rId47" location="heading-1" xr:uid="{83BC7CB2-F677-457B-A66F-35869B357DFB}"/>
    <hyperlink ref="I112" r:id="rId48" xr:uid="{BAD28C06-4E74-4B9B-8EC1-CF5AF98D77B5}"/>
    <hyperlink ref="I113" r:id="rId49" xr:uid="{868B7109-D2E6-49AA-89EF-9ED2D7AF47FA}"/>
    <hyperlink ref="E99" r:id="rId50" xr:uid="{DB073189-9866-40F0-A30F-FB1EA4D11B68}"/>
    <hyperlink ref="E100" r:id="rId51" xr:uid="{BC72FCA7-F965-44F7-8F50-1106333173FD}"/>
    <hyperlink ref="F99" r:id="rId52" xr:uid="{766B7154-72AD-4BDD-BE69-16064D6A4FAF}"/>
    <hyperlink ref="F100" r:id="rId53" location="heading-1" xr:uid="{FE58FB3B-8E73-47FD-BF9B-082A489A52E5}"/>
    <hyperlink ref="A133" r:id="rId54" xr:uid="{9F68B3B5-1C3A-425B-B27E-2D0589F80C2A}"/>
    <hyperlink ref="A132" r:id="rId55" xr:uid="{A50022FC-3B6B-4E74-807E-1F1946FF0534}"/>
    <hyperlink ref="G89" r:id="rId56" xr:uid="{85FA00ED-8767-47D7-AD77-826F1A210AB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92BFA-A2F5-4AFE-AC07-968E41A88801}">
  <sheetPr codeName="Sheet13"/>
  <dimension ref="A1:L7"/>
  <sheetViews>
    <sheetView zoomScale="121" workbookViewId="0">
      <selection activeCell="E22" sqref="E22"/>
    </sheetView>
  </sheetViews>
  <sheetFormatPr defaultRowHeight="14"/>
  <cols>
    <col min="1" max="1" width="23.33203125" customWidth="1"/>
    <col min="2" max="2" width="20.08203125" customWidth="1"/>
    <col min="3" max="3" width="26.83203125" customWidth="1"/>
    <col min="4" max="4" width="29.33203125" customWidth="1"/>
    <col min="5" max="5" width="46.83203125" customWidth="1"/>
    <col min="6" max="6" width="22.83203125" customWidth="1"/>
    <col min="7" max="7" width="27.33203125" customWidth="1"/>
    <col min="8" max="8" width="30.25" customWidth="1"/>
    <col min="9" max="9" width="28.75" customWidth="1"/>
    <col min="10" max="10" width="95.08203125" customWidth="1"/>
    <col min="11" max="11" width="56.83203125" style="214" customWidth="1"/>
    <col min="12" max="12" width="91.08203125" customWidth="1"/>
  </cols>
  <sheetData>
    <row r="1" spans="1:12" ht="14.5" thickBot="1">
      <c r="A1" s="21" t="s">
        <v>81</v>
      </c>
      <c r="B1" s="21" t="s">
        <v>232</v>
      </c>
      <c r="C1" s="21" t="s">
        <v>233</v>
      </c>
      <c r="D1" s="21" t="s">
        <v>84</v>
      </c>
      <c r="E1" s="22" t="s">
        <v>85</v>
      </c>
      <c r="F1" s="21" t="s">
        <v>86</v>
      </c>
      <c r="G1" s="22" t="s">
        <v>87</v>
      </c>
      <c r="H1" s="22" t="s">
        <v>88</v>
      </c>
      <c r="I1" s="22" t="s">
        <v>89</v>
      </c>
      <c r="J1" s="22" t="s">
        <v>234</v>
      </c>
      <c r="K1" s="213" t="s">
        <v>235</v>
      </c>
      <c r="L1" s="135" t="s">
        <v>92</v>
      </c>
    </row>
    <row r="2" spans="1:12" s="216" customFormat="1" ht="12" customHeight="1">
      <c r="A2" s="216" t="s">
        <v>93</v>
      </c>
      <c r="B2" s="216" t="s">
        <v>94</v>
      </c>
      <c r="C2" s="216" t="s">
        <v>95</v>
      </c>
      <c r="D2" s="217">
        <v>0.69569999999999999</v>
      </c>
      <c r="E2" s="318" t="s">
        <v>96</v>
      </c>
      <c r="F2" s="216">
        <v>-0.124</v>
      </c>
      <c r="J2" s="216" t="s">
        <v>236</v>
      </c>
      <c r="K2" s="218">
        <v>3.0840000000000001</v>
      </c>
      <c r="L2" s="219" t="s">
        <v>171</v>
      </c>
    </row>
    <row r="3" spans="1:12" s="216" customFormat="1">
      <c r="A3" s="216" t="s">
        <v>93</v>
      </c>
      <c r="B3" s="216" t="s">
        <v>98</v>
      </c>
      <c r="C3" s="216" t="s">
        <v>99</v>
      </c>
      <c r="D3" s="217">
        <v>0.3826</v>
      </c>
      <c r="E3" s="318"/>
      <c r="F3" s="216">
        <v>-3.0000000000000001E-3</v>
      </c>
      <c r="J3" s="216" t="s">
        <v>236</v>
      </c>
      <c r="K3" s="218">
        <v>0</v>
      </c>
      <c r="L3" s="220" t="s">
        <v>190</v>
      </c>
    </row>
    <row r="4" spans="1:12" s="216" customFormat="1">
      <c r="A4" s="216" t="s">
        <v>93</v>
      </c>
      <c r="B4" s="216" t="s">
        <v>100</v>
      </c>
      <c r="C4" s="216" t="s">
        <v>101</v>
      </c>
      <c r="D4" s="217">
        <v>5.2200000000000003E-2</v>
      </c>
      <c r="E4" s="318"/>
      <c r="F4" s="216">
        <v>-0.2303</v>
      </c>
      <c r="J4" s="216" t="s">
        <v>102</v>
      </c>
      <c r="K4" s="218">
        <v>716.71132000000011</v>
      </c>
      <c r="L4" s="220" t="s">
        <v>171</v>
      </c>
    </row>
    <row r="5" spans="1:12" s="215" customFormat="1" ht="14.15" customHeight="1">
      <c r="A5" s="215" t="s">
        <v>103</v>
      </c>
      <c r="B5" s="215" t="s">
        <v>104</v>
      </c>
      <c r="C5" s="215" t="s">
        <v>105</v>
      </c>
      <c r="D5" s="221">
        <v>0.121</v>
      </c>
      <c r="E5" s="319" t="s">
        <v>237</v>
      </c>
      <c r="F5" s="215">
        <v>-5.7000000000000002E-2</v>
      </c>
      <c r="G5" s="222" t="s">
        <v>107</v>
      </c>
      <c r="H5" s="222" t="s">
        <v>107</v>
      </c>
      <c r="J5" s="215" t="s">
        <v>108</v>
      </c>
      <c r="K5" s="223">
        <v>58.71</v>
      </c>
      <c r="L5" s="224" t="s">
        <v>178</v>
      </c>
    </row>
    <row r="6" spans="1:12" s="215" customFormat="1">
      <c r="A6" s="215" t="s">
        <v>103</v>
      </c>
      <c r="B6" s="215" t="s">
        <v>109</v>
      </c>
      <c r="C6" s="215" t="s">
        <v>110</v>
      </c>
      <c r="D6" s="221">
        <v>9.2999999999999999E-2</v>
      </c>
      <c r="E6" s="319"/>
      <c r="F6" s="215">
        <v>-0.10299999999999999</v>
      </c>
      <c r="J6" s="215" t="s">
        <v>236</v>
      </c>
      <c r="K6" s="223">
        <v>652.78</v>
      </c>
      <c r="L6" s="224">
        <f>CostDeterministic!G112</f>
        <v>19.109420040000003</v>
      </c>
    </row>
    <row r="7" spans="1:12" s="215" customFormat="1">
      <c r="A7" s="215" t="s">
        <v>103</v>
      </c>
      <c r="B7" s="215" t="s">
        <v>111</v>
      </c>
      <c r="C7" s="215" t="s">
        <v>238</v>
      </c>
      <c r="D7" s="221">
        <v>2.3E-2</v>
      </c>
      <c r="E7" s="319"/>
      <c r="F7" s="215">
        <v>-0.06</v>
      </c>
      <c r="G7" s="222" t="s">
        <v>107</v>
      </c>
      <c r="H7" s="222" t="s">
        <v>107</v>
      </c>
      <c r="J7" s="215" t="s">
        <v>113</v>
      </c>
      <c r="K7" s="223">
        <v>600.5206788659998</v>
      </c>
      <c r="L7" s="224">
        <f>CostDeterministic!G113</f>
        <v>5.4689188799999986</v>
      </c>
    </row>
  </sheetData>
  <mergeCells count="2">
    <mergeCell ref="E2:E4"/>
    <mergeCell ref="E5:E7"/>
  </mergeCells>
  <phoneticPr fontId="6" type="noConversion"/>
  <hyperlinks>
    <hyperlink ref="J5" r:id="rId1" xr:uid="{967C6A10-8690-4612-AE1D-93ED484A8E49}"/>
    <hyperlink ref="J2" r:id="rId2" xr:uid="{4A209904-E6CD-4046-BD82-B48533E743A9}"/>
    <hyperlink ref="J3" r:id="rId3" xr:uid="{3BD2A95D-02F6-47F5-86D1-D0EF8C5DFA2E}"/>
    <hyperlink ref="J6" r:id="rId4" xr:uid="{FCB74410-17BC-48ED-B97B-DB75ADD02F7B}"/>
    <hyperlink ref="J4" r:id="rId5" xr:uid="{1F934168-0F88-4D62-B721-B87C2EEEB9C5}"/>
    <hyperlink ref="L2" r:id="rId6" location="heading-1" xr:uid="{420E9303-C4BE-4685-AA56-E2CAFF5DA634}"/>
    <hyperlink ref="E5" r:id="rId7" xr:uid="{4DDE63FF-72F1-4BDC-8269-907590B63836}"/>
    <hyperlink ref="L7" r:id="rId8" location="heading-1" display="='Cost details'!E88" xr:uid="{86CCCEA3-041C-4AB3-94FE-F52DC2BF4BBB}"/>
    <hyperlink ref="L4" r:id="rId9" location="heading-1" xr:uid="{46C86637-53F9-455C-9296-67772AC7BAF5}"/>
    <hyperlink ref="L6" r:id="rId10" location="heading-1" display="='Cost details'!E88" xr:uid="{0CB85729-235B-413B-B080-310E82A2625A}"/>
    <hyperlink ref="L5" r:id="rId11" xr:uid="{5E9F61AB-008D-4238-90AF-92A31DF07C99}"/>
    <hyperlink ref="L3" r:id="rId12" xr:uid="{61E6221D-2D82-474C-92BF-3C6262480E72}"/>
  </hyperlinks>
  <pageMargins left="0.7" right="0.7" top="0.75" bottom="0.75" header="0.3" footer="0.3"/>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FD084-0165-9547-BBF1-F0CA40E147F5}">
  <sheetPr codeName="Sheet9"/>
  <dimension ref="A2:E27"/>
  <sheetViews>
    <sheetView zoomScale="111" zoomScaleNormal="111" workbookViewId="0">
      <selection activeCell="D2" sqref="D2"/>
    </sheetView>
  </sheetViews>
  <sheetFormatPr defaultColWidth="11.33203125" defaultRowHeight="14"/>
  <cols>
    <col min="2" max="2" width="53.58203125" customWidth="1"/>
    <col min="3" max="3" width="54.08203125" customWidth="1"/>
    <col min="4" max="4" width="52.33203125" customWidth="1"/>
    <col min="5" max="5" width="15.83203125" bestFit="1" customWidth="1"/>
  </cols>
  <sheetData>
    <row r="2" spans="1:5">
      <c r="B2" s="28" t="s">
        <v>239</v>
      </c>
      <c r="C2" s="28" t="s">
        <v>240</v>
      </c>
      <c r="D2" s="28" t="s">
        <v>241</v>
      </c>
    </row>
    <row r="3" spans="1:5">
      <c r="A3" s="32" t="s">
        <v>242</v>
      </c>
      <c r="B3" s="31">
        <f>(EXP(0.008871+0.0239*B7))/(1+EXP(0.008871+0.0239*B7))</f>
        <v>0.7975692803540616</v>
      </c>
      <c r="C3" s="30" t="s">
        <v>243</v>
      </c>
      <c r="D3">
        <v>0.83</v>
      </c>
    </row>
    <row r="4" spans="1:5">
      <c r="A4" s="32" t="s">
        <v>244</v>
      </c>
      <c r="B4" s="31">
        <f>(EXP(0.008871+0.0239*B7-1.1477))/(1+EXP(0.008871+0.0239*B7-1.1477))</f>
        <v>0.55563640561139738</v>
      </c>
      <c r="C4" s="30">
        <v>0.69</v>
      </c>
      <c r="D4" s="30" t="s">
        <v>243</v>
      </c>
    </row>
    <row r="5" spans="1:5" ht="89.15" customHeight="1">
      <c r="A5" s="32" t="s">
        <v>153</v>
      </c>
      <c r="B5" s="33" t="s">
        <v>245</v>
      </c>
      <c r="C5" s="33" t="s">
        <v>246</v>
      </c>
      <c r="D5" s="33" t="s">
        <v>247</v>
      </c>
    </row>
    <row r="7" spans="1:5">
      <c r="A7" s="32" t="s">
        <v>248</v>
      </c>
      <c r="B7">
        <v>57</v>
      </c>
    </row>
    <row r="16" spans="1:5">
      <c r="E16" s="31"/>
    </row>
    <row r="17" spans="3:5">
      <c r="E17" s="31"/>
    </row>
    <row r="27" spans="3:5">
      <c r="C27" t="s">
        <v>249</v>
      </c>
    </row>
  </sheetData>
  <phoneticPr fontId="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026C3-A862-4A9A-9242-F97425154894}">
  <sheetPr codeName="Sheet12"/>
  <dimension ref="A1:AO1499"/>
  <sheetViews>
    <sheetView topLeftCell="AF1" zoomScale="85" zoomScaleNormal="85" workbookViewId="0">
      <selection activeCell="AM4" sqref="AM4"/>
    </sheetView>
  </sheetViews>
  <sheetFormatPr defaultRowHeight="14"/>
  <cols>
    <col min="1" max="1" width="5.08203125" bestFit="1" customWidth="1"/>
    <col min="2" max="2" width="10.08203125" style="254" bestFit="1" customWidth="1"/>
    <col min="3" max="3" width="11.08203125" style="254" bestFit="1" customWidth="1"/>
    <col min="4" max="4" width="8.58203125" style="254" bestFit="1" customWidth="1"/>
    <col min="5" max="5" width="7.08203125" style="254" bestFit="1" customWidth="1"/>
    <col min="6" max="9" width="12.08203125" style="254" bestFit="1" customWidth="1"/>
    <col min="10" max="10" width="7.08203125" style="254" customWidth="1"/>
    <col min="11" max="11" width="12.5" style="254" customWidth="1"/>
    <col min="12" max="14" width="11.83203125" style="254" bestFit="1" customWidth="1"/>
    <col min="15" max="17" width="12.08203125" style="254" bestFit="1" customWidth="1"/>
    <col min="18" max="20" width="10.25" style="254" bestFit="1" customWidth="1"/>
    <col min="21" max="23" width="10.58203125" style="254" bestFit="1" customWidth="1"/>
    <col min="24" max="24" width="16" style="255" bestFit="1" customWidth="1"/>
    <col min="25" max="25" width="17.5" style="255" bestFit="1" customWidth="1"/>
    <col min="26" max="26" width="16.08203125" style="255" bestFit="1" customWidth="1"/>
    <col min="27" max="27" width="17.83203125" style="255" bestFit="1" customWidth="1"/>
    <col min="28" max="28" width="14.33203125" style="255" customWidth="1"/>
    <col min="29" max="29" width="8.58203125"/>
    <col min="30" max="30" width="15.08203125" style="252" bestFit="1" customWidth="1"/>
    <col min="31" max="31" width="17.33203125" style="252" bestFit="1" customWidth="1"/>
    <col min="32" max="32" width="8.25" style="252" bestFit="1" customWidth="1"/>
    <col min="33" max="33" width="15.33203125" style="252" bestFit="1" customWidth="1"/>
    <col min="34" max="34" width="17.75" style="252" bestFit="1" customWidth="1"/>
    <col min="35" max="35" width="8.33203125" style="252" bestFit="1" customWidth="1"/>
    <col min="36" max="36" width="11.08203125" style="253" bestFit="1" customWidth="1"/>
    <col min="37" max="37" width="18.08203125" style="253" customWidth="1"/>
    <col min="39" max="39" width="18.08203125" style="267" bestFit="1" customWidth="1"/>
    <col min="40" max="40" width="20.5" style="267" bestFit="1" customWidth="1"/>
    <col min="41" max="41" width="26.08203125" style="267" customWidth="1"/>
  </cols>
  <sheetData>
    <row r="1" spans="1:41" s="256" customFormat="1">
      <c r="B1" s="327" t="s">
        <v>225</v>
      </c>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D1" s="322" t="s">
        <v>226</v>
      </c>
      <c r="AE1" s="322"/>
      <c r="AF1" s="322"/>
      <c r="AG1" s="322"/>
      <c r="AH1" s="322"/>
      <c r="AI1" s="322"/>
      <c r="AJ1" s="322"/>
      <c r="AK1" s="322"/>
      <c r="AM1" s="268"/>
      <c r="AN1" s="268"/>
      <c r="AO1" s="268"/>
    </row>
    <row r="2" spans="1:41" s="256" customFormat="1">
      <c r="B2" s="323" t="s">
        <v>2</v>
      </c>
      <c r="C2" s="323"/>
      <c r="D2" s="323" t="s">
        <v>5</v>
      </c>
      <c r="E2" s="323"/>
      <c r="F2" s="323"/>
      <c r="G2" s="323"/>
      <c r="H2" s="323"/>
      <c r="I2" s="323"/>
      <c r="J2" s="324" t="s">
        <v>12</v>
      </c>
      <c r="K2" s="324"/>
      <c r="L2" s="325" t="s">
        <v>15</v>
      </c>
      <c r="M2" s="325"/>
      <c r="N2" s="325"/>
      <c r="O2" s="325"/>
      <c r="P2" s="325"/>
      <c r="Q2" s="325"/>
      <c r="R2" s="325"/>
      <c r="S2" s="325"/>
      <c r="T2" s="325"/>
      <c r="U2" s="325"/>
      <c r="V2" s="325"/>
      <c r="W2" s="325"/>
      <c r="X2" s="326" t="s">
        <v>28</v>
      </c>
      <c r="Y2" s="326"/>
      <c r="Z2" s="326"/>
      <c r="AA2" s="326"/>
      <c r="AB2" s="326"/>
      <c r="AD2" s="321" t="s">
        <v>227</v>
      </c>
      <c r="AE2" s="321"/>
      <c r="AF2" s="321"/>
      <c r="AG2" s="321"/>
      <c r="AH2" s="321"/>
      <c r="AI2" s="321"/>
      <c r="AJ2" s="320" t="s">
        <v>28</v>
      </c>
      <c r="AK2" s="320"/>
      <c r="AM2" s="268"/>
      <c r="AN2" s="268"/>
      <c r="AO2" s="268"/>
    </row>
    <row r="3" spans="1:41" s="256" customFormat="1">
      <c r="A3" s="256" t="s">
        <v>228</v>
      </c>
      <c r="B3" s="257" t="s">
        <v>3</v>
      </c>
      <c r="C3" s="257" t="s">
        <v>4</v>
      </c>
      <c r="D3" s="257" t="s">
        <v>6</v>
      </c>
      <c r="E3" s="257" t="s">
        <v>7</v>
      </c>
      <c r="F3" s="257" t="s">
        <v>8</v>
      </c>
      <c r="G3" s="257" t="s">
        <v>9</v>
      </c>
      <c r="H3" s="257" t="s">
        <v>10</v>
      </c>
      <c r="I3" s="257" t="s">
        <v>11</v>
      </c>
      <c r="J3" s="258" t="s">
        <v>13</v>
      </c>
      <c r="K3" s="258" t="s">
        <v>14</v>
      </c>
      <c r="L3" s="259" t="s">
        <v>16</v>
      </c>
      <c r="M3" s="259" t="s">
        <v>17</v>
      </c>
      <c r="N3" s="259" t="s">
        <v>18</v>
      </c>
      <c r="O3" s="259" t="s">
        <v>19</v>
      </c>
      <c r="P3" s="259" t="s">
        <v>20</v>
      </c>
      <c r="Q3" s="259" t="s">
        <v>21</v>
      </c>
      <c r="R3" s="259" t="s">
        <v>22</v>
      </c>
      <c r="S3" s="259" t="s">
        <v>23</v>
      </c>
      <c r="T3" s="259" t="s">
        <v>24</v>
      </c>
      <c r="U3" s="259" t="s">
        <v>25</v>
      </c>
      <c r="V3" s="259" t="s">
        <v>26</v>
      </c>
      <c r="W3" s="259" t="s">
        <v>27</v>
      </c>
      <c r="X3" s="260" t="s">
        <v>29</v>
      </c>
      <c r="Y3" s="260" t="s">
        <v>30</v>
      </c>
      <c r="Z3" s="260" t="s">
        <v>31</v>
      </c>
      <c r="AA3" s="260" t="s">
        <v>32</v>
      </c>
      <c r="AB3" s="260" t="s">
        <v>33</v>
      </c>
      <c r="AD3" s="261" t="s">
        <v>69</v>
      </c>
      <c r="AE3" s="261" t="s">
        <v>70</v>
      </c>
      <c r="AF3" s="261" t="s">
        <v>71</v>
      </c>
      <c r="AG3" s="261" t="s">
        <v>77</v>
      </c>
      <c r="AH3" s="261" t="s">
        <v>78</v>
      </c>
      <c r="AI3" s="261" t="s">
        <v>79</v>
      </c>
      <c r="AJ3" s="262" t="s">
        <v>80</v>
      </c>
      <c r="AK3" s="262" t="s">
        <v>72</v>
      </c>
      <c r="AM3" s="269" t="s">
        <v>229</v>
      </c>
      <c r="AN3" s="269" t="s">
        <v>230</v>
      </c>
      <c r="AO3" s="269" t="s">
        <v>231</v>
      </c>
    </row>
    <row r="4" spans="1:41">
      <c r="A4">
        <v>0</v>
      </c>
      <c r="B4" s="247">
        <f>cohortSize</f>
        <v>660</v>
      </c>
      <c r="C4" s="247">
        <f>rdis_Month</f>
        <v>2.9555555555555559E-3</v>
      </c>
      <c r="D4" s="247">
        <f>tpPFS2D</f>
        <v>1.75353156090075E-4</v>
      </c>
      <c r="E4" s="247">
        <f>tpP2D</f>
        <v>6.2957827273940503E-2</v>
      </c>
      <c r="F4" s="247">
        <f>lambda_capi</f>
        <v>3.7754785557038019E-2</v>
      </c>
      <c r="G4" s="247">
        <f>gamma_capi</f>
        <v>1.1721972745676115</v>
      </c>
      <c r="H4" s="247">
        <f>lambda_pacl</f>
        <v>3.3732283571206043E-2</v>
      </c>
      <c r="I4" s="247">
        <f>gamma_pacl</f>
        <v>1.3542335655231825</v>
      </c>
      <c r="J4" s="247">
        <f>uS</f>
        <v>0.83</v>
      </c>
      <c r="K4" s="248">
        <f>uP</f>
        <v>0.55563640561139738</v>
      </c>
      <c r="L4" s="248">
        <f>duAE1_CAPI</f>
        <v>-5.7000000000000002E-2</v>
      </c>
      <c r="M4" s="249">
        <f>duAE2_CAPI</f>
        <v>-0.10299999999999999</v>
      </c>
      <c r="N4" s="249">
        <f>duAE3_CAPI</f>
        <v>-0.06</v>
      </c>
      <c r="O4" s="249">
        <f>duAE1_PALB</f>
        <v>-0.124</v>
      </c>
      <c r="P4" s="249">
        <f>duAE2_PALB</f>
        <v>-3.0000000000000001E-3</v>
      </c>
      <c r="Q4" s="249">
        <f>duAE3_PALB</f>
        <v>-0.2303</v>
      </c>
      <c r="R4" s="249">
        <f>fAE1_CAPI</f>
        <v>0.121</v>
      </c>
      <c r="S4" s="249">
        <f>fAE2_CAPI</f>
        <v>9.2999999999999999E-2</v>
      </c>
      <c r="T4" s="249">
        <f>fAE3_CAPI</f>
        <v>2.3E-2</v>
      </c>
      <c r="U4" s="249">
        <f>fAE1_PALB</f>
        <v>0.69569999999999999</v>
      </c>
      <c r="V4" s="249">
        <f>fAE2_PALB</f>
        <v>0.3826</v>
      </c>
      <c r="W4" s="249">
        <f>fAE3_PALB</f>
        <v>5.2200000000000003E-2</v>
      </c>
      <c r="X4" s="250">
        <f>cPFS_CAPI_1st</f>
        <v>6628.0466822468661</v>
      </c>
      <c r="Y4" s="251">
        <f>cPFS_CAPI_after</f>
        <v>5345.0816915363321</v>
      </c>
      <c r="Z4" s="251">
        <f>cPFS_PALB_1st</f>
        <v>5287.7039545278094</v>
      </c>
      <c r="AA4" s="251">
        <f>cPFS_PALB_after</f>
        <v>4092.349753187762</v>
      </c>
      <c r="AB4" s="251">
        <f>cP</f>
        <v>1500</v>
      </c>
      <c r="AD4" s="252">
        <f>QALY_AEs_CAPI</f>
        <v>1.7038317523083935</v>
      </c>
      <c r="AE4" s="252">
        <f>QALY_noAEs_CAPI</f>
        <v>1.8000309750462442</v>
      </c>
      <c r="AF4" s="252">
        <f>LY_CAPI</f>
        <v>2.4485063588826974</v>
      </c>
      <c r="AG4" s="252">
        <f>QALY_AEs_PALB</f>
        <v>1.3994192120722295</v>
      </c>
      <c r="AH4" s="252">
        <f>QALY_noAEs_PALB</f>
        <v>1.4229372198500072</v>
      </c>
      <c r="AI4" s="252">
        <f>LY_PALB</f>
        <v>2.2306462017927866</v>
      </c>
      <c r="AJ4" s="253">
        <f>COST_PALB</f>
        <v>67097.898066340349</v>
      </c>
      <c r="AK4" s="253">
        <f>COST_CAPI</f>
        <v>102822.09670897595</v>
      </c>
      <c r="AM4" s="266">
        <f>IF(AK4,(AK4-AJ4)/(AD4-AG4),"")</f>
        <v>117354.55646774831</v>
      </c>
      <c r="AN4" s="267">
        <f>IF(AK4,(AK4-AJ4)/(AE4-AH4),"")</f>
        <v>94735.58803445306</v>
      </c>
      <c r="AO4" s="267">
        <f>IF(AK4,(AK4-AJ4)/(AF4-AI4),"")</f>
        <v>163977.65942990777</v>
      </c>
    </row>
    <row r="5" spans="1:41">
      <c r="A5">
        <v>1</v>
      </c>
      <c r="B5" s="247"/>
      <c r="C5" s="247"/>
      <c r="D5" s="247"/>
      <c r="E5" s="247"/>
      <c r="F5" s="247"/>
      <c r="G5" s="247"/>
      <c r="H5" s="247"/>
      <c r="I5" s="247"/>
      <c r="J5" s="247"/>
      <c r="K5" s="248"/>
      <c r="L5" s="248"/>
      <c r="M5" s="249"/>
      <c r="N5" s="249"/>
      <c r="O5" s="249"/>
      <c r="P5" s="249"/>
      <c r="Q5" s="249"/>
      <c r="R5" s="249"/>
      <c r="S5" s="249"/>
      <c r="T5" s="249"/>
      <c r="U5" s="249"/>
      <c r="V5" s="249"/>
      <c r="W5" s="249"/>
      <c r="X5" s="250"/>
      <c r="Y5" s="251"/>
      <c r="Z5" s="251"/>
      <c r="AA5" s="251"/>
      <c r="AB5" s="251"/>
      <c r="AM5" s="266"/>
    </row>
    <row r="6" spans="1:41">
      <c r="A6">
        <v>2</v>
      </c>
      <c r="AM6" s="266"/>
    </row>
    <row r="7" spans="1:41">
      <c r="A7">
        <v>3</v>
      </c>
      <c r="AM7" s="266"/>
    </row>
    <row r="8" spans="1:41">
      <c r="A8">
        <v>4</v>
      </c>
      <c r="AM8" s="266"/>
    </row>
    <row r="9" spans="1:41">
      <c r="A9">
        <v>5</v>
      </c>
      <c r="AM9" s="266"/>
    </row>
    <row r="10" spans="1:41">
      <c r="A10">
        <v>6</v>
      </c>
      <c r="AM10" s="266"/>
    </row>
    <row r="11" spans="1:41">
      <c r="A11">
        <v>7</v>
      </c>
      <c r="AM11" s="266"/>
    </row>
    <row r="12" spans="1:41">
      <c r="A12">
        <v>8</v>
      </c>
      <c r="AM12" s="266"/>
    </row>
    <row r="13" spans="1:41">
      <c r="A13">
        <v>9</v>
      </c>
      <c r="AM13" s="266"/>
    </row>
    <row r="14" spans="1:41">
      <c r="A14">
        <v>10</v>
      </c>
      <c r="AM14" s="266"/>
    </row>
    <row r="15" spans="1:41">
      <c r="A15">
        <v>11</v>
      </c>
      <c r="AM15" s="266"/>
    </row>
    <row r="16" spans="1:41">
      <c r="A16">
        <v>12</v>
      </c>
      <c r="AM16" s="266"/>
    </row>
    <row r="17" spans="1:39">
      <c r="A17">
        <v>13</v>
      </c>
      <c r="AM17" s="266"/>
    </row>
    <row r="18" spans="1:39">
      <c r="A18">
        <v>14</v>
      </c>
      <c r="AM18" s="266"/>
    </row>
    <row r="19" spans="1:39">
      <c r="A19">
        <v>15</v>
      </c>
      <c r="AM19" s="266"/>
    </row>
    <row r="20" spans="1:39">
      <c r="A20">
        <v>16</v>
      </c>
      <c r="AM20" s="266"/>
    </row>
    <row r="21" spans="1:39">
      <c r="A21">
        <v>17</v>
      </c>
      <c r="AM21" s="266"/>
    </row>
    <row r="22" spans="1:39">
      <c r="A22">
        <v>18</v>
      </c>
      <c r="AM22" s="266"/>
    </row>
    <row r="23" spans="1:39">
      <c r="A23">
        <v>19</v>
      </c>
      <c r="AM23" s="266"/>
    </row>
    <row r="24" spans="1:39">
      <c r="A24">
        <v>20</v>
      </c>
      <c r="AM24" s="266"/>
    </row>
    <row r="25" spans="1:39">
      <c r="A25">
        <v>21</v>
      </c>
      <c r="AM25" s="266"/>
    </row>
    <row r="26" spans="1:39">
      <c r="A26">
        <v>22</v>
      </c>
      <c r="AM26" s="266"/>
    </row>
    <row r="27" spans="1:39">
      <c r="A27">
        <v>23</v>
      </c>
      <c r="AM27" s="266"/>
    </row>
    <row r="28" spans="1:39">
      <c r="A28">
        <v>24</v>
      </c>
      <c r="AM28" s="266"/>
    </row>
    <row r="29" spans="1:39">
      <c r="A29">
        <v>25</v>
      </c>
      <c r="AM29" s="266"/>
    </row>
    <row r="30" spans="1:39">
      <c r="A30">
        <v>26</v>
      </c>
      <c r="AM30" s="266"/>
    </row>
    <row r="31" spans="1:39">
      <c r="A31">
        <v>27</v>
      </c>
      <c r="AM31" s="266"/>
    </row>
    <row r="32" spans="1:39">
      <c r="A32">
        <v>28</v>
      </c>
      <c r="AM32" s="266"/>
    </row>
    <row r="33" spans="1:39">
      <c r="A33">
        <v>29</v>
      </c>
      <c r="AM33" s="266"/>
    </row>
    <row r="34" spans="1:39">
      <c r="A34">
        <v>30</v>
      </c>
      <c r="AM34" s="266"/>
    </row>
    <row r="35" spans="1:39">
      <c r="A35">
        <v>31</v>
      </c>
      <c r="AM35" s="266"/>
    </row>
    <row r="36" spans="1:39">
      <c r="A36">
        <v>32</v>
      </c>
      <c r="AM36" s="266"/>
    </row>
    <row r="37" spans="1:39">
      <c r="A37">
        <v>33</v>
      </c>
      <c r="AM37" s="266"/>
    </row>
    <row r="38" spans="1:39">
      <c r="A38">
        <v>34</v>
      </c>
      <c r="AM38" s="266"/>
    </row>
    <row r="39" spans="1:39">
      <c r="A39">
        <v>35</v>
      </c>
      <c r="AM39" s="266"/>
    </row>
    <row r="40" spans="1:39">
      <c r="A40">
        <v>36</v>
      </c>
      <c r="AM40" s="266"/>
    </row>
    <row r="41" spans="1:39">
      <c r="A41">
        <v>37</v>
      </c>
      <c r="AM41" s="266"/>
    </row>
    <row r="42" spans="1:39">
      <c r="A42">
        <v>38</v>
      </c>
      <c r="AM42" s="266"/>
    </row>
    <row r="43" spans="1:39">
      <c r="A43">
        <v>39</v>
      </c>
      <c r="AM43" s="266"/>
    </row>
    <row r="44" spans="1:39">
      <c r="A44">
        <v>40</v>
      </c>
      <c r="AM44" s="266"/>
    </row>
    <row r="45" spans="1:39">
      <c r="A45">
        <v>41</v>
      </c>
      <c r="AM45" s="266"/>
    </row>
    <row r="46" spans="1:39">
      <c r="A46">
        <v>42</v>
      </c>
      <c r="AM46" s="266"/>
    </row>
    <row r="47" spans="1:39">
      <c r="A47">
        <v>43</v>
      </c>
      <c r="AM47" s="266"/>
    </row>
    <row r="48" spans="1:39">
      <c r="A48">
        <v>44</v>
      </c>
      <c r="AM48" s="266"/>
    </row>
    <row r="49" spans="1:39">
      <c r="A49">
        <v>45</v>
      </c>
      <c r="AM49" s="266"/>
    </row>
    <row r="50" spans="1:39">
      <c r="A50">
        <v>46</v>
      </c>
      <c r="AM50" s="266"/>
    </row>
    <row r="51" spans="1:39">
      <c r="A51">
        <v>47</v>
      </c>
      <c r="AM51" s="266"/>
    </row>
    <row r="52" spans="1:39">
      <c r="A52">
        <v>48</v>
      </c>
      <c r="AM52" s="266"/>
    </row>
    <row r="53" spans="1:39">
      <c r="A53">
        <v>49</v>
      </c>
      <c r="AM53" s="266"/>
    </row>
    <row r="54" spans="1:39">
      <c r="A54">
        <v>50</v>
      </c>
      <c r="AM54" s="266"/>
    </row>
    <row r="55" spans="1:39">
      <c r="A55">
        <v>51</v>
      </c>
      <c r="AM55" s="266"/>
    </row>
    <row r="56" spans="1:39">
      <c r="A56">
        <v>52</v>
      </c>
      <c r="AM56" s="266"/>
    </row>
    <row r="57" spans="1:39">
      <c r="A57">
        <v>53</v>
      </c>
      <c r="AM57" s="266"/>
    </row>
    <row r="58" spans="1:39">
      <c r="A58">
        <v>54</v>
      </c>
      <c r="AM58" s="266"/>
    </row>
    <row r="59" spans="1:39">
      <c r="A59">
        <v>55</v>
      </c>
      <c r="AM59" s="266"/>
    </row>
    <row r="60" spans="1:39">
      <c r="A60">
        <v>56</v>
      </c>
      <c r="AM60" s="266"/>
    </row>
    <row r="61" spans="1:39">
      <c r="A61">
        <v>57</v>
      </c>
      <c r="AM61" s="266"/>
    </row>
    <row r="62" spans="1:39">
      <c r="A62">
        <v>58</v>
      </c>
      <c r="AM62" s="266"/>
    </row>
    <row r="63" spans="1:39">
      <c r="A63">
        <v>59</v>
      </c>
      <c r="AM63" s="266"/>
    </row>
    <row r="64" spans="1:39">
      <c r="A64">
        <v>60</v>
      </c>
      <c r="AM64" s="266"/>
    </row>
    <row r="65" spans="1:39">
      <c r="A65">
        <v>61</v>
      </c>
      <c r="AM65" s="266"/>
    </row>
    <row r="66" spans="1:39">
      <c r="A66">
        <v>62</v>
      </c>
      <c r="AM66" s="266"/>
    </row>
    <row r="67" spans="1:39">
      <c r="A67">
        <v>63</v>
      </c>
      <c r="AM67" s="266"/>
    </row>
    <row r="68" spans="1:39">
      <c r="A68">
        <v>64</v>
      </c>
      <c r="AM68" s="266"/>
    </row>
    <row r="69" spans="1:39">
      <c r="A69">
        <v>65</v>
      </c>
      <c r="AM69" s="266"/>
    </row>
    <row r="70" spans="1:39">
      <c r="A70">
        <v>66</v>
      </c>
      <c r="AM70" s="266"/>
    </row>
    <row r="71" spans="1:39">
      <c r="A71">
        <v>67</v>
      </c>
      <c r="AM71" s="266"/>
    </row>
    <row r="72" spans="1:39">
      <c r="A72">
        <v>68</v>
      </c>
      <c r="AM72" s="266"/>
    </row>
    <row r="73" spans="1:39">
      <c r="A73">
        <v>69</v>
      </c>
      <c r="AM73" s="266"/>
    </row>
    <row r="74" spans="1:39">
      <c r="A74">
        <v>70</v>
      </c>
      <c r="AM74" s="266"/>
    </row>
    <row r="75" spans="1:39">
      <c r="A75">
        <v>71</v>
      </c>
      <c r="AM75" s="266"/>
    </row>
    <row r="76" spans="1:39">
      <c r="A76">
        <v>72</v>
      </c>
      <c r="AM76" s="266"/>
    </row>
    <row r="77" spans="1:39">
      <c r="A77">
        <v>73</v>
      </c>
      <c r="AM77" s="266"/>
    </row>
    <row r="78" spans="1:39">
      <c r="A78">
        <v>74</v>
      </c>
      <c r="AM78" s="266"/>
    </row>
    <row r="79" spans="1:39">
      <c r="A79">
        <v>75</v>
      </c>
      <c r="AM79" s="266"/>
    </row>
    <row r="80" spans="1:39">
      <c r="A80">
        <v>76</v>
      </c>
      <c r="AM80" s="266"/>
    </row>
    <row r="81" spans="1:39">
      <c r="A81">
        <v>77</v>
      </c>
      <c r="AM81" s="266"/>
    </row>
    <row r="82" spans="1:39">
      <c r="A82">
        <v>78</v>
      </c>
      <c r="AM82" s="266"/>
    </row>
    <row r="83" spans="1:39">
      <c r="A83">
        <v>79</v>
      </c>
      <c r="AM83" s="266"/>
    </row>
    <row r="84" spans="1:39">
      <c r="A84">
        <v>80</v>
      </c>
      <c r="AM84" s="266"/>
    </row>
    <row r="85" spans="1:39">
      <c r="A85">
        <v>81</v>
      </c>
      <c r="AM85" s="266"/>
    </row>
    <row r="86" spans="1:39">
      <c r="A86">
        <v>82</v>
      </c>
      <c r="AM86" s="266"/>
    </row>
    <row r="87" spans="1:39">
      <c r="A87">
        <v>83</v>
      </c>
      <c r="AM87" s="266"/>
    </row>
    <row r="88" spans="1:39">
      <c r="A88">
        <v>84</v>
      </c>
      <c r="AM88" s="266"/>
    </row>
    <row r="89" spans="1:39">
      <c r="A89">
        <v>85</v>
      </c>
      <c r="AM89" s="266"/>
    </row>
    <row r="90" spans="1:39">
      <c r="A90">
        <v>86</v>
      </c>
      <c r="AM90" s="266"/>
    </row>
    <row r="91" spans="1:39">
      <c r="A91">
        <v>87</v>
      </c>
      <c r="AM91" s="266"/>
    </row>
    <row r="92" spans="1:39">
      <c r="A92">
        <v>88</v>
      </c>
      <c r="AM92" s="266"/>
    </row>
    <row r="93" spans="1:39">
      <c r="A93">
        <v>89</v>
      </c>
      <c r="AM93" s="266"/>
    </row>
    <row r="94" spans="1:39">
      <c r="A94">
        <v>90</v>
      </c>
      <c r="AM94" s="266"/>
    </row>
    <row r="95" spans="1:39">
      <c r="A95">
        <v>91</v>
      </c>
      <c r="AM95" s="266"/>
    </row>
    <row r="96" spans="1:39">
      <c r="A96">
        <v>92</v>
      </c>
      <c r="AM96" s="266"/>
    </row>
    <row r="97" spans="1:41">
      <c r="A97">
        <v>93</v>
      </c>
      <c r="AM97" s="266"/>
    </row>
    <row r="98" spans="1:41">
      <c r="A98">
        <v>94</v>
      </c>
      <c r="AM98" s="266"/>
    </row>
    <row r="99" spans="1:41">
      <c r="A99">
        <v>95</v>
      </c>
      <c r="AM99" s="266"/>
    </row>
    <row r="100" spans="1:41">
      <c r="A100">
        <v>96</v>
      </c>
      <c r="AM100" s="266"/>
    </row>
    <row r="101" spans="1:41">
      <c r="A101">
        <v>97</v>
      </c>
      <c r="AM101" s="266"/>
    </row>
    <row r="102" spans="1:41">
      <c r="A102">
        <v>98</v>
      </c>
      <c r="AM102" s="266"/>
    </row>
    <row r="103" spans="1:41">
      <c r="A103">
        <v>99</v>
      </c>
      <c r="AM103" s="266"/>
    </row>
    <row r="104" spans="1:41">
      <c r="A104">
        <v>100</v>
      </c>
      <c r="AM104" s="266"/>
    </row>
    <row r="105" spans="1:41">
      <c r="AM105" s="266"/>
    </row>
    <row r="106" spans="1:41">
      <c r="AM106" s="266"/>
    </row>
    <row r="107" spans="1:41">
      <c r="AM107" s="266"/>
    </row>
    <row r="108" spans="1:41">
      <c r="AM108" s="266"/>
    </row>
    <row r="109" spans="1:41">
      <c r="AM109" s="266"/>
    </row>
    <row r="110" spans="1:41">
      <c r="AM110" s="266"/>
    </row>
    <row r="111" spans="1:41">
      <c r="AM111" s="266" t="str">
        <f t="shared" ref="AM111:AM131" si="0">IF(AK111,(AK111-AJ111)/(AD111-AG111),"")</f>
        <v/>
      </c>
      <c r="AN111" s="267" t="str">
        <f t="shared" ref="AN111:AN131" si="1">IF(AK111,(AK111-AJ111)/(AE111-AH111),"")</f>
        <v/>
      </c>
      <c r="AO111" s="267" t="str">
        <f t="shared" ref="AO111:AO131" si="2">IF(AK111,(AK111-AJ111)/(AF111-AI111),"")</f>
        <v/>
      </c>
    </row>
    <row r="112" spans="1:41">
      <c r="AM112" s="266" t="str">
        <f t="shared" si="0"/>
        <v/>
      </c>
      <c r="AN112" s="267" t="str">
        <f t="shared" si="1"/>
        <v/>
      </c>
      <c r="AO112" s="267" t="str">
        <f t="shared" si="2"/>
        <v/>
      </c>
    </row>
    <row r="113" spans="39:41">
      <c r="AM113" s="266" t="str">
        <f t="shared" si="0"/>
        <v/>
      </c>
      <c r="AN113" s="267" t="str">
        <f t="shared" si="1"/>
        <v/>
      </c>
      <c r="AO113" s="267" t="str">
        <f t="shared" si="2"/>
        <v/>
      </c>
    </row>
    <row r="114" spans="39:41">
      <c r="AM114" s="266" t="str">
        <f t="shared" si="0"/>
        <v/>
      </c>
      <c r="AN114" s="267" t="str">
        <f t="shared" si="1"/>
        <v/>
      </c>
      <c r="AO114" s="267" t="str">
        <f t="shared" si="2"/>
        <v/>
      </c>
    </row>
    <row r="115" spans="39:41">
      <c r="AM115" s="266" t="str">
        <f t="shared" si="0"/>
        <v/>
      </c>
      <c r="AN115" s="267" t="str">
        <f t="shared" si="1"/>
        <v/>
      </c>
      <c r="AO115" s="267" t="str">
        <f t="shared" si="2"/>
        <v/>
      </c>
    </row>
    <row r="116" spans="39:41">
      <c r="AM116" s="266" t="str">
        <f t="shared" si="0"/>
        <v/>
      </c>
      <c r="AN116" s="267" t="str">
        <f t="shared" si="1"/>
        <v/>
      </c>
      <c r="AO116" s="267" t="str">
        <f t="shared" si="2"/>
        <v/>
      </c>
    </row>
    <row r="117" spans="39:41">
      <c r="AM117" s="266" t="str">
        <f t="shared" si="0"/>
        <v/>
      </c>
      <c r="AN117" s="267" t="str">
        <f t="shared" si="1"/>
        <v/>
      </c>
      <c r="AO117" s="267" t="str">
        <f t="shared" si="2"/>
        <v/>
      </c>
    </row>
    <row r="118" spans="39:41">
      <c r="AM118" s="266" t="str">
        <f t="shared" si="0"/>
        <v/>
      </c>
      <c r="AN118" s="267" t="str">
        <f t="shared" si="1"/>
        <v/>
      </c>
      <c r="AO118" s="267" t="str">
        <f t="shared" si="2"/>
        <v/>
      </c>
    </row>
    <row r="119" spans="39:41">
      <c r="AM119" s="266" t="str">
        <f t="shared" si="0"/>
        <v/>
      </c>
      <c r="AN119" s="267" t="str">
        <f t="shared" si="1"/>
        <v/>
      </c>
      <c r="AO119" s="267" t="str">
        <f t="shared" si="2"/>
        <v/>
      </c>
    </row>
    <row r="120" spans="39:41">
      <c r="AM120" s="266" t="str">
        <f t="shared" si="0"/>
        <v/>
      </c>
      <c r="AN120" s="267" t="str">
        <f t="shared" si="1"/>
        <v/>
      </c>
      <c r="AO120" s="267" t="str">
        <f t="shared" si="2"/>
        <v/>
      </c>
    </row>
    <row r="121" spans="39:41">
      <c r="AM121" s="266" t="str">
        <f t="shared" si="0"/>
        <v/>
      </c>
      <c r="AN121" s="267" t="str">
        <f t="shared" si="1"/>
        <v/>
      </c>
      <c r="AO121" s="267" t="str">
        <f t="shared" si="2"/>
        <v/>
      </c>
    </row>
    <row r="122" spans="39:41">
      <c r="AM122" s="266" t="str">
        <f t="shared" si="0"/>
        <v/>
      </c>
      <c r="AN122" s="267" t="str">
        <f t="shared" si="1"/>
        <v/>
      </c>
      <c r="AO122" s="267" t="str">
        <f t="shared" si="2"/>
        <v/>
      </c>
    </row>
    <row r="123" spans="39:41">
      <c r="AM123" s="266" t="str">
        <f t="shared" si="0"/>
        <v/>
      </c>
      <c r="AN123" s="267" t="str">
        <f t="shared" si="1"/>
        <v/>
      </c>
      <c r="AO123" s="267" t="str">
        <f t="shared" si="2"/>
        <v/>
      </c>
    </row>
    <row r="124" spans="39:41">
      <c r="AM124" s="266" t="str">
        <f t="shared" si="0"/>
        <v/>
      </c>
      <c r="AN124" s="267" t="str">
        <f t="shared" si="1"/>
        <v/>
      </c>
      <c r="AO124" s="267" t="str">
        <f t="shared" si="2"/>
        <v/>
      </c>
    </row>
    <row r="125" spans="39:41">
      <c r="AM125" s="266" t="str">
        <f t="shared" si="0"/>
        <v/>
      </c>
      <c r="AN125" s="267" t="str">
        <f t="shared" si="1"/>
        <v/>
      </c>
      <c r="AO125" s="267" t="str">
        <f t="shared" si="2"/>
        <v/>
      </c>
    </row>
    <row r="126" spans="39:41">
      <c r="AM126" s="266" t="str">
        <f t="shared" si="0"/>
        <v/>
      </c>
      <c r="AN126" s="267" t="str">
        <f t="shared" si="1"/>
        <v/>
      </c>
      <c r="AO126" s="267" t="str">
        <f t="shared" si="2"/>
        <v/>
      </c>
    </row>
    <row r="127" spans="39:41">
      <c r="AM127" s="266" t="str">
        <f t="shared" si="0"/>
        <v/>
      </c>
      <c r="AN127" s="267" t="str">
        <f t="shared" si="1"/>
        <v/>
      </c>
      <c r="AO127" s="267" t="str">
        <f t="shared" si="2"/>
        <v/>
      </c>
    </row>
    <row r="128" spans="39:41">
      <c r="AM128" s="266" t="str">
        <f t="shared" si="0"/>
        <v/>
      </c>
      <c r="AN128" s="267" t="str">
        <f t="shared" si="1"/>
        <v/>
      </c>
      <c r="AO128" s="267" t="str">
        <f t="shared" si="2"/>
        <v/>
      </c>
    </row>
    <row r="129" spans="39:41">
      <c r="AM129" s="266" t="str">
        <f t="shared" si="0"/>
        <v/>
      </c>
      <c r="AN129" s="267" t="str">
        <f t="shared" si="1"/>
        <v/>
      </c>
      <c r="AO129" s="267" t="str">
        <f t="shared" si="2"/>
        <v/>
      </c>
    </row>
    <row r="130" spans="39:41">
      <c r="AM130" s="266" t="str">
        <f t="shared" si="0"/>
        <v/>
      </c>
      <c r="AN130" s="267" t="str">
        <f t="shared" si="1"/>
        <v/>
      </c>
      <c r="AO130" s="267" t="str">
        <f t="shared" si="2"/>
        <v/>
      </c>
    </row>
    <row r="131" spans="39:41">
      <c r="AM131" s="266" t="str">
        <f t="shared" si="0"/>
        <v/>
      </c>
      <c r="AN131" s="267" t="str">
        <f t="shared" si="1"/>
        <v/>
      </c>
      <c r="AO131" s="267" t="str">
        <f t="shared" si="2"/>
        <v/>
      </c>
    </row>
    <row r="132" spans="39:41">
      <c r="AM132" s="266" t="str">
        <f t="shared" ref="AM132:AM195" si="3">IF(AK132,(AK132-AJ132)/(AD132-AG132),"")</f>
        <v/>
      </c>
      <c r="AN132" s="267" t="str">
        <f t="shared" ref="AN132:AN195" si="4">IF(AK132,(AK132-AJ132)/(AE132-AH132),"")</f>
        <v/>
      </c>
      <c r="AO132" s="267" t="str">
        <f t="shared" ref="AO132:AO195" si="5">IF(AK132,(AK132-AJ132)/(AF132-AI132),"")</f>
        <v/>
      </c>
    </row>
    <row r="133" spans="39:41">
      <c r="AM133" s="266" t="str">
        <f t="shared" si="3"/>
        <v/>
      </c>
      <c r="AN133" s="267" t="str">
        <f t="shared" si="4"/>
        <v/>
      </c>
      <c r="AO133" s="267" t="str">
        <f t="shared" si="5"/>
        <v/>
      </c>
    </row>
    <row r="134" spans="39:41">
      <c r="AM134" s="266" t="str">
        <f t="shared" si="3"/>
        <v/>
      </c>
      <c r="AN134" s="267" t="str">
        <f t="shared" si="4"/>
        <v/>
      </c>
      <c r="AO134" s="267" t="str">
        <f t="shared" si="5"/>
        <v/>
      </c>
    </row>
    <row r="135" spans="39:41">
      <c r="AM135" s="266" t="str">
        <f t="shared" si="3"/>
        <v/>
      </c>
      <c r="AN135" s="267" t="str">
        <f t="shared" si="4"/>
        <v/>
      </c>
      <c r="AO135" s="267" t="str">
        <f t="shared" si="5"/>
        <v/>
      </c>
    </row>
    <row r="136" spans="39:41">
      <c r="AM136" s="266" t="str">
        <f t="shared" si="3"/>
        <v/>
      </c>
      <c r="AN136" s="267" t="str">
        <f t="shared" si="4"/>
        <v/>
      </c>
      <c r="AO136" s="267" t="str">
        <f t="shared" si="5"/>
        <v/>
      </c>
    </row>
    <row r="137" spans="39:41">
      <c r="AM137" s="266" t="str">
        <f t="shared" si="3"/>
        <v/>
      </c>
      <c r="AN137" s="267" t="str">
        <f t="shared" si="4"/>
        <v/>
      </c>
      <c r="AO137" s="267" t="str">
        <f t="shared" si="5"/>
        <v/>
      </c>
    </row>
    <row r="138" spans="39:41">
      <c r="AM138" s="266" t="str">
        <f t="shared" si="3"/>
        <v/>
      </c>
      <c r="AN138" s="267" t="str">
        <f t="shared" si="4"/>
        <v/>
      </c>
      <c r="AO138" s="267" t="str">
        <f t="shared" si="5"/>
        <v/>
      </c>
    </row>
    <row r="139" spans="39:41">
      <c r="AM139" s="266" t="str">
        <f t="shared" si="3"/>
        <v/>
      </c>
      <c r="AN139" s="267" t="str">
        <f t="shared" si="4"/>
        <v/>
      </c>
      <c r="AO139" s="267" t="str">
        <f t="shared" si="5"/>
        <v/>
      </c>
    </row>
    <row r="140" spans="39:41">
      <c r="AM140" s="266" t="str">
        <f t="shared" si="3"/>
        <v/>
      </c>
      <c r="AN140" s="267" t="str">
        <f t="shared" si="4"/>
        <v/>
      </c>
      <c r="AO140" s="267" t="str">
        <f t="shared" si="5"/>
        <v/>
      </c>
    </row>
    <row r="141" spans="39:41">
      <c r="AM141" s="266" t="str">
        <f t="shared" si="3"/>
        <v/>
      </c>
      <c r="AN141" s="267" t="str">
        <f t="shared" si="4"/>
        <v/>
      </c>
      <c r="AO141" s="267" t="str">
        <f t="shared" si="5"/>
        <v/>
      </c>
    </row>
    <row r="142" spans="39:41">
      <c r="AM142" s="266" t="str">
        <f t="shared" si="3"/>
        <v/>
      </c>
      <c r="AN142" s="267" t="str">
        <f t="shared" si="4"/>
        <v/>
      </c>
      <c r="AO142" s="267" t="str">
        <f t="shared" si="5"/>
        <v/>
      </c>
    </row>
    <row r="143" spans="39:41">
      <c r="AM143" s="266" t="str">
        <f t="shared" si="3"/>
        <v/>
      </c>
      <c r="AN143" s="267" t="str">
        <f t="shared" si="4"/>
        <v/>
      </c>
      <c r="AO143" s="267" t="str">
        <f t="shared" si="5"/>
        <v/>
      </c>
    </row>
    <row r="144" spans="39:41">
      <c r="AM144" s="266" t="str">
        <f t="shared" si="3"/>
        <v/>
      </c>
      <c r="AN144" s="267" t="str">
        <f t="shared" si="4"/>
        <v/>
      </c>
      <c r="AO144" s="267" t="str">
        <f t="shared" si="5"/>
        <v/>
      </c>
    </row>
    <row r="145" spans="39:41">
      <c r="AM145" s="266" t="str">
        <f t="shared" si="3"/>
        <v/>
      </c>
      <c r="AN145" s="267" t="str">
        <f t="shared" si="4"/>
        <v/>
      </c>
      <c r="AO145" s="267" t="str">
        <f t="shared" si="5"/>
        <v/>
      </c>
    </row>
    <row r="146" spans="39:41">
      <c r="AM146" s="266" t="str">
        <f t="shared" si="3"/>
        <v/>
      </c>
      <c r="AN146" s="267" t="str">
        <f t="shared" si="4"/>
        <v/>
      </c>
      <c r="AO146" s="267" t="str">
        <f t="shared" si="5"/>
        <v/>
      </c>
    </row>
    <row r="147" spans="39:41">
      <c r="AM147" s="266" t="str">
        <f t="shared" si="3"/>
        <v/>
      </c>
      <c r="AN147" s="267" t="str">
        <f t="shared" si="4"/>
        <v/>
      </c>
      <c r="AO147" s="267" t="str">
        <f t="shared" si="5"/>
        <v/>
      </c>
    </row>
    <row r="148" spans="39:41">
      <c r="AM148" s="266" t="str">
        <f t="shared" si="3"/>
        <v/>
      </c>
      <c r="AN148" s="267" t="str">
        <f t="shared" si="4"/>
        <v/>
      </c>
      <c r="AO148" s="267" t="str">
        <f t="shared" si="5"/>
        <v/>
      </c>
    </row>
    <row r="149" spans="39:41">
      <c r="AM149" s="266" t="str">
        <f t="shared" si="3"/>
        <v/>
      </c>
      <c r="AN149" s="267" t="str">
        <f t="shared" si="4"/>
        <v/>
      </c>
      <c r="AO149" s="267" t="str">
        <f t="shared" si="5"/>
        <v/>
      </c>
    </row>
    <row r="150" spans="39:41">
      <c r="AM150" s="266" t="str">
        <f t="shared" si="3"/>
        <v/>
      </c>
      <c r="AN150" s="267" t="str">
        <f t="shared" si="4"/>
        <v/>
      </c>
      <c r="AO150" s="267" t="str">
        <f t="shared" si="5"/>
        <v/>
      </c>
    </row>
    <row r="151" spans="39:41">
      <c r="AM151" s="266" t="str">
        <f t="shared" si="3"/>
        <v/>
      </c>
      <c r="AN151" s="267" t="str">
        <f t="shared" si="4"/>
        <v/>
      </c>
      <c r="AO151" s="267" t="str">
        <f t="shared" si="5"/>
        <v/>
      </c>
    </row>
    <row r="152" spans="39:41">
      <c r="AM152" s="266" t="str">
        <f t="shared" si="3"/>
        <v/>
      </c>
      <c r="AN152" s="267" t="str">
        <f t="shared" si="4"/>
        <v/>
      </c>
      <c r="AO152" s="267" t="str">
        <f t="shared" si="5"/>
        <v/>
      </c>
    </row>
    <row r="153" spans="39:41">
      <c r="AM153" s="266" t="str">
        <f t="shared" si="3"/>
        <v/>
      </c>
      <c r="AN153" s="267" t="str">
        <f t="shared" si="4"/>
        <v/>
      </c>
      <c r="AO153" s="267" t="str">
        <f t="shared" si="5"/>
        <v/>
      </c>
    </row>
    <row r="154" spans="39:41">
      <c r="AM154" s="266" t="str">
        <f t="shared" si="3"/>
        <v/>
      </c>
      <c r="AN154" s="267" t="str">
        <f t="shared" si="4"/>
        <v/>
      </c>
      <c r="AO154" s="267" t="str">
        <f t="shared" si="5"/>
        <v/>
      </c>
    </row>
    <row r="155" spans="39:41">
      <c r="AM155" s="266" t="str">
        <f t="shared" si="3"/>
        <v/>
      </c>
      <c r="AN155" s="267" t="str">
        <f t="shared" si="4"/>
        <v/>
      </c>
      <c r="AO155" s="267" t="str">
        <f t="shared" si="5"/>
        <v/>
      </c>
    </row>
    <row r="156" spans="39:41">
      <c r="AM156" s="266" t="str">
        <f t="shared" si="3"/>
        <v/>
      </c>
      <c r="AN156" s="267" t="str">
        <f t="shared" si="4"/>
        <v/>
      </c>
      <c r="AO156" s="267" t="str">
        <f t="shared" si="5"/>
        <v/>
      </c>
    </row>
    <row r="157" spans="39:41">
      <c r="AM157" s="266" t="str">
        <f t="shared" si="3"/>
        <v/>
      </c>
      <c r="AN157" s="267" t="str">
        <f t="shared" si="4"/>
        <v/>
      </c>
      <c r="AO157" s="267" t="str">
        <f t="shared" si="5"/>
        <v/>
      </c>
    </row>
    <row r="158" spans="39:41">
      <c r="AM158" s="266" t="str">
        <f t="shared" si="3"/>
        <v/>
      </c>
      <c r="AN158" s="267" t="str">
        <f t="shared" si="4"/>
        <v/>
      </c>
      <c r="AO158" s="267" t="str">
        <f t="shared" si="5"/>
        <v/>
      </c>
    </row>
    <row r="159" spans="39:41">
      <c r="AM159" s="266" t="str">
        <f t="shared" si="3"/>
        <v/>
      </c>
      <c r="AN159" s="267" t="str">
        <f t="shared" si="4"/>
        <v/>
      </c>
      <c r="AO159" s="267" t="str">
        <f t="shared" si="5"/>
        <v/>
      </c>
    </row>
    <row r="160" spans="39:41">
      <c r="AM160" s="266" t="str">
        <f t="shared" si="3"/>
        <v/>
      </c>
      <c r="AN160" s="267" t="str">
        <f t="shared" si="4"/>
        <v/>
      </c>
      <c r="AO160" s="267" t="str">
        <f t="shared" si="5"/>
        <v/>
      </c>
    </row>
    <row r="161" spans="39:41">
      <c r="AM161" s="266" t="str">
        <f t="shared" si="3"/>
        <v/>
      </c>
      <c r="AN161" s="267" t="str">
        <f t="shared" si="4"/>
        <v/>
      </c>
      <c r="AO161" s="267" t="str">
        <f t="shared" si="5"/>
        <v/>
      </c>
    </row>
    <row r="162" spans="39:41">
      <c r="AM162" s="266" t="str">
        <f t="shared" si="3"/>
        <v/>
      </c>
      <c r="AN162" s="267" t="str">
        <f t="shared" si="4"/>
        <v/>
      </c>
      <c r="AO162" s="267" t="str">
        <f t="shared" si="5"/>
        <v/>
      </c>
    </row>
    <row r="163" spans="39:41">
      <c r="AM163" s="266" t="str">
        <f t="shared" si="3"/>
        <v/>
      </c>
      <c r="AN163" s="267" t="str">
        <f t="shared" si="4"/>
        <v/>
      </c>
      <c r="AO163" s="267" t="str">
        <f t="shared" si="5"/>
        <v/>
      </c>
    </row>
    <row r="164" spans="39:41">
      <c r="AM164" s="266" t="str">
        <f t="shared" si="3"/>
        <v/>
      </c>
      <c r="AN164" s="267" t="str">
        <f t="shared" si="4"/>
        <v/>
      </c>
      <c r="AO164" s="267" t="str">
        <f t="shared" si="5"/>
        <v/>
      </c>
    </row>
    <row r="165" spans="39:41">
      <c r="AM165" s="266" t="str">
        <f t="shared" si="3"/>
        <v/>
      </c>
      <c r="AN165" s="267" t="str">
        <f t="shared" si="4"/>
        <v/>
      </c>
      <c r="AO165" s="267" t="str">
        <f t="shared" si="5"/>
        <v/>
      </c>
    </row>
    <row r="166" spans="39:41">
      <c r="AM166" s="266" t="str">
        <f t="shared" si="3"/>
        <v/>
      </c>
      <c r="AN166" s="267" t="str">
        <f t="shared" si="4"/>
        <v/>
      </c>
      <c r="AO166" s="267" t="str">
        <f t="shared" si="5"/>
        <v/>
      </c>
    </row>
    <row r="167" spans="39:41">
      <c r="AM167" s="266" t="str">
        <f t="shared" si="3"/>
        <v/>
      </c>
      <c r="AN167" s="267" t="str">
        <f t="shared" si="4"/>
        <v/>
      </c>
      <c r="AO167" s="267" t="str">
        <f t="shared" si="5"/>
        <v/>
      </c>
    </row>
    <row r="168" spans="39:41">
      <c r="AM168" s="266" t="str">
        <f t="shared" si="3"/>
        <v/>
      </c>
      <c r="AN168" s="267" t="str">
        <f t="shared" si="4"/>
        <v/>
      </c>
      <c r="AO168" s="267" t="str">
        <f t="shared" si="5"/>
        <v/>
      </c>
    </row>
    <row r="169" spans="39:41">
      <c r="AM169" s="266" t="str">
        <f t="shared" si="3"/>
        <v/>
      </c>
      <c r="AN169" s="267" t="str">
        <f t="shared" si="4"/>
        <v/>
      </c>
      <c r="AO169" s="267" t="str">
        <f t="shared" si="5"/>
        <v/>
      </c>
    </row>
    <row r="170" spans="39:41">
      <c r="AM170" s="266" t="str">
        <f t="shared" si="3"/>
        <v/>
      </c>
      <c r="AN170" s="267" t="str">
        <f t="shared" si="4"/>
        <v/>
      </c>
      <c r="AO170" s="267" t="str">
        <f t="shared" si="5"/>
        <v/>
      </c>
    </row>
    <row r="171" spans="39:41">
      <c r="AM171" s="266" t="str">
        <f t="shared" si="3"/>
        <v/>
      </c>
      <c r="AN171" s="267" t="str">
        <f t="shared" si="4"/>
        <v/>
      </c>
      <c r="AO171" s="267" t="str">
        <f t="shared" si="5"/>
        <v/>
      </c>
    </row>
    <row r="172" spans="39:41">
      <c r="AM172" s="266" t="str">
        <f t="shared" si="3"/>
        <v/>
      </c>
      <c r="AN172" s="267" t="str">
        <f t="shared" si="4"/>
        <v/>
      </c>
      <c r="AO172" s="267" t="str">
        <f t="shared" si="5"/>
        <v/>
      </c>
    </row>
    <row r="173" spans="39:41">
      <c r="AM173" s="266" t="str">
        <f t="shared" si="3"/>
        <v/>
      </c>
      <c r="AN173" s="267" t="str">
        <f t="shared" si="4"/>
        <v/>
      </c>
      <c r="AO173" s="267" t="str">
        <f t="shared" si="5"/>
        <v/>
      </c>
    </row>
    <row r="174" spans="39:41">
      <c r="AM174" s="266" t="str">
        <f t="shared" si="3"/>
        <v/>
      </c>
      <c r="AN174" s="267" t="str">
        <f t="shared" si="4"/>
        <v/>
      </c>
      <c r="AO174" s="267" t="str">
        <f t="shared" si="5"/>
        <v/>
      </c>
    </row>
    <row r="175" spans="39:41">
      <c r="AM175" s="266" t="str">
        <f t="shared" si="3"/>
        <v/>
      </c>
      <c r="AN175" s="267" t="str">
        <f t="shared" si="4"/>
        <v/>
      </c>
      <c r="AO175" s="267" t="str">
        <f t="shared" si="5"/>
        <v/>
      </c>
    </row>
    <row r="176" spans="39:41">
      <c r="AM176" s="266" t="str">
        <f t="shared" si="3"/>
        <v/>
      </c>
      <c r="AN176" s="267" t="str">
        <f t="shared" si="4"/>
        <v/>
      </c>
      <c r="AO176" s="267" t="str">
        <f t="shared" si="5"/>
        <v/>
      </c>
    </row>
    <row r="177" spans="39:41">
      <c r="AM177" s="266" t="str">
        <f t="shared" si="3"/>
        <v/>
      </c>
      <c r="AN177" s="267" t="str">
        <f t="shared" si="4"/>
        <v/>
      </c>
      <c r="AO177" s="267" t="str">
        <f t="shared" si="5"/>
        <v/>
      </c>
    </row>
    <row r="178" spans="39:41">
      <c r="AM178" s="266" t="str">
        <f t="shared" si="3"/>
        <v/>
      </c>
      <c r="AN178" s="267" t="str">
        <f t="shared" si="4"/>
        <v/>
      </c>
      <c r="AO178" s="267" t="str">
        <f t="shared" si="5"/>
        <v/>
      </c>
    </row>
    <row r="179" spans="39:41">
      <c r="AM179" s="266" t="str">
        <f t="shared" si="3"/>
        <v/>
      </c>
      <c r="AN179" s="267" t="str">
        <f t="shared" si="4"/>
        <v/>
      </c>
      <c r="AO179" s="267" t="str">
        <f t="shared" si="5"/>
        <v/>
      </c>
    </row>
    <row r="180" spans="39:41">
      <c r="AM180" s="266" t="str">
        <f t="shared" si="3"/>
        <v/>
      </c>
      <c r="AN180" s="267" t="str">
        <f t="shared" si="4"/>
        <v/>
      </c>
      <c r="AO180" s="267" t="str">
        <f t="shared" si="5"/>
        <v/>
      </c>
    </row>
    <row r="181" spans="39:41">
      <c r="AM181" s="266" t="str">
        <f t="shared" si="3"/>
        <v/>
      </c>
      <c r="AN181" s="267" t="str">
        <f t="shared" si="4"/>
        <v/>
      </c>
      <c r="AO181" s="267" t="str">
        <f t="shared" si="5"/>
        <v/>
      </c>
    </row>
    <row r="182" spans="39:41">
      <c r="AM182" s="266" t="str">
        <f t="shared" si="3"/>
        <v/>
      </c>
      <c r="AN182" s="267" t="str">
        <f t="shared" si="4"/>
        <v/>
      </c>
      <c r="AO182" s="267" t="str">
        <f t="shared" si="5"/>
        <v/>
      </c>
    </row>
    <row r="183" spans="39:41">
      <c r="AM183" s="266" t="str">
        <f t="shared" si="3"/>
        <v/>
      </c>
      <c r="AN183" s="267" t="str">
        <f t="shared" si="4"/>
        <v/>
      </c>
      <c r="AO183" s="267" t="str">
        <f t="shared" si="5"/>
        <v/>
      </c>
    </row>
    <row r="184" spans="39:41">
      <c r="AM184" s="266" t="str">
        <f t="shared" si="3"/>
        <v/>
      </c>
      <c r="AN184" s="267" t="str">
        <f t="shared" si="4"/>
        <v/>
      </c>
      <c r="AO184" s="267" t="str">
        <f t="shared" si="5"/>
        <v/>
      </c>
    </row>
    <row r="185" spans="39:41">
      <c r="AM185" s="266" t="str">
        <f t="shared" si="3"/>
        <v/>
      </c>
      <c r="AN185" s="267" t="str">
        <f t="shared" si="4"/>
        <v/>
      </c>
      <c r="AO185" s="267" t="str">
        <f t="shared" si="5"/>
        <v/>
      </c>
    </row>
    <row r="186" spans="39:41">
      <c r="AM186" s="266" t="str">
        <f t="shared" si="3"/>
        <v/>
      </c>
      <c r="AN186" s="267" t="str">
        <f t="shared" si="4"/>
        <v/>
      </c>
      <c r="AO186" s="267" t="str">
        <f t="shared" si="5"/>
        <v/>
      </c>
    </row>
    <row r="187" spans="39:41">
      <c r="AM187" s="266" t="str">
        <f t="shared" si="3"/>
        <v/>
      </c>
      <c r="AN187" s="267" t="str">
        <f t="shared" si="4"/>
        <v/>
      </c>
      <c r="AO187" s="267" t="str">
        <f t="shared" si="5"/>
        <v/>
      </c>
    </row>
    <row r="188" spans="39:41">
      <c r="AM188" s="266" t="str">
        <f t="shared" si="3"/>
        <v/>
      </c>
      <c r="AN188" s="267" t="str">
        <f t="shared" si="4"/>
        <v/>
      </c>
      <c r="AO188" s="267" t="str">
        <f t="shared" si="5"/>
        <v/>
      </c>
    </row>
    <row r="189" spans="39:41">
      <c r="AM189" s="266" t="str">
        <f t="shared" si="3"/>
        <v/>
      </c>
      <c r="AN189" s="267" t="str">
        <f t="shared" si="4"/>
        <v/>
      </c>
      <c r="AO189" s="267" t="str">
        <f t="shared" si="5"/>
        <v/>
      </c>
    </row>
    <row r="190" spans="39:41">
      <c r="AM190" s="266" t="str">
        <f t="shared" si="3"/>
        <v/>
      </c>
      <c r="AN190" s="267" t="str">
        <f t="shared" si="4"/>
        <v/>
      </c>
      <c r="AO190" s="267" t="str">
        <f t="shared" si="5"/>
        <v/>
      </c>
    </row>
    <row r="191" spans="39:41">
      <c r="AM191" s="266" t="str">
        <f t="shared" si="3"/>
        <v/>
      </c>
      <c r="AN191" s="267" t="str">
        <f t="shared" si="4"/>
        <v/>
      </c>
      <c r="AO191" s="267" t="str">
        <f t="shared" si="5"/>
        <v/>
      </c>
    </row>
    <row r="192" spans="39:41">
      <c r="AM192" s="266" t="str">
        <f t="shared" si="3"/>
        <v/>
      </c>
      <c r="AN192" s="267" t="str">
        <f t="shared" si="4"/>
        <v/>
      </c>
      <c r="AO192" s="267" t="str">
        <f t="shared" si="5"/>
        <v/>
      </c>
    </row>
    <row r="193" spans="39:41">
      <c r="AM193" s="266" t="str">
        <f t="shared" si="3"/>
        <v/>
      </c>
      <c r="AN193" s="267" t="str">
        <f t="shared" si="4"/>
        <v/>
      </c>
      <c r="AO193" s="267" t="str">
        <f t="shared" si="5"/>
        <v/>
      </c>
    </row>
    <row r="194" spans="39:41">
      <c r="AM194" s="266" t="str">
        <f t="shared" si="3"/>
        <v/>
      </c>
      <c r="AN194" s="267" t="str">
        <f t="shared" si="4"/>
        <v/>
      </c>
      <c r="AO194" s="267" t="str">
        <f t="shared" si="5"/>
        <v/>
      </c>
    </row>
    <row r="195" spans="39:41">
      <c r="AM195" s="266" t="str">
        <f t="shared" si="3"/>
        <v/>
      </c>
      <c r="AN195" s="267" t="str">
        <f t="shared" si="4"/>
        <v/>
      </c>
      <c r="AO195" s="267" t="str">
        <f t="shared" si="5"/>
        <v/>
      </c>
    </row>
    <row r="196" spans="39:41">
      <c r="AM196" s="266" t="str">
        <f t="shared" ref="AM196:AM259" si="6">IF(AK196,(AK196-AJ196)/(AD196-AG196),"")</f>
        <v/>
      </c>
      <c r="AN196" s="267" t="str">
        <f t="shared" ref="AN196:AN259" si="7">IF(AK196,(AK196-AJ196)/(AE196-AH196),"")</f>
        <v/>
      </c>
      <c r="AO196" s="267" t="str">
        <f t="shared" ref="AO196:AO259" si="8">IF(AK196,(AK196-AJ196)/(AF196-AI196),"")</f>
        <v/>
      </c>
    </row>
    <row r="197" spans="39:41">
      <c r="AM197" s="266" t="str">
        <f t="shared" si="6"/>
        <v/>
      </c>
      <c r="AN197" s="267" t="str">
        <f t="shared" si="7"/>
        <v/>
      </c>
      <c r="AO197" s="267" t="str">
        <f t="shared" si="8"/>
        <v/>
      </c>
    </row>
    <row r="198" spans="39:41">
      <c r="AM198" s="266" t="str">
        <f t="shared" si="6"/>
        <v/>
      </c>
      <c r="AN198" s="267" t="str">
        <f t="shared" si="7"/>
        <v/>
      </c>
      <c r="AO198" s="267" t="str">
        <f t="shared" si="8"/>
        <v/>
      </c>
    </row>
    <row r="199" spans="39:41">
      <c r="AM199" s="266" t="str">
        <f t="shared" si="6"/>
        <v/>
      </c>
      <c r="AN199" s="267" t="str">
        <f t="shared" si="7"/>
        <v/>
      </c>
      <c r="AO199" s="267" t="str">
        <f t="shared" si="8"/>
        <v/>
      </c>
    </row>
    <row r="200" spans="39:41">
      <c r="AM200" s="266" t="str">
        <f t="shared" si="6"/>
        <v/>
      </c>
      <c r="AN200" s="267" t="str">
        <f t="shared" si="7"/>
        <v/>
      </c>
      <c r="AO200" s="267" t="str">
        <f t="shared" si="8"/>
        <v/>
      </c>
    </row>
    <row r="201" spans="39:41">
      <c r="AM201" s="266" t="str">
        <f t="shared" si="6"/>
        <v/>
      </c>
      <c r="AN201" s="267" t="str">
        <f t="shared" si="7"/>
        <v/>
      </c>
      <c r="AO201" s="267" t="str">
        <f t="shared" si="8"/>
        <v/>
      </c>
    </row>
    <row r="202" spans="39:41">
      <c r="AM202" s="266" t="str">
        <f t="shared" si="6"/>
        <v/>
      </c>
      <c r="AN202" s="267" t="str">
        <f t="shared" si="7"/>
        <v/>
      </c>
      <c r="AO202" s="267" t="str">
        <f t="shared" si="8"/>
        <v/>
      </c>
    </row>
    <row r="203" spans="39:41">
      <c r="AM203" s="266" t="str">
        <f t="shared" si="6"/>
        <v/>
      </c>
      <c r="AN203" s="267" t="str">
        <f t="shared" si="7"/>
        <v/>
      </c>
      <c r="AO203" s="267" t="str">
        <f t="shared" si="8"/>
        <v/>
      </c>
    </row>
    <row r="204" spans="39:41">
      <c r="AM204" s="266" t="str">
        <f t="shared" si="6"/>
        <v/>
      </c>
      <c r="AN204" s="267" t="str">
        <f t="shared" si="7"/>
        <v/>
      </c>
      <c r="AO204" s="267" t="str">
        <f t="shared" si="8"/>
        <v/>
      </c>
    </row>
    <row r="205" spans="39:41">
      <c r="AM205" s="266" t="str">
        <f t="shared" si="6"/>
        <v/>
      </c>
      <c r="AN205" s="267" t="str">
        <f t="shared" si="7"/>
        <v/>
      </c>
      <c r="AO205" s="267" t="str">
        <f t="shared" si="8"/>
        <v/>
      </c>
    </row>
    <row r="206" spans="39:41">
      <c r="AM206" s="266" t="str">
        <f t="shared" si="6"/>
        <v/>
      </c>
      <c r="AN206" s="267" t="str">
        <f t="shared" si="7"/>
        <v/>
      </c>
      <c r="AO206" s="267" t="str">
        <f t="shared" si="8"/>
        <v/>
      </c>
    </row>
    <row r="207" spans="39:41">
      <c r="AM207" s="266" t="str">
        <f t="shared" si="6"/>
        <v/>
      </c>
      <c r="AN207" s="267" t="str">
        <f t="shared" si="7"/>
        <v/>
      </c>
      <c r="AO207" s="267" t="str">
        <f t="shared" si="8"/>
        <v/>
      </c>
    </row>
    <row r="208" spans="39:41">
      <c r="AM208" s="266" t="str">
        <f t="shared" si="6"/>
        <v/>
      </c>
      <c r="AN208" s="267" t="str">
        <f t="shared" si="7"/>
        <v/>
      </c>
      <c r="AO208" s="267" t="str">
        <f t="shared" si="8"/>
        <v/>
      </c>
    </row>
    <row r="209" spans="39:41">
      <c r="AM209" s="266" t="str">
        <f t="shared" si="6"/>
        <v/>
      </c>
      <c r="AN209" s="267" t="str">
        <f t="shared" si="7"/>
        <v/>
      </c>
      <c r="AO209" s="267" t="str">
        <f t="shared" si="8"/>
        <v/>
      </c>
    </row>
    <row r="210" spans="39:41">
      <c r="AM210" s="266" t="str">
        <f t="shared" si="6"/>
        <v/>
      </c>
      <c r="AN210" s="267" t="str">
        <f t="shared" si="7"/>
        <v/>
      </c>
      <c r="AO210" s="267" t="str">
        <f t="shared" si="8"/>
        <v/>
      </c>
    </row>
    <row r="211" spans="39:41">
      <c r="AM211" s="266" t="str">
        <f t="shared" si="6"/>
        <v/>
      </c>
      <c r="AN211" s="267" t="str">
        <f t="shared" si="7"/>
        <v/>
      </c>
      <c r="AO211" s="267" t="str">
        <f t="shared" si="8"/>
        <v/>
      </c>
    </row>
    <row r="212" spans="39:41">
      <c r="AM212" s="266" t="str">
        <f t="shared" si="6"/>
        <v/>
      </c>
      <c r="AN212" s="267" t="str">
        <f t="shared" si="7"/>
        <v/>
      </c>
      <c r="AO212" s="267" t="str">
        <f t="shared" si="8"/>
        <v/>
      </c>
    </row>
    <row r="213" spans="39:41">
      <c r="AM213" s="266" t="str">
        <f t="shared" si="6"/>
        <v/>
      </c>
      <c r="AN213" s="267" t="str">
        <f t="shared" si="7"/>
        <v/>
      </c>
      <c r="AO213" s="267" t="str">
        <f t="shared" si="8"/>
        <v/>
      </c>
    </row>
    <row r="214" spans="39:41">
      <c r="AM214" s="266" t="str">
        <f t="shared" si="6"/>
        <v/>
      </c>
      <c r="AN214" s="267" t="str">
        <f t="shared" si="7"/>
        <v/>
      </c>
      <c r="AO214" s="267" t="str">
        <f t="shared" si="8"/>
        <v/>
      </c>
    </row>
    <row r="215" spans="39:41">
      <c r="AM215" s="266" t="str">
        <f t="shared" si="6"/>
        <v/>
      </c>
      <c r="AN215" s="267" t="str">
        <f t="shared" si="7"/>
        <v/>
      </c>
      <c r="AO215" s="267" t="str">
        <f t="shared" si="8"/>
        <v/>
      </c>
    </row>
    <row r="216" spans="39:41">
      <c r="AM216" s="266" t="str">
        <f t="shared" si="6"/>
        <v/>
      </c>
      <c r="AN216" s="267" t="str">
        <f t="shared" si="7"/>
        <v/>
      </c>
      <c r="AO216" s="267" t="str">
        <f t="shared" si="8"/>
        <v/>
      </c>
    </row>
    <row r="217" spans="39:41">
      <c r="AM217" s="266" t="str">
        <f t="shared" si="6"/>
        <v/>
      </c>
      <c r="AN217" s="267" t="str">
        <f t="shared" si="7"/>
        <v/>
      </c>
      <c r="AO217" s="267" t="str">
        <f t="shared" si="8"/>
        <v/>
      </c>
    </row>
    <row r="218" spans="39:41">
      <c r="AM218" s="266" t="str">
        <f t="shared" si="6"/>
        <v/>
      </c>
      <c r="AN218" s="267" t="str">
        <f t="shared" si="7"/>
        <v/>
      </c>
      <c r="AO218" s="267" t="str">
        <f t="shared" si="8"/>
        <v/>
      </c>
    </row>
    <row r="219" spans="39:41">
      <c r="AM219" s="266" t="str">
        <f t="shared" si="6"/>
        <v/>
      </c>
      <c r="AN219" s="267" t="str">
        <f t="shared" si="7"/>
        <v/>
      </c>
      <c r="AO219" s="267" t="str">
        <f t="shared" si="8"/>
        <v/>
      </c>
    </row>
    <row r="220" spans="39:41">
      <c r="AM220" s="266" t="str">
        <f t="shared" si="6"/>
        <v/>
      </c>
      <c r="AN220" s="267" t="str">
        <f t="shared" si="7"/>
        <v/>
      </c>
      <c r="AO220" s="267" t="str">
        <f t="shared" si="8"/>
        <v/>
      </c>
    </row>
    <row r="221" spans="39:41">
      <c r="AM221" s="266" t="str">
        <f t="shared" si="6"/>
        <v/>
      </c>
      <c r="AN221" s="267" t="str">
        <f t="shared" si="7"/>
        <v/>
      </c>
      <c r="AO221" s="267" t="str">
        <f t="shared" si="8"/>
        <v/>
      </c>
    </row>
    <row r="222" spans="39:41">
      <c r="AM222" s="266" t="str">
        <f t="shared" si="6"/>
        <v/>
      </c>
      <c r="AN222" s="267" t="str">
        <f t="shared" si="7"/>
        <v/>
      </c>
      <c r="AO222" s="267" t="str">
        <f t="shared" si="8"/>
        <v/>
      </c>
    </row>
    <row r="223" spans="39:41">
      <c r="AM223" s="266" t="str">
        <f t="shared" si="6"/>
        <v/>
      </c>
      <c r="AN223" s="267" t="str">
        <f t="shared" si="7"/>
        <v/>
      </c>
      <c r="AO223" s="267" t="str">
        <f t="shared" si="8"/>
        <v/>
      </c>
    </row>
    <row r="224" spans="39:41">
      <c r="AM224" s="266" t="str">
        <f t="shared" si="6"/>
        <v/>
      </c>
      <c r="AN224" s="267" t="str">
        <f t="shared" si="7"/>
        <v/>
      </c>
      <c r="AO224" s="267" t="str">
        <f t="shared" si="8"/>
        <v/>
      </c>
    </row>
    <row r="225" spans="39:41">
      <c r="AM225" s="266" t="str">
        <f t="shared" si="6"/>
        <v/>
      </c>
      <c r="AN225" s="267" t="str">
        <f t="shared" si="7"/>
        <v/>
      </c>
      <c r="AO225" s="267" t="str">
        <f t="shared" si="8"/>
        <v/>
      </c>
    </row>
    <row r="226" spans="39:41">
      <c r="AM226" s="266" t="str">
        <f t="shared" si="6"/>
        <v/>
      </c>
      <c r="AN226" s="267" t="str">
        <f t="shared" si="7"/>
        <v/>
      </c>
      <c r="AO226" s="267" t="str">
        <f t="shared" si="8"/>
        <v/>
      </c>
    </row>
    <row r="227" spans="39:41">
      <c r="AM227" s="266" t="str">
        <f t="shared" si="6"/>
        <v/>
      </c>
      <c r="AN227" s="267" t="str">
        <f t="shared" si="7"/>
        <v/>
      </c>
      <c r="AO227" s="267" t="str">
        <f t="shared" si="8"/>
        <v/>
      </c>
    </row>
    <row r="228" spans="39:41">
      <c r="AM228" s="266" t="str">
        <f t="shared" si="6"/>
        <v/>
      </c>
      <c r="AN228" s="267" t="str">
        <f t="shared" si="7"/>
        <v/>
      </c>
      <c r="AO228" s="267" t="str">
        <f t="shared" si="8"/>
        <v/>
      </c>
    </row>
    <row r="229" spans="39:41">
      <c r="AM229" s="266" t="str">
        <f t="shared" si="6"/>
        <v/>
      </c>
      <c r="AN229" s="267" t="str">
        <f t="shared" si="7"/>
        <v/>
      </c>
      <c r="AO229" s="267" t="str">
        <f t="shared" si="8"/>
        <v/>
      </c>
    </row>
    <row r="230" spans="39:41">
      <c r="AM230" s="266" t="str">
        <f t="shared" si="6"/>
        <v/>
      </c>
      <c r="AN230" s="267" t="str">
        <f t="shared" si="7"/>
        <v/>
      </c>
      <c r="AO230" s="267" t="str">
        <f t="shared" si="8"/>
        <v/>
      </c>
    </row>
    <row r="231" spans="39:41">
      <c r="AM231" s="266" t="str">
        <f t="shared" si="6"/>
        <v/>
      </c>
      <c r="AN231" s="267" t="str">
        <f t="shared" si="7"/>
        <v/>
      </c>
      <c r="AO231" s="267" t="str">
        <f t="shared" si="8"/>
        <v/>
      </c>
    </row>
    <row r="232" spans="39:41">
      <c r="AM232" s="266" t="str">
        <f t="shared" si="6"/>
        <v/>
      </c>
      <c r="AN232" s="267" t="str">
        <f t="shared" si="7"/>
        <v/>
      </c>
      <c r="AO232" s="267" t="str">
        <f t="shared" si="8"/>
        <v/>
      </c>
    </row>
    <row r="233" spans="39:41">
      <c r="AM233" s="266" t="str">
        <f t="shared" si="6"/>
        <v/>
      </c>
      <c r="AN233" s="267" t="str">
        <f t="shared" si="7"/>
        <v/>
      </c>
      <c r="AO233" s="267" t="str">
        <f t="shared" si="8"/>
        <v/>
      </c>
    </row>
    <row r="234" spans="39:41">
      <c r="AM234" s="266" t="str">
        <f t="shared" si="6"/>
        <v/>
      </c>
      <c r="AN234" s="267" t="str">
        <f t="shared" si="7"/>
        <v/>
      </c>
      <c r="AO234" s="267" t="str">
        <f t="shared" si="8"/>
        <v/>
      </c>
    </row>
    <row r="235" spans="39:41">
      <c r="AM235" s="266" t="str">
        <f t="shared" si="6"/>
        <v/>
      </c>
      <c r="AN235" s="267" t="str">
        <f t="shared" si="7"/>
        <v/>
      </c>
      <c r="AO235" s="267" t="str">
        <f t="shared" si="8"/>
        <v/>
      </c>
    </row>
    <row r="236" spans="39:41">
      <c r="AM236" s="266" t="str">
        <f t="shared" si="6"/>
        <v/>
      </c>
      <c r="AN236" s="267" t="str">
        <f t="shared" si="7"/>
        <v/>
      </c>
      <c r="AO236" s="267" t="str">
        <f t="shared" si="8"/>
        <v/>
      </c>
    </row>
    <row r="237" spans="39:41">
      <c r="AM237" s="266" t="str">
        <f t="shared" si="6"/>
        <v/>
      </c>
      <c r="AN237" s="267" t="str">
        <f t="shared" si="7"/>
        <v/>
      </c>
      <c r="AO237" s="267" t="str">
        <f t="shared" si="8"/>
        <v/>
      </c>
    </row>
    <row r="238" spans="39:41">
      <c r="AM238" s="266" t="str">
        <f t="shared" si="6"/>
        <v/>
      </c>
      <c r="AN238" s="267" t="str">
        <f t="shared" si="7"/>
        <v/>
      </c>
      <c r="AO238" s="267" t="str">
        <f t="shared" si="8"/>
        <v/>
      </c>
    </row>
    <row r="239" spans="39:41">
      <c r="AM239" s="266" t="str">
        <f t="shared" si="6"/>
        <v/>
      </c>
      <c r="AN239" s="267" t="str">
        <f t="shared" si="7"/>
        <v/>
      </c>
      <c r="AO239" s="267" t="str">
        <f t="shared" si="8"/>
        <v/>
      </c>
    </row>
    <row r="240" spans="39:41">
      <c r="AM240" s="266" t="str">
        <f t="shared" si="6"/>
        <v/>
      </c>
      <c r="AN240" s="267" t="str">
        <f t="shared" si="7"/>
        <v/>
      </c>
      <c r="AO240" s="267" t="str">
        <f t="shared" si="8"/>
        <v/>
      </c>
    </row>
    <row r="241" spans="39:41">
      <c r="AM241" s="266" t="str">
        <f t="shared" si="6"/>
        <v/>
      </c>
      <c r="AN241" s="267" t="str">
        <f t="shared" si="7"/>
        <v/>
      </c>
      <c r="AO241" s="267" t="str">
        <f t="shared" si="8"/>
        <v/>
      </c>
    </row>
    <row r="242" spans="39:41">
      <c r="AM242" s="266" t="str">
        <f t="shared" si="6"/>
        <v/>
      </c>
      <c r="AN242" s="267" t="str">
        <f t="shared" si="7"/>
        <v/>
      </c>
      <c r="AO242" s="267" t="str">
        <f t="shared" si="8"/>
        <v/>
      </c>
    </row>
    <row r="243" spans="39:41">
      <c r="AM243" s="266" t="str">
        <f t="shared" si="6"/>
        <v/>
      </c>
      <c r="AN243" s="267" t="str">
        <f t="shared" si="7"/>
        <v/>
      </c>
      <c r="AO243" s="267" t="str">
        <f t="shared" si="8"/>
        <v/>
      </c>
    </row>
    <row r="244" spans="39:41">
      <c r="AM244" s="266" t="str">
        <f t="shared" si="6"/>
        <v/>
      </c>
      <c r="AN244" s="267" t="str">
        <f t="shared" si="7"/>
        <v/>
      </c>
      <c r="AO244" s="267" t="str">
        <f t="shared" si="8"/>
        <v/>
      </c>
    </row>
    <row r="245" spans="39:41">
      <c r="AM245" s="266" t="str">
        <f t="shared" si="6"/>
        <v/>
      </c>
      <c r="AN245" s="267" t="str">
        <f t="shared" si="7"/>
        <v/>
      </c>
      <c r="AO245" s="267" t="str">
        <f t="shared" si="8"/>
        <v/>
      </c>
    </row>
    <row r="246" spans="39:41">
      <c r="AM246" s="266" t="str">
        <f t="shared" si="6"/>
        <v/>
      </c>
      <c r="AN246" s="267" t="str">
        <f t="shared" si="7"/>
        <v/>
      </c>
      <c r="AO246" s="267" t="str">
        <f t="shared" si="8"/>
        <v/>
      </c>
    </row>
    <row r="247" spans="39:41">
      <c r="AM247" s="266" t="str">
        <f t="shared" si="6"/>
        <v/>
      </c>
      <c r="AN247" s="267" t="str">
        <f t="shared" si="7"/>
        <v/>
      </c>
      <c r="AO247" s="267" t="str">
        <f t="shared" si="8"/>
        <v/>
      </c>
    </row>
    <row r="248" spans="39:41">
      <c r="AM248" s="266" t="str">
        <f t="shared" si="6"/>
        <v/>
      </c>
      <c r="AN248" s="267" t="str">
        <f t="shared" si="7"/>
        <v/>
      </c>
      <c r="AO248" s="267" t="str">
        <f t="shared" si="8"/>
        <v/>
      </c>
    </row>
    <row r="249" spans="39:41">
      <c r="AM249" s="266" t="str">
        <f t="shared" si="6"/>
        <v/>
      </c>
      <c r="AN249" s="267" t="str">
        <f t="shared" si="7"/>
        <v/>
      </c>
      <c r="AO249" s="267" t="str">
        <f t="shared" si="8"/>
        <v/>
      </c>
    </row>
    <row r="250" spans="39:41">
      <c r="AM250" s="266" t="str">
        <f t="shared" si="6"/>
        <v/>
      </c>
      <c r="AN250" s="267" t="str">
        <f t="shared" si="7"/>
        <v/>
      </c>
      <c r="AO250" s="267" t="str">
        <f t="shared" si="8"/>
        <v/>
      </c>
    </row>
    <row r="251" spans="39:41">
      <c r="AM251" s="266" t="str">
        <f t="shared" si="6"/>
        <v/>
      </c>
      <c r="AN251" s="267" t="str">
        <f t="shared" si="7"/>
        <v/>
      </c>
      <c r="AO251" s="267" t="str">
        <f t="shared" si="8"/>
        <v/>
      </c>
    </row>
    <row r="252" spans="39:41">
      <c r="AM252" s="266" t="str">
        <f t="shared" si="6"/>
        <v/>
      </c>
      <c r="AN252" s="267" t="str">
        <f t="shared" si="7"/>
        <v/>
      </c>
      <c r="AO252" s="267" t="str">
        <f t="shared" si="8"/>
        <v/>
      </c>
    </row>
    <row r="253" spans="39:41">
      <c r="AM253" s="266" t="str">
        <f t="shared" si="6"/>
        <v/>
      </c>
      <c r="AN253" s="267" t="str">
        <f t="shared" si="7"/>
        <v/>
      </c>
      <c r="AO253" s="267" t="str">
        <f t="shared" si="8"/>
        <v/>
      </c>
    </row>
    <row r="254" spans="39:41">
      <c r="AM254" s="266" t="str">
        <f t="shared" si="6"/>
        <v/>
      </c>
      <c r="AN254" s="267" t="str">
        <f t="shared" si="7"/>
        <v/>
      </c>
      <c r="AO254" s="267" t="str">
        <f t="shared" si="8"/>
        <v/>
      </c>
    </row>
    <row r="255" spans="39:41">
      <c r="AM255" s="266" t="str">
        <f t="shared" si="6"/>
        <v/>
      </c>
      <c r="AN255" s="267" t="str">
        <f t="shared" si="7"/>
        <v/>
      </c>
      <c r="AO255" s="267" t="str">
        <f t="shared" si="8"/>
        <v/>
      </c>
    </row>
    <row r="256" spans="39:41">
      <c r="AM256" s="266" t="str">
        <f t="shared" si="6"/>
        <v/>
      </c>
      <c r="AN256" s="267" t="str">
        <f t="shared" si="7"/>
        <v/>
      </c>
      <c r="AO256" s="267" t="str">
        <f t="shared" si="8"/>
        <v/>
      </c>
    </row>
    <row r="257" spans="39:41">
      <c r="AM257" s="266" t="str">
        <f t="shared" si="6"/>
        <v/>
      </c>
      <c r="AN257" s="267" t="str">
        <f t="shared" si="7"/>
        <v/>
      </c>
      <c r="AO257" s="267" t="str">
        <f t="shared" si="8"/>
        <v/>
      </c>
    </row>
    <row r="258" spans="39:41">
      <c r="AM258" s="266" t="str">
        <f t="shared" si="6"/>
        <v/>
      </c>
      <c r="AN258" s="267" t="str">
        <f t="shared" si="7"/>
        <v/>
      </c>
      <c r="AO258" s="267" t="str">
        <f t="shared" si="8"/>
        <v/>
      </c>
    </row>
    <row r="259" spans="39:41">
      <c r="AM259" s="266" t="str">
        <f t="shared" si="6"/>
        <v/>
      </c>
      <c r="AN259" s="267" t="str">
        <f t="shared" si="7"/>
        <v/>
      </c>
      <c r="AO259" s="267" t="str">
        <f t="shared" si="8"/>
        <v/>
      </c>
    </row>
    <row r="260" spans="39:41">
      <c r="AM260" s="266" t="str">
        <f t="shared" ref="AM260:AM323" si="9">IF(AK260,(AK260-AJ260)/(AD260-AG260),"")</f>
        <v/>
      </c>
      <c r="AN260" s="267" t="str">
        <f t="shared" ref="AN260:AN323" si="10">IF(AK260,(AK260-AJ260)/(AE260-AH260),"")</f>
        <v/>
      </c>
      <c r="AO260" s="267" t="str">
        <f t="shared" ref="AO260:AO323" si="11">IF(AK260,(AK260-AJ260)/(AF260-AI260),"")</f>
        <v/>
      </c>
    </row>
    <row r="261" spans="39:41">
      <c r="AM261" s="266" t="str">
        <f t="shared" si="9"/>
        <v/>
      </c>
      <c r="AN261" s="267" t="str">
        <f t="shared" si="10"/>
        <v/>
      </c>
      <c r="AO261" s="267" t="str">
        <f t="shared" si="11"/>
        <v/>
      </c>
    </row>
    <row r="262" spans="39:41">
      <c r="AM262" s="266" t="str">
        <f t="shared" si="9"/>
        <v/>
      </c>
      <c r="AN262" s="267" t="str">
        <f t="shared" si="10"/>
        <v/>
      </c>
      <c r="AO262" s="267" t="str">
        <f t="shared" si="11"/>
        <v/>
      </c>
    </row>
    <row r="263" spans="39:41">
      <c r="AM263" s="266" t="str">
        <f t="shared" si="9"/>
        <v/>
      </c>
      <c r="AN263" s="267" t="str">
        <f t="shared" si="10"/>
        <v/>
      </c>
      <c r="AO263" s="267" t="str">
        <f t="shared" si="11"/>
        <v/>
      </c>
    </row>
    <row r="264" spans="39:41">
      <c r="AM264" s="266" t="str">
        <f t="shared" si="9"/>
        <v/>
      </c>
      <c r="AN264" s="267" t="str">
        <f t="shared" si="10"/>
        <v/>
      </c>
      <c r="AO264" s="267" t="str">
        <f t="shared" si="11"/>
        <v/>
      </c>
    </row>
    <row r="265" spans="39:41">
      <c r="AM265" s="266" t="str">
        <f t="shared" si="9"/>
        <v/>
      </c>
      <c r="AN265" s="267" t="str">
        <f t="shared" si="10"/>
        <v/>
      </c>
      <c r="AO265" s="267" t="str">
        <f t="shared" si="11"/>
        <v/>
      </c>
    </row>
    <row r="266" spans="39:41">
      <c r="AM266" s="266" t="str">
        <f t="shared" si="9"/>
        <v/>
      </c>
      <c r="AN266" s="267" t="str">
        <f t="shared" si="10"/>
        <v/>
      </c>
      <c r="AO266" s="267" t="str">
        <f t="shared" si="11"/>
        <v/>
      </c>
    </row>
    <row r="267" spans="39:41">
      <c r="AM267" s="266" t="str">
        <f t="shared" si="9"/>
        <v/>
      </c>
      <c r="AN267" s="267" t="str">
        <f t="shared" si="10"/>
        <v/>
      </c>
      <c r="AO267" s="267" t="str">
        <f t="shared" si="11"/>
        <v/>
      </c>
    </row>
    <row r="268" spans="39:41">
      <c r="AM268" s="266" t="str">
        <f t="shared" si="9"/>
        <v/>
      </c>
      <c r="AN268" s="267" t="str">
        <f t="shared" si="10"/>
        <v/>
      </c>
      <c r="AO268" s="267" t="str">
        <f t="shared" si="11"/>
        <v/>
      </c>
    </row>
    <row r="269" spans="39:41">
      <c r="AM269" s="266" t="str">
        <f t="shared" si="9"/>
        <v/>
      </c>
      <c r="AN269" s="267" t="str">
        <f t="shared" si="10"/>
        <v/>
      </c>
      <c r="AO269" s="267" t="str">
        <f t="shared" si="11"/>
        <v/>
      </c>
    </row>
    <row r="270" spans="39:41">
      <c r="AM270" s="266" t="str">
        <f t="shared" si="9"/>
        <v/>
      </c>
      <c r="AN270" s="267" t="str">
        <f t="shared" si="10"/>
        <v/>
      </c>
      <c r="AO270" s="267" t="str">
        <f t="shared" si="11"/>
        <v/>
      </c>
    </row>
    <row r="271" spans="39:41">
      <c r="AM271" s="266" t="str">
        <f t="shared" si="9"/>
        <v/>
      </c>
      <c r="AN271" s="267" t="str">
        <f t="shared" si="10"/>
        <v/>
      </c>
      <c r="AO271" s="267" t="str">
        <f t="shared" si="11"/>
        <v/>
      </c>
    </row>
    <row r="272" spans="39:41">
      <c r="AM272" s="266" t="str">
        <f t="shared" si="9"/>
        <v/>
      </c>
      <c r="AN272" s="267" t="str">
        <f t="shared" si="10"/>
        <v/>
      </c>
      <c r="AO272" s="267" t="str">
        <f t="shared" si="11"/>
        <v/>
      </c>
    </row>
    <row r="273" spans="39:41">
      <c r="AM273" s="266" t="str">
        <f t="shared" si="9"/>
        <v/>
      </c>
      <c r="AN273" s="267" t="str">
        <f t="shared" si="10"/>
        <v/>
      </c>
      <c r="AO273" s="267" t="str">
        <f t="shared" si="11"/>
        <v/>
      </c>
    </row>
    <row r="274" spans="39:41">
      <c r="AM274" s="266" t="str">
        <f t="shared" si="9"/>
        <v/>
      </c>
      <c r="AN274" s="267" t="str">
        <f t="shared" si="10"/>
        <v/>
      </c>
      <c r="AO274" s="267" t="str">
        <f t="shared" si="11"/>
        <v/>
      </c>
    </row>
    <row r="275" spans="39:41">
      <c r="AM275" s="266" t="str">
        <f t="shared" si="9"/>
        <v/>
      </c>
      <c r="AN275" s="267" t="str">
        <f t="shared" si="10"/>
        <v/>
      </c>
      <c r="AO275" s="267" t="str">
        <f t="shared" si="11"/>
        <v/>
      </c>
    </row>
    <row r="276" spans="39:41">
      <c r="AM276" s="266" t="str">
        <f t="shared" si="9"/>
        <v/>
      </c>
      <c r="AN276" s="267" t="str">
        <f t="shared" si="10"/>
        <v/>
      </c>
      <c r="AO276" s="267" t="str">
        <f t="shared" si="11"/>
        <v/>
      </c>
    </row>
    <row r="277" spans="39:41">
      <c r="AM277" s="266" t="str">
        <f t="shared" si="9"/>
        <v/>
      </c>
      <c r="AN277" s="267" t="str">
        <f t="shared" si="10"/>
        <v/>
      </c>
      <c r="AO277" s="267" t="str">
        <f t="shared" si="11"/>
        <v/>
      </c>
    </row>
    <row r="278" spans="39:41">
      <c r="AM278" s="266" t="str">
        <f t="shared" si="9"/>
        <v/>
      </c>
      <c r="AN278" s="267" t="str">
        <f t="shared" si="10"/>
        <v/>
      </c>
      <c r="AO278" s="267" t="str">
        <f t="shared" si="11"/>
        <v/>
      </c>
    </row>
    <row r="279" spans="39:41">
      <c r="AM279" s="266" t="str">
        <f t="shared" si="9"/>
        <v/>
      </c>
      <c r="AN279" s="267" t="str">
        <f t="shared" si="10"/>
        <v/>
      </c>
      <c r="AO279" s="267" t="str">
        <f t="shared" si="11"/>
        <v/>
      </c>
    </row>
    <row r="280" spans="39:41">
      <c r="AM280" s="266" t="str">
        <f t="shared" si="9"/>
        <v/>
      </c>
      <c r="AN280" s="267" t="str">
        <f t="shared" si="10"/>
        <v/>
      </c>
      <c r="AO280" s="267" t="str">
        <f t="shared" si="11"/>
        <v/>
      </c>
    </row>
    <row r="281" spans="39:41">
      <c r="AM281" s="266" t="str">
        <f t="shared" si="9"/>
        <v/>
      </c>
      <c r="AN281" s="267" t="str">
        <f t="shared" si="10"/>
        <v/>
      </c>
      <c r="AO281" s="267" t="str">
        <f t="shared" si="11"/>
        <v/>
      </c>
    </row>
    <row r="282" spans="39:41">
      <c r="AM282" s="266" t="str">
        <f t="shared" si="9"/>
        <v/>
      </c>
      <c r="AN282" s="267" t="str">
        <f t="shared" si="10"/>
        <v/>
      </c>
      <c r="AO282" s="267" t="str">
        <f t="shared" si="11"/>
        <v/>
      </c>
    </row>
    <row r="283" spans="39:41">
      <c r="AM283" s="266" t="str">
        <f t="shared" si="9"/>
        <v/>
      </c>
      <c r="AN283" s="267" t="str">
        <f t="shared" si="10"/>
        <v/>
      </c>
      <c r="AO283" s="267" t="str">
        <f t="shared" si="11"/>
        <v/>
      </c>
    </row>
    <row r="284" spans="39:41">
      <c r="AM284" s="266" t="str">
        <f t="shared" si="9"/>
        <v/>
      </c>
      <c r="AN284" s="267" t="str">
        <f t="shared" si="10"/>
        <v/>
      </c>
      <c r="AO284" s="267" t="str">
        <f t="shared" si="11"/>
        <v/>
      </c>
    </row>
    <row r="285" spans="39:41">
      <c r="AM285" s="266" t="str">
        <f t="shared" si="9"/>
        <v/>
      </c>
      <c r="AN285" s="267" t="str">
        <f t="shared" si="10"/>
        <v/>
      </c>
      <c r="AO285" s="267" t="str">
        <f t="shared" si="11"/>
        <v/>
      </c>
    </row>
    <row r="286" spans="39:41">
      <c r="AM286" s="266" t="str">
        <f t="shared" si="9"/>
        <v/>
      </c>
      <c r="AN286" s="267" t="str">
        <f t="shared" si="10"/>
        <v/>
      </c>
      <c r="AO286" s="267" t="str">
        <f t="shared" si="11"/>
        <v/>
      </c>
    </row>
    <row r="287" spans="39:41">
      <c r="AM287" s="266" t="str">
        <f t="shared" si="9"/>
        <v/>
      </c>
      <c r="AN287" s="267" t="str">
        <f t="shared" si="10"/>
        <v/>
      </c>
      <c r="AO287" s="267" t="str">
        <f t="shared" si="11"/>
        <v/>
      </c>
    </row>
    <row r="288" spans="39:41">
      <c r="AM288" s="266" t="str">
        <f t="shared" si="9"/>
        <v/>
      </c>
      <c r="AN288" s="267" t="str">
        <f t="shared" si="10"/>
        <v/>
      </c>
      <c r="AO288" s="267" t="str">
        <f t="shared" si="11"/>
        <v/>
      </c>
    </row>
    <row r="289" spans="39:41">
      <c r="AM289" s="266" t="str">
        <f t="shared" si="9"/>
        <v/>
      </c>
      <c r="AN289" s="267" t="str">
        <f t="shared" si="10"/>
        <v/>
      </c>
      <c r="AO289" s="267" t="str">
        <f t="shared" si="11"/>
        <v/>
      </c>
    </row>
    <row r="290" spans="39:41">
      <c r="AM290" s="266" t="str">
        <f t="shared" si="9"/>
        <v/>
      </c>
      <c r="AN290" s="267" t="str">
        <f t="shared" si="10"/>
        <v/>
      </c>
      <c r="AO290" s="267" t="str">
        <f t="shared" si="11"/>
        <v/>
      </c>
    </row>
    <row r="291" spans="39:41">
      <c r="AM291" s="266" t="str">
        <f t="shared" si="9"/>
        <v/>
      </c>
      <c r="AN291" s="267" t="str">
        <f t="shared" si="10"/>
        <v/>
      </c>
      <c r="AO291" s="267" t="str">
        <f t="shared" si="11"/>
        <v/>
      </c>
    </row>
    <row r="292" spans="39:41">
      <c r="AM292" s="266" t="str">
        <f t="shared" si="9"/>
        <v/>
      </c>
      <c r="AN292" s="267" t="str">
        <f t="shared" si="10"/>
        <v/>
      </c>
      <c r="AO292" s="267" t="str">
        <f t="shared" si="11"/>
        <v/>
      </c>
    </row>
    <row r="293" spans="39:41">
      <c r="AM293" s="266" t="str">
        <f t="shared" si="9"/>
        <v/>
      </c>
      <c r="AN293" s="267" t="str">
        <f t="shared" si="10"/>
        <v/>
      </c>
      <c r="AO293" s="267" t="str">
        <f t="shared" si="11"/>
        <v/>
      </c>
    </row>
    <row r="294" spans="39:41">
      <c r="AM294" s="266" t="str">
        <f t="shared" si="9"/>
        <v/>
      </c>
      <c r="AN294" s="267" t="str">
        <f t="shared" si="10"/>
        <v/>
      </c>
      <c r="AO294" s="267" t="str">
        <f t="shared" si="11"/>
        <v/>
      </c>
    </row>
    <row r="295" spans="39:41">
      <c r="AM295" s="266" t="str">
        <f t="shared" si="9"/>
        <v/>
      </c>
      <c r="AN295" s="267" t="str">
        <f t="shared" si="10"/>
        <v/>
      </c>
      <c r="AO295" s="267" t="str">
        <f t="shared" si="11"/>
        <v/>
      </c>
    </row>
    <row r="296" spans="39:41">
      <c r="AM296" s="266" t="str">
        <f t="shared" si="9"/>
        <v/>
      </c>
      <c r="AN296" s="267" t="str">
        <f t="shared" si="10"/>
        <v/>
      </c>
      <c r="AO296" s="267" t="str">
        <f t="shared" si="11"/>
        <v/>
      </c>
    </row>
    <row r="297" spans="39:41">
      <c r="AM297" s="266" t="str">
        <f t="shared" si="9"/>
        <v/>
      </c>
      <c r="AN297" s="267" t="str">
        <f t="shared" si="10"/>
        <v/>
      </c>
      <c r="AO297" s="267" t="str">
        <f t="shared" si="11"/>
        <v/>
      </c>
    </row>
    <row r="298" spans="39:41">
      <c r="AM298" s="266" t="str">
        <f t="shared" si="9"/>
        <v/>
      </c>
      <c r="AN298" s="267" t="str">
        <f t="shared" si="10"/>
        <v/>
      </c>
      <c r="AO298" s="267" t="str">
        <f t="shared" si="11"/>
        <v/>
      </c>
    </row>
    <row r="299" spans="39:41">
      <c r="AM299" s="266" t="str">
        <f t="shared" si="9"/>
        <v/>
      </c>
      <c r="AN299" s="267" t="str">
        <f t="shared" si="10"/>
        <v/>
      </c>
      <c r="AO299" s="267" t="str">
        <f t="shared" si="11"/>
        <v/>
      </c>
    </row>
    <row r="300" spans="39:41">
      <c r="AM300" s="266" t="str">
        <f t="shared" si="9"/>
        <v/>
      </c>
      <c r="AN300" s="267" t="str">
        <f t="shared" si="10"/>
        <v/>
      </c>
      <c r="AO300" s="267" t="str">
        <f t="shared" si="11"/>
        <v/>
      </c>
    </row>
    <row r="301" spans="39:41">
      <c r="AM301" s="266" t="str">
        <f t="shared" si="9"/>
        <v/>
      </c>
      <c r="AN301" s="267" t="str">
        <f t="shared" si="10"/>
        <v/>
      </c>
      <c r="AO301" s="267" t="str">
        <f t="shared" si="11"/>
        <v/>
      </c>
    </row>
    <row r="302" spans="39:41">
      <c r="AM302" s="266" t="str">
        <f t="shared" si="9"/>
        <v/>
      </c>
      <c r="AN302" s="267" t="str">
        <f t="shared" si="10"/>
        <v/>
      </c>
      <c r="AO302" s="267" t="str">
        <f t="shared" si="11"/>
        <v/>
      </c>
    </row>
    <row r="303" spans="39:41">
      <c r="AM303" s="266" t="str">
        <f t="shared" si="9"/>
        <v/>
      </c>
      <c r="AN303" s="267" t="str">
        <f t="shared" si="10"/>
        <v/>
      </c>
      <c r="AO303" s="267" t="str">
        <f t="shared" si="11"/>
        <v/>
      </c>
    </row>
    <row r="304" spans="39:41">
      <c r="AM304" s="266" t="str">
        <f t="shared" si="9"/>
        <v/>
      </c>
      <c r="AN304" s="267" t="str">
        <f t="shared" si="10"/>
        <v/>
      </c>
      <c r="AO304" s="267" t="str">
        <f t="shared" si="11"/>
        <v/>
      </c>
    </row>
    <row r="305" spans="39:41">
      <c r="AM305" s="266" t="str">
        <f t="shared" si="9"/>
        <v/>
      </c>
      <c r="AN305" s="267" t="str">
        <f t="shared" si="10"/>
        <v/>
      </c>
      <c r="AO305" s="267" t="str">
        <f t="shared" si="11"/>
        <v/>
      </c>
    </row>
    <row r="306" spans="39:41">
      <c r="AM306" s="266" t="str">
        <f t="shared" si="9"/>
        <v/>
      </c>
      <c r="AN306" s="267" t="str">
        <f t="shared" si="10"/>
        <v/>
      </c>
      <c r="AO306" s="267" t="str">
        <f t="shared" si="11"/>
        <v/>
      </c>
    </row>
    <row r="307" spans="39:41">
      <c r="AM307" s="266" t="str">
        <f t="shared" si="9"/>
        <v/>
      </c>
      <c r="AN307" s="267" t="str">
        <f t="shared" si="10"/>
        <v/>
      </c>
      <c r="AO307" s="267" t="str">
        <f t="shared" si="11"/>
        <v/>
      </c>
    </row>
    <row r="308" spans="39:41">
      <c r="AM308" s="266" t="str">
        <f t="shared" si="9"/>
        <v/>
      </c>
      <c r="AN308" s="267" t="str">
        <f t="shared" si="10"/>
        <v/>
      </c>
      <c r="AO308" s="267" t="str">
        <f t="shared" si="11"/>
        <v/>
      </c>
    </row>
    <row r="309" spans="39:41">
      <c r="AM309" s="266" t="str">
        <f t="shared" si="9"/>
        <v/>
      </c>
      <c r="AN309" s="267" t="str">
        <f t="shared" si="10"/>
        <v/>
      </c>
      <c r="AO309" s="267" t="str">
        <f t="shared" si="11"/>
        <v/>
      </c>
    </row>
    <row r="310" spans="39:41">
      <c r="AM310" s="266" t="str">
        <f t="shared" si="9"/>
        <v/>
      </c>
      <c r="AN310" s="267" t="str">
        <f t="shared" si="10"/>
        <v/>
      </c>
      <c r="AO310" s="267" t="str">
        <f t="shared" si="11"/>
        <v/>
      </c>
    </row>
    <row r="311" spans="39:41">
      <c r="AM311" s="266" t="str">
        <f t="shared" si="9"/>
        <v/>
      </c>
      <c r="AN311" s="267" t="str">
        <f t="shared" si="10"/>
        <v/>
      </c>
      <c r="AO311" s="267" t="str">
        <f t="shared" si="11"/>
        <v/>
      </c>
    </row>
    <row r="312" spans="39:41">
      <c r="AM312" s="266" t="str">
        <f t="shared" si="9"/>
        <v/>
      </c>
      <c r="AN312" s="267" t="str">
        <f t="shared" si="10"/>
        <v/>
      </c>
      <c r="AO312" s="267" t="str">
        <f t="shared" si="11"/>
        <v/>
      </c>
    </row>
    <row r="313" spans="39:41">
      <c r="AM313" s="266" t="str">
        <f t="shared" si="9"/>
        <v/>
      </c>
      <c r="AN313" s="267" t="str">
        <f t="shared" si="10"/>
        <v/>
      </c>
      <c r="AO313" s="267" t="str">
        <f t="shared" si="11"/>
        <v/>
      </c>
    </row>
    <row r="314" spans="39:41">
      <c r="AM314" s="266" t="str">
        <f t="shared" si="9"/>
        <v/>
      </c>
      <c r="AN314" s="267" t="str">
        <f t="shared" si="10"/>
        <v/>
      </c>
      <c r="AO314" s="267" t="str">
        <f t="shared" si="11"/>
        <v/>
      </c>
    </row>
    <row r="315" spans="39:41">
      <c r="AM315" s="266" t="str">
        <f t="shared" si="9"/>
        <v/>
      </c>
      <c r="AN315" s="267" t="str">
        <f t="shared" si="10"/>
        <v/>
      </c>
      <c r="AO315" s="267" t="str">
        <f t="shared" si="11"/>
        <v/>
      </c>
    </row>
    <row r="316" spans="39:41">
      <c r="AM316" s="266" t="str">
        <f t="shared" si="9"/>
        <v/>
      </c>
      <c r="AN316" s="267" t="str">
        <f t="shared" si="10"/>
        <v/>
      </c>
      <c r="AO316" s="267" t="str">
        <f t="shared" si="11"/>
        <v/>
      </c>
    </row>
    <row r="317" spans="39:41">
      <c r="AM317" s="266" t="str">
        <f t="shared" si="9"/>
        <v/>
      </c>
      <c r="AN317" s="267" t="str">
        <f t="shared" si="10"/>
        <v/>
      </c>
      <c r="AO317" s="267" t="str">
        <f t="shared" si="11"/>
        <v/>
      </c>
    </row>
    <row r="318" spans="39:41">
      <c r="AM318" s="266" t="str">
        <f t="shared" si="9"/>
        <v/>
      </c>
      <c r="AN318" s="267" t="str">
        <f t="shared" si="10"/>
        <v/>
      </c>
      <c r="AO318" s="267" t="str">
        <f t="shared" si="11"/>
        <v/>
      </c>
    </row>
    <row r="319" spans="39:41">
      <c r="AM319" s="266" t="str">
        <f t="shared" si="9"/>
        <v/>
      </c>
      <c r="AN319" s="267" t="str">
        <f t="shared" si="10"/>
        <v/>
      </c>
      <c r="AO319" s="267" t="str">
        <f t="shared" si="11"/>
        <v/>
      </c>
    </row>
    <row r="320" spans="39:41">
      <c r="AM320" s="266" t="str">
        <f t="shared" si="9"/>
        <v/>
      </c>
      <c r="AN320" s="267" t="str">
        <f t="shared" si="10"/>
        <v/>
      </c>
      <c r="AO320" s="267" t="str">
        <f t="shared" si="11"/>
        <v/>
      </c>
    </row>
    <row r="321" spans="39:41">
      <c r="AM321" s="266" t="str">
        <f t="shared" si="9"/>
        <v/>
      </c>
      <c r="AN321" s="267" t="str">
        <f t="shared" si="10"/>
        <v/>
      </c>
      <c r="AO321" s="267" t="str">
        <f t="shared" si="11"/>
        <v/>
      </c>
    </row>
    <row r="322" spans="39:41">
      <c r="AM322" s="266" t="str">
        <f t="shared" si="9"/>
        <v/>
      </c>
      <c r="AN322" s="267" t="str">
        <f t="shared" si="10"/>
        <v/>
      </c>
      <c r="AO322" s="267" t="str">
        <f t="shared" si="11"/>
        <v/>
      </c>
    </row>
    <row r="323" spans="39:41">
      <c r="AM323" s="266" t="str">
        <f t="shared" si="9"/>
        <v/>
      </c>
      <c r="AN323" s="267" t="str">
        <f t="shared" si="10"/>
        <v/>
      </c>
      <c r="AO323" s="267" t="str">
        <f t="shared" si="11"/>
        <v/>
      </c>
    </row>
    <row r="324" spans="39:41">
      <c r="AM324" s="266" t="str">
        <f t="shared" ref="AM324:AM387" si="12">IF(AK324,(AK324-AJ324)/(AD324-AG324),"")</f>
        <v/>
      </c>
      <c r="AN324" s="267" t="str">
        <f t="shared" ref="AN324:AN387" si="13">IF(AK324,(AK324-AJ324)/(AE324-AH324),"")</f>
        <v/>
      </c>
      <c r="AO324" s="267" t="str">
        <f t="shared" ref="AO324:AO387" si="14">IF(AK324,(AK324-AJ324)/(AF324-AI324),"")</f>
        <v/>
      </c>
    </row>
    <row r="325" spans="39:41">
      <c r="AM325" s="266" t="str">
        <f t="shared" si="12"/>
        <v/>
      </c>
      <c r="AN325" s="267" t="str">
        <f t="shared" si="13"/>
        <v/>
      </c>
      <c r="AO325" s="267" t="str">
        <f t="shared" si="14"/>
        <v/>
      </c>
    </row>
    <row r="326" spans="39:41">
      <c r="AM326" s="266" t="str">
        <f t="shared" si="12"/>
        <v/>
      </c>
      <c r="AN326" s="267" t="str">
        <f t="shared" si="13"/>
        <v/>
      </c>
      <c r="AO326" s="267" t="str">
        <f t="shared" si="14"/>
        <v/>
      </c>
    </row>
    <row r="327" spans="39:41">
      <c r="AM327" s="266" t="str">
        <f t="shared" si="12"/>
        <v/>
      </c>
      <c r="AN327" s="267" t="str">
        <f t="shared" si="13"/>
        <v/>
      </c>
      <c r="AO327" s="267" t="str">
        <f t="shared" si="14"/>
        <v/>
      </c>
    </row>
    <row r="328" spans="39:41">
      <c r="AM328" s="266" t="str">
        <f t="shared" si="12"/>
        <v/>
      </c>
      <c r="AN328" s="267" t="str">
        <f t="shared" si="13"/>
        <v/>
      </c>
      <c r="AO328" s="267" t="str">
        <f t="shared" si="14"/>
        <v/>
      </c>
    </row>
    <row r="329" spans="39:41">
      <c r="AM329" s="266" t="str">
        <f t="shared" si="12"/>
        <v/>
      </c>
      <c r="AN329" s="267" t="str">
        <f t="shared" si="13"/>
        <v/>
      </c>
      <c r="AO329" s="267" t="str">
        <f t="shared" si="14"/>
        <v/>
      </c>
    </row>
    <row r="330" spans="39:41">
      <c r="AM330" s="266" t="str">
        <f t="shared" si="12"/>
        <v/>
      </c>
      <c r="AN330" s="267" t="str">
        <f t="shared" si="13"/>
        <v/>
      </c>
      <c r="AO330" s="267" t="str">
        <f t="shared" si="14"/>
        <v/>
      </c>
    </row>
    <row r="331" spans="39:41">
      <c r="AM331" s="266" t="str">
        <f t="shared" si="12"/>
        <v/>
      </c>
      <c r="AN331" s="267" t="str">
        <f t="shared" si="13"/>
        <v/>
      </c>
      <c r="AO331" s="267" t="str">
        <f t="shared" si="14"/>
        <v/>
      </c>
    </row>
    <row r="332" spans="39:41">
      <c r="AM332" s="266" t="str">
        <f t="shared" si="12"/>
        <v/>
      </c>
      <c r="AN332" s="267" t="str">
        <f t="shared" si="13"/>
        <v/>
      </c>
      <c r="AO332" s="267" t="str">
        <f t="shared" si="14"/>
        <v/>
      </c>
    </row>
    <row r="333" spans="39:41">
      <c r="AM333" s="266" t="str">
        <f t="shared" si="12"/>
        <v/>
      </c>
      <c r="AN333" s="267" t="str">
        <f t="shared" si="13"/>
        <v/>
      </c>
      <c r="AO333" s="267" t="str">
        <f t="shared" si="14"/>
        <v/>
      </c>
    </row>
    <row r="334" spans="39:41">
      <c r="AM334" s="266" t="str">
        <f t="shared" si="12"/>
        <v/>
      </c>
      <c r="AN334" s="267" t="str">
        <f t="shared" si="13"/>
        <v/>
      </c>
      <c r="AO334" s="267" t="str">
        <f t="shared" si="14"/>
        <v/>
      </c>
    </row>
    <row r="335" spans="39:41">
      <c r="AM335" s="266" t="str">
        <f t="shared" si="12"/>
        <v/>
      </c>
      <c r="AN335" s="267" t="str">
        <f t="shared" si="13"/>
        <v/>
      </c>
      <c r="AO335" s="267" t="str">
        <f t="shared" si="14"/>
        <v/>
      </c>
    </row>
    <row r="336" spans="39:41">
      <c r="AM336" s="266" t="str">
        <f t="shared" si="12"/>
        <v/>
      </c>
      <c r="AN336" s="267" t="str">
        <f t="shared" si="13"/>
        <v/>
      </c>
      <c r="AO336" s="267" t="str">
        <f t="shared" si="14"/>
        <v/>
      </c>
    </row>
    <row r="337" spans="39:41">
      <c r="AM337" s="266" t="str">
        <f t="shared" si="12"/>
        <v/>
      </c>
      <c r="AN337" s="267" t="str">
        <f t="shared" si="13"/>
        <v/>
      </c>
      <c r="AO337" s="267" t="str">
        <f t="shared" si="14"/>
        <v/>
      </c>
    </row>
    <row r="338" spans="39:41">
      <c r="AM338" s="266" t="str">
        <f t="shared" si="12"/>
        <v/>
      </c>
      <c r="AN338" s="267" t="str">
        <f t="shared" si="13"/>
        <v/>
      </c>
      <c r="AO338" s="267" t="str">
        <f t="shared" si="14"/>
        <v/>
      </c>
    </row>
    <row r="339" spans="39:41">
      <c r="AM339" s="266" t="str">
        <f t="shared" si="12"/>
        <v/>
      </c>
      <c r="AN339" s="267" t="str">
        <f t="shared" si="13"/>
        <v/>
      </c>
      <c r="AO339" s="267" t="str">
        <f t="shared" si="14"/>
        <v/>
      </c>
    </row>
    <row r="340" spans="39:41">
      <c r="AM340" s="266" t="str">
        <f t="shared" si="12"/>
        <v/>
      </c>
      <c r="AN340" s="267" t="str">
        <f t="shared" si="13"/>
        <v/>
      </c>
      <c r="AO340" s="267" t="str">
        <f t="shared" si="14"/>
        <v/>
      </c>
    </row>
    <row r="341" spans="39:41">
      <c r="AM341" s="266" t="str">
        <f t="shared" si="12"/>
        <v/>
      </c>
      <c r="AN341" s="267" t="str">
        <f t="shared" si="13"/>
        <v/>
      </c>
      <c r="AO341" s="267" t="str">
        <f t="shared" si="14"/>
        <v/>
      </c>
    </row>
    <row r="342" spans="39:41">
      <c r="AM342" s="266" t="str">
        <f t="shared" si="12"/>
        <v/>
      </c>
      <c r="AN342" s="267" t="str">
        <f t="shared" si="13"/>
        <v/>
      </c>
      <c r="AO342" s="267" t="str">
        <f t="shared" si="14"/>
        <v/>
      </c>
    </row>
    <row r="343" spans="39:41">
      <c r="AM343" s="266" t="str">
        <f t="shared" si="12"/>
        <v/>
      </c>
      <c r="AN343" s="267" t="str">
        <f t="shared" si="13"/>
        <v/>
      </c>
      <c r="AO343" s="267" t="str">
        <f t="shared" si="14"/>
        <v/>
      </c>
    </row>
    <row r="344" spans="39:41">
      <c r="AM344" s="266" t="str">
        <f t="shared" si="12"/>
        <v/>
      </c>
      <c r="AN344" s="267" t="str">
        <f t="shared" si="13"/>
        <v/>
      </c>
      <c r="AO344" s="267" t="str">
        <f t="shared" si="14"/>
        <v/>
      </c>
    </row>
    <row r="345" spans="39:41">
      <c r="AM345" s="266" t="str">
        <f t="shared" si="12"/>
        <v/>
      </c>
      <c r="AN345" s="267" t="str">
        <f t="shared" si="13"/>
        <v/>
      </c>
      <c r="AO345" s="267" t="str">
        <f t="shared" si="14"/>
        <v/>
      </c>
    </row>
    <row r="346" spans="39:41">
      <c r="AM346" s="266" t="str">
        <f t="shared" si="12"/>
        <v/>
      </c>
      <c r="AN346" s="267" t="str">
        <f t="shared" si="13"/>
        <v/>
      </c>
      <c r="AO346" s="267" t="str">
        <f t="shared" si="14"/>
        <v/>
      </c>
    </row>
    <row r="347" spans="39:41">
      <c r="AM347" s="266" t="str">
        <f t="shared" si="12"/>
        <v/>
      </c>
      <c r="AN347" s="267" t="str">
        <f t="shared" si="13"/>
        <v/>
      </c>
      <c r="AO347" s="267" t="str">
        <f t="shared" si="14"/>
        <v/>
      </c>
    </row>
    <row r="348" spans="39:41">
      <c r="AM348" s="266" t="str">
        <f t="shared" si="12"/>
        <v/>
      </c>
      <c r="AN348" s="267" t="str">
        <f t="shared" si="13"/>
        <v/>
      </c>
      <c r="AO348" s="267" t="str">
        <f t="shared" si="14"/>
        <v/>
      </c>
    </row>
    <row r="349" spans="39:41">
      <c r="AM349" s="266" t="str">
        <f t="shared" si="12"/>
        <v/>
      </c>
      <c r="AN349" s="267" t="str">
        <f t="shared" si="13"/>
        <v/>
      </c>
      <c r="AO349" s="267" t="str">
        <f t="shared" si="14"/>
        <v/>
      </c>
    </row>
    <row r="350" spans="39:41">
      <c r="AM350" s="266" t="str">
        <f t="shared" si="12"/>
        <v/>
      </c>
      <c r="AN350" s="267" t="str">
        <f t="shared" si="13"/>
        <v/>
      </c>
      <c r="AO350" s="267" t="str">
        <f t="shared" si="14"/>
        <v/>
      </c>
    </row>
    <row r="351" spans="39:41">
      <c r="AM351" s="266" t="str">
        <f t="shared" si="12"/>
        <v/>
      </c>
      <c r="AN351" s="267" t="str">
        <f t="shared" si="13"/>
        <v/>
      </c>
      <c r="AO351" s="267" t="str">
        <f t="shared" si="14"/>
        <v/>
      </c>
    </row>
    <row r="352" spans="39:41">
      <c r="AM352" s="266" t="str">
        <f t="shared" si="12"/>
        <v/>
      </c>
      <c r="AN352" s="267" t="str">
        <f t="shared" si="13"/>
        <v/>
      </c>
      <c r="AO352" s="267" t="str">
        <f t="shared" si="14"/>
        <v/>
      </c>
    </row>
    <row r="353" spans="39:41">
      <c r="AM353" s="266" t="str">
        <f t="shared" si="12"/>
        <v/>
      </c>
      <c r="AN353" s="267" t="str">
        <f t="shared" si="13"/>
        <v/>
      </c>
      <c r="AO353" s="267" t="str">
        <f t="shared" si="14"/>
        <v/>
      </c>
    </row>
    <row r="354" spans="39:41">
      <c r="AM354" s="266" t="str">
        <f t="shared" si="12"/>
        <v/>
      </c>
      <c r="AN354" s="267" t="str">
        <f t="shared" si="13"/>
        <v/>
      </c>
      <c r="AO354" s="267" t="str">
        <f t="shared" si="14"/>
        <v/>
      </c>
    </row>
    <row r="355" spans="39:41">
      <c r="AM355" s="266" t="str">
        <f t="shared" si="12"/>
        <v/>
      </c>
      <c r="AN355" s="267" t="str">
        <f t="shared" si="13"/>
        <v/>
      </c>
      <c r="AO355" s="267" t="str">
        <f t="shared" si="14"/>
        <v/>
      </c>
    </row>
    <row r="356" spans="39:41">
      <c r="AM356" s="266" t="str">
        <f t="shared" si="12"/>
        <v/>
      </c>
      <c r="AN356" s="267" t="str">
        <f t="shared" si="13"/>
        <v/>
      </c>
      <c r="AO356" s="267" t="str">
        <f t="shared" si="14"/>
        <v/>
      </c>
    </row>
    <row r="357" spans="39:41">
      <c r="AM357" s="266" t="str">
        <f t="shared" si="12"/>
        <v/>
      </c>
      <c r="AN357" s="267" t="str">
        <f t="shared" si="13"/>
        <v/>
      </c>
      <c r="AO357" s="267" t="str">
        <f t="shared" si="14"/>
        <v/>
      </c>
    </row>
    <row r="358" spans="39:41">
      <c r="AM358" s="266" t="str">
        <f t="shared" si="12"/>
        <v/>
      </c>
      <c r="AN358" s="267" t="str">
        <f t="shared" si="13"/>
        <v/>
      </c>
      <c r="AO358" s="267" t="str">
        <f t="shared" si="14"/>
        <v/>
      </c>
    </row>
    <row r="359" spans="39:41">
      <c r="AM359" s="266" t="str">
        <f t="shared" si="12"/>
        <v/>
      </c>
      <c r="AN359" s="267" t="str">
        <f t="shared" si="13"/>
        <v/>
      </c>
      <c r="AO359" s="267" t="str">
        <f t="shared" si="14"/>
        <v/>
      </c>
    </row>
    <row r="360" spans="39:41">
      <c r="AM360" s="266" t="str">
        <f t="shared" si="12"/>
        <v/>
      </c>
      <c r="AN360" s="267" t="str">
        <f t="shared" si="13"/>
        <v/>
      </c>
      <c r="AO360" s="267" t="str">
        <f t="shared" si="14"/>
        <v/>
      </c>
    </row>
    <row r="361" spans="39:41">
      <c r="AM361" s="266" t="str">
        <f t="shared" si="12"/>
        <v/>
      </c>
      <c r="AN361" s="267" t="str">
        <f t="shared" si="13"/>
        <v/>
      </c>
      <c r="AO361" s="267" t="str">
        <f t="shared" si="14"/>
        <v/>
      </c>
    </row>
    <row r="362" spans="39:41">
      <c r="AM362" s="266" t="str">
        <f t="shared" si="12"/>
        <v/>
      </c>
      <c r="AN362" s="267" t="str">
        <f t="shared" si="13"/>
        <v/>
      </c>
      <c r="AO362" s="267" t="str">
        <f t="shared" si="14"/>
        <v/>
      </c>
    </row>
    <row r="363" spans="39:41">
      <c r="AM363" s="266" t="str">
        <f t="shared" si="12"/>
        <v/>
      </c>
      <c r="AN363" s="267" t="str">
        <f t="shared" si="13"/>
        <v/>
      </c>
      <c r="AO363" s="267" t="str">
        <f t="shared" si="14"/>
        <v/>
      </c>
    </row>
    <row r="364" spans="39:41">
      <c r="AM364" s="266" t="str">
        <f t="shared" si="12"/>
        <v/>
      </c>
      <c r="AN364" s="267" t="str">
        <f t="shared" si="13"/>
        <v/>
      </c>
      <c r="AO364" s="267" t="str">
        <f t="shared" si="14"/>
        <v/>
      </c>
    </row>
    <row r="365" spans="39:41">
      <c r="AM365" s="266" t="str">
        <f t="shared" si="12"/>
        <v/>
      </c>
      <c r="AN365" s="267" t="str">
        <f t="shared" si="13"/>
        <v/>
      </c>
      <c r="AO365" s="267" t="str">
        <f t="shared" si="14"/>
        <v/>
      </c>
    </row>
    <row r="366" spans="39:41">
      <c r="AM366" s="266" t="str">
        <f t="shared" si="12"/>
        <v/>
      </c>
      <c r="AN366" s="267" t="str">
        <f t="shared" si="13"/>
        <v/>
      </c>
      <c r="AO366" s="267" t="str">
        <f t="shared" si="14"/>
        <v/>
      </c>
    </row>
    <row r="367" spans="39:41">
      <c r="AM367" s="266" t="str">
        <f t="shared" si="12"/>
        <v/>
      </c>
      <c r="AN367" s="267" t="str">
        <f t="shared" si="13"/>
        <v/>
      </c>
      <c r="AO367" s="267" t="str">
        <f t="shared" si="14"/>
        <v/>
      </c>
    </row>
    <row r="368" spans="39:41">
      <c r="AM368" s="266" t="str">
        <f t="shared" si="12"/>
        <v/>
      </c>
      <c r="AN368" s="267" t="str">
        <f t="shared" si="13"/>
        <v/>
      </c>
      <c r="AO368" s="267" t="str">
        <f t="shared" si="14"/>
        <v/>
      </c>
    </row>
    <row r="369" spans="39:41">
      <c r="AM369" s="266" t="str">
        <f t="shared" si="12"/>
        <v/>
      </c>
      <c r="AN369" s="267" t="str">
        <f t="shared" si="13"/>
        <v/>
      </c>
      <c r="AO369" s="267" t="str">
        <f t="shared" si="14"/>
        <v/>
      </c>
    </row>
    <row r="370" spans="39:41">
      <c r="AM370" s="266" t="str">
        <f t="shared" si="12"/>
        <v/>
      </c>
      <c r="AN370" s="267" t="str">
        <f t="shared" si="13"/>
        <v/>
      </c>
      <c r="AO370" s="267" t="str">
        <f t="shared" si="14"/>
        <v/>
      </c>
    </row>
    <row r="371" spans="39:41">
      <c r="AM371" s="266" t="str">
        <f t="shared" si="12"/>
        <v/>
      </c>
      <c r="AN371" s="267" t="str">
        <f t="shared" si="13"/>
        <v/>
      </c>
      <c r="AO371" s="267" t="str">
        <f t="shared" si="14"/>
        <v/>
      </c>
    </row>
    <row r="372" spans="39:41">
      <c r="AM372" s="266" t="str">
        <f t="shared" si="12"/>
        <v/>
      </c>
      <c r="AN372" s="267" t="str">
        <f t="shared" si="13"/>
        <v/>
      </c>
      <c r="AO372" s="267" t="str">
        <f t="shared" si="14"/>
        <v/>
      </c>
    </row>
    <row r="373" spans="39:41">
      <c r="AM373" s="266" t="str">
        <f t="shared" si="12"/>
        <v/>
      </c>
      <c r="AN373" s="267" t="str">
        <f t="shared" si="13"/>
        <v/>
      </c>
      <c r="AO373" s="267" t="str">
        <f t="shared" si="14"/>
        <v/>
      </c>
    </row>
    <row r="374" spans="39:41">
      <c r="AM374" s="266" t="str">
        <f t="shared" si="12"/>
        <v/>
      </c>
      <c r="AN374" s="267" t="str">
        <f t="shared" si="13"/>
        <v/>
      </c>
      <c r="AO374" s="267" t="str">
        <f t="shared" si="14"/>
        <v/>
      </c>
    </row>
    <row r="375" spans="39:41">
      <c r="AM375" s="266" t="str">
        <f t="shared" si="12"/>
        <v/>
      </c>
      <c r="AN375" s="267" t="str">
        <f t="shared" si="13"/>
        <v/>
      </c>
      <c r="AO375" s="267" t="str">
        <f t="shared" si="14"/>
        <v/>
      </c>
    </row>
    <row r="376" spans="39:41">
      <c r="AM376" s="266" t="str">
        <f t="shared" si="12"/>
        <v/>
      </c>
      <c r="AN376" s="267" t="str">
        <f t="shared" si="13"/>
        <v/>
      </c>
      <c r="AO376" s="267" t="str">
        <f t="shared" si="14"/>
        <v/>
      </c>
    </row>
    <row r="377" spans="39:41">
      <c r="AM377" s="266" t="str">
        <f t="shared" si="12"/>
        <v/>
      </c>
      <c r="AN377" s="267" t="str">
        <f t="shared" si="13"/>
        <v/>
      </c>
      <c r="AO377" s="267" t="str">
        <f t="shared" si="14"/>
        <v/>
      </c>
    </row>
    <row r="378" spans="39:41">
      <c r="AM378" s="266" t="str">
        <f t="shared" si="12"/>
        <v/>
      </c>
      <c r="AN378" s="267" t="str">
        <f t="shared" si="13"/>
        <v/>
      </c>
      <c r="AO378" s="267" t="str">
        <f t="shared" si="14"/>
        <v/>
      </c>
    </row>
    <row r="379" spans="39:41">
      <c r="AM379" s="266" t="str">
        <f t="shared" si="12"/>
        <v/>
      </c>
      <c r="AN379" s="267" t="str">
        <f t="shared" si="13"/>
        <v/>
      </c>
      <c r="AO379" s="267" t="str">
        <f t="shared" si="14"/>
        <v/>
      </c>
    </row>
    <row r="380" spans="39:41">
      <c r="AM380" s="266" t="str">
        <f t="shared" si="12"/>
        <v/>
      </c>
      <c r="AN380" s="267" t="str">
        <f t="shared" si="13"/>
        <v/>
      </c>
      <c r="AO380" s="267" t="str">
        <f t="shared" si="14"/>
        <v/>
      </c>
    </row>
    <row r="381" spans="39:41">
      <c r="AM381" s="266" t="str">
        <f t="shared" si="12"/>
        <v/>
      </c>
      <c r="AN381" s="267" t="str">
        <f t="shared" si="13"/>
        <v/>
      </c>
      <c r="AO381" s="267" t="str">
        <f t="shared" si="14"/>
        <v/>
      </c>
    </row>
    <row r="382" spans="39:41">
      <c r="AM382" s="266" t="str">
        <f t="shared" si="12"/>
        <v/>
      </c>
      <c r="AN382" s="267" t="str">
        <f t="shared" si="13"/>
        <v/>
      </c>
      <c r="AO382" s="267" t="str">
        <f t="shared" si="14"/>
        <v/>
      </c>
    </row>
    <row r="383" spans="39:41">
      <c r="AM383" s="266" t="str">
        <f t="shared" si="12"/>
        <v/>
      </c>
      <c r="AN383" s="267" t="str">
        <f t="shared" si="13"/>
        <v/>
      </c>
      <c r="AO383" s="267" t="str">
        <f t="shared" si="14"/>
        <v/>
      </c>
    </row>
    <row r="384" spans="39:41">
      <c r="AM384" s="266" t="str">
        <f t="shared" si="12"/>
        <v/>
      </c>
      <c r="AN384" s="267" t="str">
        <f t="shared" si="13"/>
        <v/>
      </c>
      <c r="AO384" s="267" t="str">
        <f t="shared" si="14"/>
        <v/>
      </c>
    </row>
    <row r="385" spans="39:41">
      <c r="AM385" s="266" t="str">
        <f t="shared" si="12"/>
        <v/>
      </c>
      <c r="AN385" s="267" t="str">
        <f t="shared" si="13"/>
        <v/>
      </c>
      <c r="AO385" s="267" t="str">
        <f t="shared" si="14"/>
        <v/>
      </c>
    </row>
    <row r="386" spans="39:41">
      <c r="AM386" s="266" t="str">
        <f t="shared" si="12"/>
        <v/>
      </c>
      <c r="AN386" s="267" t="str">
        <f t="shared" si="13"/>
        <v/>
      </c>
      <c r="AO386" s="267" t="str">
        <f t="shared" si="14"/>
        <v/>
      </c>
    </row>
    <row r="387" spans="39:41">
      <c r="AM387" s="266" t="str">
        <f t="shared" si="12"/>
        <v/>
      </c>
      <c r="AN387" s="267" t="str">
        <f t="shared" si="13"/>
        <v/>
      </c>
      <c r="AO387" s="267" t="str">
        <f t="shared" si="14"/>
        <v/>
      </c>
    </row>
    <row r="388" spans="39:41">
      <c r="AM388" s="266" t="str">
        <f t="shared" ref="AM388:AM451" si="15">IF(AK388,(AK388-AJ388)/(AD388-AG388),"")</f>
        <v/>
      </c>
      <c r="AN388" s="267" t="str">
        <f t="shared" ref="AN388:AN451" si="16">IF(AK388,(AK388-AJ388)/(AE388-AH388),"")</f>
        <v/>
      </c>
      <c r="AO388" s="267" t="str">
        <f t="shared" ref="AO388:AO451" si="17">IF(AK388,(AK388-AJ388)/(AF388-AI388),"")</f>
        <v/>
      </c>
    </row>
    <row r="389" spans="39:41">
      <c r="AM389" s="266" t="str">
        <f t="shared" si="15"/>
        <v/>
      </c>
      <c r="AN389" s="267" t="str">
        <f t="shared" si="16"/>
        <v/>
      </c>
      <c r="AO389" s="267" t="str">
        <f t="shared" si="17"/>
        <v/>
      </c>
    </row>
    <row r="390" spans="39:41">
      <c r="AM390" s="266" t="str">
        <f t="shared" si="15"/>
        <v/>
      </c>
      <c r="AN390" s="267" t="str">
        <f t="shared" si="16"/>
        <v/>
      </c>
      <c r="AO390" s="267" t="str">
        <f t="shared" si="17"/>
        <v/>
      </c>
    </row>
    <row r="391" spans="39:41">
      <c r="AM391" s="266" t="str">
        <f t="shared" si="15"/>
        <v/>
      </c>
      <c r="AN391" s="267" t="str">
        <f t="shared" si="16"/>
        <v/>
      </c>
      <c r="AO391" s="267" t="str">
        <f t="shared" si="17"/>
        <v/>
      </c>
    </row>
    <row r="392" spans="39:41">
      <c r="AM392" s="266" t="str">
        <f t="shared" si="15"/>
        <v/>
      </c>
      <c r="AN392" s="267" t="str">
        <f t="shared" si="16"/>
        <v/>
      </c>
      <c r="AO392" s="267" t="str">
        <f t="shared" si="17"/>
        <v/>
      </c>
    </row>
    <row r="393" spans="39:41">
      <c r="AM393" s="266" t="str">
        <f t="shared" si="15"/>
        <v/>
      </c>
      <c r="AN393" s="267" t="str">
        <f t="shared" si="16"/>
        <v/>
      </c>
      <c r="AO393" s="267" t="str">
        <f t="shared" si="17"/>
        <v/>
      </c>
    </row>
    <row r="394" spans="39:41">
      <c r="AM394" s="266" t="str">
        <f t="shared" si="15"/>
        <v/>
      </c>
      <c r="AN394" s="267" t="str">
        <f t="shared" si="16"/>
        <v/>
      </c>
      <c r="AO394" s="267" t="str">
        <f t="shared" si="17"/>
        <v/>
      </c>
    </row>
    <row r="395" spans="39:41">
      <c r="AM395" s="266" t="str">
        <f t="shared" si="15"/>
        <v/>
      </c>
      <c r="AN395" s="267" t="str">
        <f t="shared" si="16"/>
        <v/>
      </c>
      <c r="AO395" s="267" t="str">
        <f t="shared" si="17"/>
        <v/>
      </c>
    </row>
    <row r="396" spans="39:41">
      <c r="AM396" s="266" t="str">
        <f t="shared" si="15"/>
        <v/>
      </c>
      <c r="AN396" s="267" t="str">
        <f t="shared" si="16"/>
        <v/>
      </c>
      <c r="AO396" s="267" t="str">
        <f t="shared" si="17"/>
        <v/>
      </c>
    </row>
    <row r="397" spans="39:41">
      <c r="AM397" s="266" t="str">
        <f t="shared" si="15"/>
        <v/>
      </c>
      <c r="AN397" s="267" t="str">
        <f t="shared" si="16"/>
        <v/>
      </c>
      <c r="AO397" s="267" t="str">
        <f t="shared" si="17"/>
        <v/>
      </c>
    </row>
    <row r="398" spans="39:41">
      <c r="AM398" s="266" t="str">
        <f t="shared" si="15"/>
        <v/>
      </c>
      <c r="AN398" s="267" t="str">
        <f t="shared" si="16"/>
        <v/>
      </c>
      <c r="AO398" s="267" t="str">
        <f t="shared" si="17"/>
        <v/>
      </c>
    </row>
    <row r="399" spans="39:41">
      <c r="AM399" s="266" t="str">
        <f t="shared" si="15"/>
        <v/>
      </c>
      <c r="AN399" s="267" t="str">
        <f t="shared" si="16"/>
        <v/>
      </c>
      <c r="AO399" s="267" t="str">
        <f t="shared" si="17"/>
        <v/>
      </c>
    </row>
    <row r="400" spans="39:41">
      <c r="AM400" s="266" t="str">
        <f t="shared" si="15"/>
        <v/>
      </c>
      <c r="AN400" s="267" t="str">
        <f t="shared" si="16"/>
        <v/>
      </c>
      <c r="AO400" s="267" t="str">
        <f t="shared" si="17"/>
        <v/>
      </c>
    </row>
    <row r="401" spans="39:41">
      <c r="AM401" s="266" t="str">
        <f t="shared" si="15"/>
        <v/>
      </c>
      <c r="AN401" s="267" t="str">
        <f t="shared" si="16"/>
        <v/>
      </c>
      <c r="AO401" s="267" t="str">
        <f t="shared" si="17"/>
        <v/>
      </c>
    </row>
    <row r="402" spans="39:41">
      <c r="AM402" s="266" t="str">
        <f t="shared" si="15"/>
        <v/>
      </c>
      <c r="AN402" s="267" t="str">
        <f t="shared" si="16"/>
        <v/>
      </c>
      <c r="AO402" s="267" t="str">
        <f t="shared" si="17"/>
        <v/>
      </c>
    </row>
    <row r="403" spans="39:41">
      <c r="AM403" s="266" t="str">
        <f t="shared" si="15"/>
        <v/>
      </c>
      <c r="AN403" s="267" t="str">
        <f t="shared" si="16"/>
        <v/>
      </c>
      <c r="AO403" s="267" t="str">
        <f t="shared" si="17"/>
        <v/>
      </c>
    </row>
    <row r="404" spans="39:41">
      <c r="AM404" s="266" t="str">
        <f t="shared" si="15"/>
        <v/>
      </c>
      <c r="AN404" s="267" t="str">
        <f t="shared" si="16"/>
        <v/>
      </c>
      <c r="AO404" s="267" t="str">
        <f t="shared" si="17"/>
        <v/>
      </c>
    </row>
    <row r="405" spans="39:41">
      <c r="AM405" s="266" t="str">
        <f t="shared" si="15"/>
        <v/>
      </c>
      <c r="AN405" s="267" t="str">
        <f t="shared" si="16"/>
        <v/>
      </c>
      <c r="AO405" s="267" t="str">
        <f t="shared" si="17"/>
        <v/>
      </c>
    </row>
    <row r="406" spans="39:41">
      <c r="AM406" s="266" t="str">
        <f t="shared" si="15"/>
        <v/>
      </c>
      <c r="AN406" s="267" t="str">
        <f t="shared" si="16"/>
        <v/>
      </c>
      <c r="AO406" s="267" t="str">
        <f t="shared" si="17"/>
        <v/>
      </c>
    </row>
    <row r="407" spans="39:41">
      <c r="AM407" s="266" t="str">
        <f t="shared" si="15"/>
        <v/>
      </c>
      <c r="AN407" s="267" t="str">
        <f t="shared" si="16"/>
        <v/>
      </c>
      <c r="AO407" s="267" t="str">
        <f t="shared" si="17"/>
        <v/>
      </c>
    </row>
    <row r="408" spans="39:41">
      <c r="AM408" s="266" t="str">
        <f t="shared" si="15"/>
        <v/>
      </c>
      <c r="AN408" s="267" t="str">
        <f t="shared" si="16"/>
        <v/>
      </c>
      <c r="AO408" s="267" t="str">
        <f t="shared" si="17"/>
        <v/>
      </c>
    </row>
    <row r="409" spans="39:41">
      <c r="AM409" s="266" t="str">
        <f t="shared" si="15"/>
        <v/>
      </c>
      <c r="AN409" s="267" t="str">
        <f t="shared" si="16"/>
        <v/>
      </c>
      <c r="AO409" s="267" t="str">
        <f t="shared" si="17"/>
        <v/>
      </c>
    </row>
    <row r="410" spans="39:41">
      <c r="AM410" s="266" t="str">
        <f t="shared" si="15"/>
        <v/>
      </c>
      <c r="AN410" s="267" t="str">
        <f t="shared" si="16"/>
        <v/>
      </c>
      <c r="AO410" s="267" t="str">
        <f t="shared" si="17"/>
        <v/>
      </c>
    </row>
    <row r="411" spans="39:41">
      <c r="AM411" s="266" t="str">
        <f t="shared" si="15"/>
        <v/>
      </c>
      <c r="AN411" s="267" t="str">
        <f t="shared" si="16"/>
        <v/>
      </c>
      <c r="AO411" s="267" t="str">
        <f t="shared" si="17"/>
        <v/>
      </c>
    </row>
    <row r="412" spans="39:41">
      <c r="AM412" s="266" t="str">
        <f t="shared" si="15"/>
        <v/>
      </c>
      <c r="AN412" s="267" t="str">
        <f t="shared" si="16"/>
        <v/>
      </c>
      <c r="AO412" s="267" t="str">
        <f t="shared" si="17"/>
        <v/>
      </c>
    </row>
    <row r="413" spans="39:41">
      <c r="AM413" s="266" t="str">
        <f t="shared" si="15"/>
        <v/>
      </c>
      <c r="AN413" s="267" t="str">
        <f t="shared" si="16"/>
        <v/>
      </c>
      <c r="AO413" s="267" t="str">
        <f t="shared" si="17"/>
        <v/>
      </c>
    </row>
    <row r="414" spans="39:41">
      <c r="AM414" s="266" t="str">
        <f t="shared" si="15"/>
        <v/>
      </c>
      <c r="AN414" s="267" t="str">
        <f t="shared" si="16"/>
        <v/>
      </c>
      <c r="AO414" s="267" t="str">
        <f t="shared" si="17"/>
        <v/>
      </c>
    </row>
    <row r="415" spans="39:41">
      <c r="AM415" s="266" t="str">
        <f t="shared" si="15"/>
        <v/>
      </c>
      <c r="AN415" s="267" t="str">
        <f t="shared" si="16"/>
        <v/>
      </c>
      <c r="AO415" s="267" t="str">
        <f t="shared" si="17"/>
        <v/>
      </c>
    </row>
    <row r="416" spans="39:41">
      <c r="AM416" s="266" t="str">
        <f t="shared" si="15"/>
        <v/>
      </c>
      <c r="AN416" s="267" t="str">
        <f t="shared" si="16"/>
        <v/>
      </c>
      <c r="AO416" s="267" t="str">
        <f t="shared" si="17"/>
        <v/>
      </c>
    </row>
    <row r="417" spans="39:41">
      <c r="AM417" s="266" t="str">
        <f t="shared" si="15"/>
        <v/>
      </c>
      <c r="AN417" s="267" t="str">
        <f t="shared" si="16"/>
        <v/>
      </c>
      <c r="AO417" s="267" t="str">
        <f t="shared" si="17"/>
        <v/>
      </c>
    </row>
    <row r="418" spans="39:41">
      <c r="AM418" s="266" t="str">
        <f t="shared" si="15"/>
        <v/>
      </c>
      <c r="AN418" s="267" t="str">
        <f t="shared" si="16"/>
        <v/>
      </c>
      <c r="AO418" s="267" t="str">
        <f t="shared" si="17"/>
        <v/>
      </c>
    </row>
    <row r="419" spans="39:41">
      <c r="AM419" s="266" t="str">
        <f t="shared" si="15"/>
        <v/>
      </c>
      <c r="AN419" s="267" t="str">
        <f t="shared" si="16"/>
        <v/>
      </c>
      <c r="AO419" s="267" t="str">
        <f t="shared" si="17"/>
        <v/>
      </c>
    </row>
    <row r="420" spans="39:41">
      <c r="AM420" s="266" t="str">
        <f t="shared" si="15"/>
        <v/>
      </c>
      <c r="AN420" s="267" t="str">
        <f t="shared" si="16"/>
        <v/>
      </c>
      <c r="AO420" s="267" t="str">
        <f t="shared" si="17"/>
        <v/>
      </c>
    </row>
    <row r="421" spans="39:41">
      <c r="AM421" s="266" t="str">
        <f t="shared" si="15"/>
        <v/>
      </c>
      <c r="AN421" s="267" t="str">
        <f t="shared" si="16"/>
        <v/>
      </c>
      <c r="AO421" s="267" t="str">
        <f t="shared" si="17"/>
        <v/>
      </c>
    </row>
    <row r="422" spans="39:41">
      <c r="AM422" s="266" t="str">
        <f t="shared" si="15"/>
        <v/>
      </c>
      <c r="AN422" s="267" t="str">
        <f t="shared" si="16"/>
        <v/>
      </c>
      <c r="AO422" s="267" t="str">
        <f t="shared" si="17"/>
        <v/>
      </c>
    </row>
    <row r="423" spans="39:41">
      <c r="AM423" s="266" t="str">
        <f t="shared" si="15"/>
        <v/>
      </c>
      <c r="AN423" s="267" t="str">
        <f t="shared" si="16"/>
        <v/>
      </c>
      <c r="AO423" s="267" t="str">
        <f t="shared" si="17"/>
        <v/>
      </c>
    </row>
    <row r="424" spans="39:41">
      <c r="AM424" s="266" t="str">
        <f t="shared" si="15"/>
        <v/>
      </c>
      <c r="AN424" s="267" t="str">
        <f t="shared" si="16"/>
        <v/>
      </c>
      <c r="AO424" s="267" t="str">
        <f t="shared" si="17"/>
        <v/>
      </c>
    </row>
    <row r="425" spans="39:41">
      <c r="AM425" s="266" t="str">
        <f t="shared" si="15"/>
        <v/>
      </c>
      <c r="AN425" s="267" t="str">
        <f t="shared" si="16"/>
        <v/>
      </c>
      <c r="AO425" s="267" t="str">
        <f t="shared" si="17"/>
        <v/>
      </c>
    </row>
    <row r="426" spans="39:41">
      <c r="AM426" s="266" t="str">
        <f t="shared" si="15"/>
        <v/>
      </c>
      <c r="AN426" s="267" t="str">
        <f t="shared" si="16"/>
        <v/>
      </c>
      <c r="AO426" s="267" t="str">
        <f t="shared" si="17"/>
        <v/>
      </c>
    </row>
    <row r="427" spans="39:41">
      <c r="AM427" s="266" t="str">
        <f t="shared" si="15"/>
        <v/>
      </c>
      <c r="AN427" s="267" t="str">
        <f t="shared" si="16"/>
        <v/>
      </c>
      <c r="AO427" s="267" t="str">
        <f t="shared" si="17"/>
        <v/>
      </c>
    </row>
    <row r="428" spans="39:41">
      <c r="AM428" s="266" t="str">
        <f t="shared" si="15"/>
        <v/>
      </c>
      <c r="AN428" s="267" t="str">
        <f t="shared" si="16"/>
        <v/>
      </c>
      <c r="AO428" s="267" t="str">
        <f t="shared" si="17"/>
        <v/>
      </c>
    </row>
    <row r="429" spans="39:41">
      <c r="AM429" s="266" t="str">
        <f t="shared" si="15"/>
        <v/>
      </c>
      <c r="AN429" s="267" t="str">
        <f t="shared" si="16"/>
        <v/>
      </c>
      <c r="AO429" s="267" t="str">
        <f t="shared" si="17"/>
        <v/>
      </c>
    </row>
    <row r="430" spans="39:41">
      <c r="AM430" s="266" t="str">
        <f t="shared" si="15"/>
        <v/>
      </c>
      <c r="AN430" s="267" t="str">
        <f t="shared" si="16"/>
        <v/>
      </c>
      <c r="AO430" s="267" t="str">
        <f t="shared" si="17"/>
        <v/>
      </c>
    </row>
    <row r="431" spans="39:41">
      <c r="AM431" s="266" t="str">
        <f t="shared" si="15"/>
        <v/>
      </c>
      <c r="AN431" s="267" t="str">
        <f t="shared" si="16"/>
        <v/>
      </c>
      <c r="AO431" s="267" t="str">
        <f t="shared" si="17"/>
        <v/>
      </c>
    </row>
    <row r="432" spans="39:41">
      <c r="AM432" s="266" t="str">
        <f t="shared" si="15"/>
        <v/>
      </c>
      <c r="AN432" s="267" t="str">
        <f t="shared" si="16"/>
        <v/>
      </c>
      <c r="AO432" s="267" t="str">
        <f t="shared" si="17"/>
        <v/>
      </c>
    </row>
    <row r="433" spans="39:41">
      <c r="AM433" s="266" t="str">
        <f t="shared" si="15"/>
        <v/>
      </c>
      <c r="AN433" s="267" t="str">
        <f t="shared" si="16"/>
        <v/>
      </c>
      <c r="AO433" s="267" t="str">
        <f t="shared" si="17"/>
        <v/>
      </c>
    </row>
    <row r="434" spans="39:41">
      <c r="AM434" s="266" t="str">
        <f t="shared" si="15"/>
        <v/>
      </c>
      <c r="AN434" s="267" t="str">
        <f t="shared" si="16"/>
        <v/>
      </c>
      <c r="AO434" s="267" t="str">
        <f t="shared" si="17"/>
        <v/>
      </c>
    </row>
    <row r="435" spans="39:41">
      <c r="AM435" s="266" t="str">
        <f t="shared" si="15"/>
        <v/>
      </c>
      <c r="AN435" s="267" t="str">
        <f t="shared" si="16"/>
        <v/>
      </c>
      <c r="AO435" s="267" t="str">
        <f t="shared" si="17"/>
        <v/>
      </c>
    </row>
    <row r="436" spans="39:41">
      <c r="AM436" s="266" t="str">
        <f t="shared" si="15"/>
        <v/>
      </c>
      <c r="AN436" s="267" t="str">
        <f t="shared" si="16"/>
        <v/>
      </c>
      <c r="AO436" s="267" t="str">
        <f t="shared" si="17"/>
        <v/>
      </c>
    </row>
    <row r="437" spans="39:41">
      <c r="AM437" s="266" t="str">
        <f t="shared" si="15"/>
        <v/>
      </c>
      <c r="AN437" s="267" t="str">
        <f t="shared" si="16"/>
        <v/>
      </c>
      <c r="AO437" s="267" t="str">
        <f t="shared" si="17"/>
        <v/>
      </c>
    </row>
    <row r="438" spans="39:41">
      <c r="AM438" s="266" t="str">
        <f t="shared" si="15"/>
        <v/>
      </c>
      <c r="AN438" s="267" t="str">
        <f t="shared" si="16"/>
        <v/>
      </c>
      <c r="AO438" s="267" t="str">
        <f t="shared" si="17"/>
        <v/>
      </c>
    </row>
    <row r="439" spans="39:41">
      <c r="AM439" s="266" t="str">
        <f t="shared" si="15"/>
        <v/>
      </c>
      <c r="AN439" s="267" t="str">
        <f t="shared" si="16"/>
        <v/>
      </c>
      <c r="AO439" s="267" t="str">
        <f t="shared" si="17"/>
        <v/>
      </c>
    </row>
    <row r="440" spans="39:41">
      <c r="AM440" s="266" t="str">
        <f t="shared" si="15"/>
        <v/>
      </c>
      <c r="AN440" s="267" t="str">
        <f t="shared" si="16"/>
        <v/>
      </c>
      <c r="AO440" s="267" t="str">
        <f t="shared" si="17"/>
        <v/>
      </c>
    </row>
    <row r="441" spans="39:41">
      <c r="AM441" s="266" t="str">
        <f t="shared" si="15"/>
        <v/>
      </c>
      <c r="AN441" s="267" t="str">
        <f t="shared" si="16"/>
        <v/>
      </c>
      <c r="AO441" s="267" t="str">
        <f t="shared" si="17"/>
        <v/>
      </c>
    </row>
    <row r="442" spans="39:41">
      <c r="AM442" s="266" t="str">
        <f t="shared" si="15"/>
        <v/>
      </c>
      <c r="AN442" s="267" t="str">
        <f t="shared" si="16"/>
        <v/>
      </c>
      <c r="AO442" s="267" t="str">
        <f t="shared" si="17"/>
        <v/>
      </c>
    </row>
    <row r="443" spans="39:41">
      <c r="AM443" s="266" t="str">
        <f t="shared" si="15"/>
        <v/>
      </c>
      <c r="AN443" s="267" t="str">
        <f t="shared" si="16"/>
        <v/>
      </c>
      <c r="AO443" s="267" t="str">
        <f t="shared" si="17"/>
        <v/>
      </c>
    </row>
    <row r="444" spans="39:41">
      <c r="AM444" s="266" t="str">
        <f t="shared" si="15"/>
        <v/>
      </c>
      <c r="AN444" s="267" t="str">
        <f t="shared" si="16"/>
        <v/>
      </c>
      <c r="AO444" s="267" t="str">
        <f t="shared" si="17"/>
        <v/>
      </c>
    </row>
    <row r="445" spans="39:41">
      <c r="AM445" s="266" t="str">
        <f t="shared" si="15"/>
        <v/>
      </c>
      <c r="AN445" s="267" t="str">
        <f t="shared" si="16"/>
        <v/>
      </c>
      <c r="AO445" s="267" t="str">
        <f t="shared" si="17"/>
        <v/>
      </c>
    </row>
    <row r="446" spans="39:41">
      <c r="AM446" s="266" t="str">
        <f t="shared" si="15"/>
        <v/>
      </c>
      <c r="AN446" s="267" t="str">
        <f t="shared" si="16"/>
        <v/>
      </c>
      <c r="AO446" s="267" t="str">
        <f t="shared" si="17"/>
        <v/>
      </c>
    </row>
    <row r="447" spans="39:41">
      <c r="AM447" s="266" t="str">
        <f t="shared" si="15"/>
        <v/>
      </c>
      <c r="AN447" s="267" t="str">
        <f t="shared" si="16"/>
        <v/>
      </c>
      <c r="AO447" s="267" t="str">
        <f t="shared" si="17"/>
        <v/>
      </c>
    </row>
    <row r="448" spans="39:41">
      <c r="AM448" s="266" t="str">
        <f t="shared" si="15"/>
        <v/>
      </c>
      <c r="AN448" s="267" t="str">
        <f t="shared" si="16"/>
        <v/>
      </c>
      <c r="AO448" s="267" t="str">
        <f t="shared" si="17"/>
        <v/>
      </c>
    </row>
    <row r="449" spans="39:41">
      <c r="AM449" s="266" t="str">
        <f t="shared" si="15"/>
        <v/>
      </c>
      <c r="AN449" s="267" t="str">
        <f t="shared" si="16"/>
        <v/>
      </c>
      <c r="AO449" s="267" t="str">
        <f t="shared" si="17"/>
        <v/>
      </c>
    </row>
    <row r="450" spans="39:41">
      <c r="AM450" s="266" t="str">
        <f t="shared" si="15"/>
        <v/>
      </c>
      <c r="AN450" s="267" t="str">
        <f t="shared" si="16"/>
        <v/>
      </c>
      <c r="AO450" s="267" t="str">
        <f t="shared" si="17"/>
        <v/>
      </c>
    </row>
    <row r="451" spans="39:41">
      <c r="AM451" s="266" t="str">
        <f t="shared" si="15"/>
        <v/>
      </c>
      <c r="AN451" s="267" t="str">
        <f t="shared" si="16"/>
        <v/>
      </c>
      <c r="AO451" s="267" t="str">
        <f t="shared" si="17"/>
        <v/>
      </c>
    </row>
    <row r="452" spans="39:41">
      <c r="AM452" s="266" t="str">
        <f t="shared" ref="AM452:AM515" si="18">IF(AK452,(AK452-AJ452)/(AD452-AG452),"")</f>
        <v/>
      </c>
      <c r="AN452" s="267" t="str">
        <f t="shared" ref="AN452:AN515" si="19">IF(AK452,(AK452-AJ452)/(AE452-AH452),"")</f>
        <v/>
      </c>
      <c r="AO452" s="267" t="str">
        <f t="shared" ref="AO452:AO515" si="20">IF(AK452,(AK452-AJ452)/(AF452-AI452),"")</f>
        <v/>
      </c>
    </row>
    <row r="453" spans="39:41">
      <c r="AM453" s="266" t="str">
        <f t="shared" si="18"/>
        <v/>
      </c>
      <c r="AN453" s="267" t="str">
        <f t="shared" si="19"/>
        <v/>
      </c>
      <c r="AO453" s="267" t="str">
        <f t="shared" si="20"/>
        <v/>
      </c>
    </row>
    <row r="454" spans="39:41">
      <c r="AM454" s="266" t="str">
        <f t="shared" si="18"/>
        <v/>
      </c>
      <c r="AN454" s="267" t="str">
        <f t="shared" si="19"/>
        <v/>
      </c>
      <c r="AO454" s="267" t="str">
        <f t="shared" si="20"/>
        <v/>
      </c>
    </row>
    <row r="455" spans="39:41">
      <c r="AM455" s="266" t="str">
        <f t="shared" si="18"/>
        <v/>
      </c>
      <c r="AN455" s="267" t="str">
        <f t="shared" si="19"/>
        <v/>
      </c>
      <c r="AO455" s="267" t="str">
        <f t="shared" si="20"/>
        <v/>
      </c>
    </row>
    <row r="456" spans="39:41">
      <c r="AM456" s="266" t="str">
        <f t="shared" si="18"/>
        <v/>
      </c>
      <c r="AN456" s="267" t="str">
        <f t="shared" si="19"/>
        <v/>
      </c>
      <c r="AO456" s="267" t="str">
        <f t="shared" si="20"/>
        <v/>
      </c>
    </row>
    <row r="457" spans="39:41">
      <c r="AM457" s="266" t="str">
        <f t="shared" si="18"/>
        <v/>
      </c>
      <c r="AN457" s="267" t="str">
        <f t="shared" si="19"/>
        <v/>
      </c>
      <c r="AO457" s="267" t="str">
        <f t="shared" si="20"/>
        <v/>
      </c>
    </row>
    <row r="458" spans="39:41">
      <c r="AM458" s="266" t="str">
        <f t="shared" si="18"/>
        <v/>
      </c>
      <c r="AN458" s="267" t="str">
        <f t="shared" si="19"/>
        <v/>
      </c>
      <c r="AO458" s="267" t="str">
        <f t="shared" si="20"/>
        <v/>
      </c>
    </row>
    <row r="459" spans="39:41">
      <c r="AM459" s="266" t="str">
        <f t="shared" si="18"/>
        <v/>
      </c>
      <c r="AN459" s="267" t="str">
        <f t="shared" si="19"/>
        <v/>
      </c>
      <c r="AO459" s="267" t="str">
        <f t="shared" si="20"/>
        <v/>
      </c>
    </row>
    <row r="460" spans="39:41">
      <c r="AM460" s="266" t="str">
        <f t="shared" si="18"/>
        <v/>
      </c>
      <c r="AN460" s="267" t="str">
        <f t="shared" si="19"/>
        <v/>
      </c>
      <c r="AO460" s="267" t="str">
        <f t="shared" si="20"/>
        <v/>
      </c>
    </row>
    <row r="461" spans="39:41">
      <c r="AM461" s="266" t="str">
        <f t="shared" si="18"/>
        <v/>
      </c>
      <c r="AN461" s="267" t="str">
        <f t="shared" si="19"/>
        <v/>
      </c>
      <c r="AO461" s="267" t="str">
        <f t="shared" si="20"/>
        <v/>
      </c>
    </row>
    <row r="462" spans="39:41">
      <c r="AM462" s="266" t="str">
        <f t="shared" si="18"/>
        <v/>
      </c>
      <c r="AN462" s="267" t="str">
        <f t="shared" si="19"/>
        <v/>
      </c>
      <c r="AO462" s="267" t="str">
        <f t="shared" si="20"/>
        <v/>
      </c>
    </row>
    <row r="463" spans="39:41">
      <c r="AM463" s="266" t="str">
        <f t="shared" si="18"/>
        <v/>
      </c>
      <c r="AN463" s="267" t="str">
        <f t="shared" si="19"/>
        <v/>
      </c>
      <c r="AO463" s="267" t="str">
        <f t="shared" si="20"/>
        <v/>
      </c>
    </row>
    <row r="464" spans="39:41">
      <c r="AM464" s="266" t="str">
        <f t="shared" si="18"/>
        <v/>
      </c>
      <c r="AN464" s="267" t="str">
        <f t="shared" si="19"/>
        <v/>
      </c>
      <c r="AO464" s="267" t="str">
        <f t="shared" si="20"/>
        <v/>
      </c>
    </row>
    <row r="465" spans="39:41">
      <c r="AM465" s="266" t="str">
        <f t="shared" si="18"/>
        <v/>
      </c>
      <c r="AN465" s="267" t="str">
        <f t="shared" si="19"/>
        <v/>
      </c>
      <c r="AO465" s="267" t="str">
        <f t="shared" si="20"/>
        <v/>
      </c>
    </row>
    <row r="466" spans="39:41">
      <c r="AM466" s="266" t="str">
        <f t="shared" si="18"/>
        <v/>
      </c>
      <c r="AN466" s="267" t="str">
        <f t="shared" si="19"/>
        <v/>
      </c>
      <c r="AO466" s="267" t="str">
        <f t="shared" si="20"/>
        <v/>
      </c>
    </row>
    <row r="467" spans="39:41">
      <c r="AM467" s="266" t="str">
        <f t="shared" si="18"/>
        <v/>
      </c>
      <c r="AN467" s="267" t="str">
        <f t="shared" si="19"/>
        <v/>
      </c>
      <c r="AO467" s="267" t="str">
        <f t="shared" si="20"/>
        <v/>
      </c>
    </row>
    <row r="468" spans="39:41">
      <c r="AM468" s="266" t="str">
        <f t="shared" si="18"/>
        <v/>
      </c>
      <c r="AN468" s="267" t="str">
        <f t="shared" si="19"/>
        <v/>
      </c>
      <c r="AO468" s="267" t="str">
        <f t="shared" si="20"/>
        <v/>
      </c>
    </row>
    <row r="469" spans="39:41">
      <c r="AM469" s="266" t="str">
        <f t="shared" si="18"/>
        <v/>
      </c>
      <c r="AN469" s="267" t="str">
        <f t="shared" si="19"/>
        <v/>
      </c>
      <c r="AO469" s="267" t="str">
        <f t="shared" si="20"/>
        <v/>
      </c>
    </row>
    <row r="470" spans="39:41">
      <c r="AM470" s="266" t="str">
        <f t="shared" si="18"/>
        <v/>
      </c>
      <c r="AN470" s="267" t="str">
        <f t="shared" si="19"/>
        <v/>
      </c>
      <c r="AO470" s="267" t="str">
        <f t="shared" si="20"/>
        <v/>
      </c>
    </row>
    <row r="471" spans="39:41">
      <c r="AM471" s="266" t="str">
        <f t="shared" si="18"/>
        <v/>
      </c>
      <c r="AN471" s="267" t="str">
        <f t="shared" si="19"/>
        <v/>
      </c>
      <c r="AO471" s="267" t="str">
        <f t="shared" si="20"/>
        <v/>
      </c>
    </row>
    <row r="472" spans="39:41">
      <c r="AM472" s="266" t="str">
        <f t="shared" si="18"/>
        <v/>
      </c>
      <c r="AN472" s="267" t="str">
        <f t="shared" si="19"/>
        <v/>
      </c>
      <c r="AO472" s="267" t="str">
        <f t="shared" si="20"/>
        <v/>
      </c>
    </row>
    <row r="473" spans="39:41">
      <c r="AM473" s="266" t="str">
        <f t="shared" si="18"/>
        <v/>
      </c>
      <c r="AN473" s="267" t="str">
        <f t="shared" si="19"/>
        <v/>
      </c>
      <c r="AO473" s="267" t="str">
        <f t="shared" si="20"/>
        <v/>
      </c>
    </row>
    <row r="474" spans="39:41">
      <c r="AM474" s="266" t="str">
        <f t="shared" si="18"/>
        <v/>
      </c>
      <c r="AN474" s="267" t="str">
        <f t="shared" si="19"/>
        <v/>
      </c>
      <c r="AO474" s="267" t="str">
        <f t="shared" si="20"/>
        <v/>
      </c>
    </row>
    <row r="475" spans="39:41">
      <c r="AM475" s="266" t="str">
        <f t="shared" si="18"/>
        <v/>
      </c>
      <c r="AN475" s="267" t="str">
        <f t="shared" si="19"/>
        <v/>
      </c>
      <c r="AO475" s="267" t="str">
        <f t="shared" si="20"/>
        <v/>
      </c>
    </row>
    <row r="476" spans="39:41">
      <c r="AM476" s="266" t="str">
        <f t="shared" si="18"/>
        <v/>
      </c>
      <c r="AN476" s="267" t="str">
        <f t="shared" si="19"/>
        <v/>
      </c>
      <c r="AO476" s="267" t="str">
        <f t="shared" si="20"/>
        <v/>
      </c>
    </row>
    <row r="477" spans="39:41">
      <c r="AM477" s="266" t="str">
        <f t="shared" si="18"/>
        <v/>
      </c>
      <c r="AN477" s="267" t="str">
        <f t="shared" si="19"/>
        <v/>
      </c>
      <c r="AO477" s="267" t="str">
        <f t="shared" si="20"/>
        <v/>
      </c>
    </row>
    <row r="478" spans="39:41">
      <c r="AM478" s="266" t="str">
        <f t="shared" si="18"/>
        <v/>
      </c>
      <c r="AN478" s="267" t="str">
        <f t="shared" si="19"/>
        <v/>
      </c>
      <c r="AO478" s="267" t="str">
        <f t="shared" si="20"/>
        <v/>
      </c>
    </row>
    <row r="479" spans="39:41">
      <c r="AM479" s="266" t="str">
        <f t="shared" si="18"/>
        <v/>
      </c>
      <c r="AN479" s="267" t="str">
        <f t="shared" si="19"/>
        <v/>
      </c>
      <c r="AO479" s="267" t="str">
        <f t="shared" si="20"/>
        <v/>
      </c>
    </row>
    <row r="480" spans="39:41">
      <c r="AM480" s="266" t="str">
        <f t="shared" si="18"/>
        <v/>
      </c>
      <c r="AN480" s="267" t="str">
        <f t="shared" si="19"/>
        <v/>
      </c>
      <c r="AO480" s="267" t="str">
        <f t="shared" si="20"/>
        <v/>
      </c>
    </row>
    <row r="481" spans="39:41">
      <c r="AM481" s="266" t="str">
        <f t="shared" si="18"/>
        <v/>
      </c>
      <c r="AN481" s="267" t="str">
        <f t="shared" si="19"/>
        <v/>
      </c>
      <c r="AO481" s="267" t="str">
        <f t="shared" si="20"/>
        <v/>
      </c>
    </row>
    <row r="482" spans="39:41">
      <c r="AM482" s="266" t="str">
        <f t="shared" si="18"/>
        <v/>
      </c>
      <c r="AN482" s="267" t="str">
        <f t="shared" si="19"/>
        <v/>
      </c>
      <c r="AO482" s="267" t="str">
        <f t="shared" si="20"/>
        <v/>
      </c>
    </row>
    <row r="483" spans="39:41">
      <c r="AM483" s="266" t="str">
        <f t="shared" si="18"/>
        <v/>
      </c>
      <c r="AN483" s="267" t="str">
        <f t="shared" si="19"/>
        <v/>
      </c>
      <c r="AO483" s="267" t="str">
        <f t="shared" si="20"/>
        <v/>
      </c>
    </row>
    <row r="484" spans="39:41">
      <c r="AM484" s="266" t="str">
        <f t="shared" si="18"/>
        <v/>
      </c>
      <c r="AN484" s="267" t="str">
        <f t="shared" si="19"/>
        <v/>
      </c>
      <c r="AO484" s="267" t="str">
        <f t="shared" si="20"/>
        <v/>
      </c>
    </row>
    <row r="485" spans="39:41">
      <c r="AM485" s="266" t="str">
        <f t="shared" si="18"/>
        <v/>
      </c>
      <c r="AN485" s="267" t="str">
        <f t="shared" si="19"/>
        <v/>
      </c>
      <c r="AO485" s="267" t="str">
        <f t="shared" si="20"/>
        <v/>
      </c>
    </row>
    <row r="486" spans="39:41">
      <c r="AM486" s="266" t="str">
        <f t="shared" si="18"/>
        <v/>
      </c>
      <c r="AN486" s="267" t="str">
        <f t="shared" si="19"/>
        <v/>
      </c>
      <c r="AO486" s="267" t="str">
        <f t="shared" si="20"/>
        <v/>
      </c>
    </row>
    <row r="487" spans="39:41">
      <c r="AM487" s="266" t="str">
        <f t="shared" si="18"/>
        <v/>
      </c>
      <c r="AN487" s="267" t="str">
        <f t="shared" si="19"/>
        <v/>
      </c>
      <c r="AO487" s="267" t="str">
        <f t="shared" si="20"/>
        <v/>
      </c>
    </row>
    <row r="488" spans="39:41">
      <c r="AM488" s="266" t="str">
        <f t="shared" si="18"/>
        <v/>
      </c>
      <c r="AN488" s="267" t="str">
        <f t="shared" si="19"/>
        <v/>
      </c>
      <c r="AO488" s="267" t="str">
        <f t="shared" si="20"/>
        <v/>
      </c>
    </row>
    <row r="489" spans="39:41">
      <c r="AM489" s="266" t="str">
        <f t="shared" si="18"/>
        <v/>
      </c>
      <c r="AN489" s="267" t="str">
        <f t="shared" si="19"/>
        <v/>
      </c>
      <c r="AO489" s="267" t="str">
        <f t="shared" si="20"/>
        <v/>
      </c>
    </row>
    <row r="490" spans="39:41">
      <c r="AM490" s="266" t="str">
        <f t="shared" si="18"/>
        <v/>
      </c>
      <c r="AN490" s="267" t="str">
        <f t="shared" si="19"/>
        <v/>
      </c>
      <c r="AO490" s="267" t="str">
        <f t="shared" si="20"/>
        <v/>
      </c>
    </row>
    <row r="491" spans="39:41">
      <c r="AM491" s="266" t="str">
        <f t="shared" si="18"/>
        <v/>
      </c>
      <c r="AN491" s="267" t="str">
        <f t="shared" si="19"/>
        <v/>
      </c>
      <c r="AO491" s="267" t="str">
        <f t="shared" si="20"/>
        <v/>
      </c>
    </row>
    <row r="492" spans="39:41">
      <c r="AM492" s="266" t="str">
        <f t="shared" si="18"/>
        <v/>
      </c>
      <c r="AN492" s="267" t="str">
        <f t="shared" si="19"/>
        <v/>
      </c>
      <c r="AO492" s="267" t="str">
        <f t="shared" si="20"/>
        <v/>
      </c>
    </row>
    <row r="493" spans="39:41">
      <c r="AM493" s="266" t="str">
        <f t="shared" si="18"/>
        <v/>
      </c>
      <c r="AN493" s="267" t="str">
        <f t="shared" si="19"/>
        <v/>
      </c>
      <c r="AO493" s="267" t="str">
        <f t="shared" si="20"/>
        <v/>
      </c>
    </row>
    <row r="494" spans="39:41">
      <c r="AM494" s="266" t="str">
        <f t="shared" si="18"/>
        <v/>
      </c>
      <c r="AN494" s="267" t="str">
        <f t="shared" si="19"/>
        <v/>
      </c>
      <c r="AO494" s="267" t="str">
        <f t="shared" si="20"/>
        <v/>
      </c>
    </row>
    <row r="495" spans="39:41">
      <c r="AM495" s="266" t="str">
        <f t="shared" si="18"/>
        <v/>
      </c>
      <c r="AN495" s="267" t="str">
        <f t="shared" si="19"/>
        <v/>
      </c>
      <c r="AO495" s="267" t="str">
        <f t="shared" si="20"/>
        <v/>
      </c>
    </row>
    <row r="496" spans="39:41">
      <c r="AM496" s="266" t="str">
        <f t="shared" si="18"/>
        <v/>
      </c>
      <c r="AN496" s="267" t="str">
        <f t="shared" si="19"/>
        <v/>
      </c>
      <c r="AO496" s="267" t="str">
        <f t="shared" si="20"/>
        <v/>
      </c>
    </row>
    <row r="497" spans="39:41">
      <c r="AM497" s="266" t="str">
        <f t="shared" si="18"/>
        <v/>
      </c>
      <c r="AN497" s="267" t="str">
        <f t="shared" si="19"/>
        <v/>
      </c>
      <c r="AO497" s="267" t="str">
        <f t="shared" si="20"/>
        <v/>
      </c>
    </row>
    <row r="498" spans="39:41">
      <c r="AM498" s="266" t="str">
        <f t="shared" si="18"/>
        <v/>
      </c>
      <c r="AN498" s="267" t="str">
        <f t="shared" si="19"/>
        <v/>
      </c>
      <c r="AO498" s="267" t="str">
        <f t="shared" si="20"/>
        <v/>
      </c>
    </row>
    <row r="499" spans="39:41">
      <c r="AM499" s="266" t="str">
        <f t="shared" si="18"/>
        <v/>
      </c>
      <c r="AN499" s="267" t="str">
        <f t="shared" si="19"/>
        <v/>
      </c>
      <c r="AO499" s="267" t="str">
        <f t="shared" si="20"/>
        <v/>
      </c>
    </row>
    <row r="500" spans="39:41">
      <c r="AM500" s="266" t="str">
        <f t="shared" si="18"/>
        <v/>
      </c>
      <c r="AN500" s="267" t="str">
        <f t="shared" si="19"/>
        <v/>
      </c>
      <c r="AO500" s="267" t="str">
        <f t="shared" si="20"/>
        <v/>
      </c>
    </row>
    <row r="501" spans="39:41">
      <c r="AM501" s="266" t="str">
        <f t="shared" si="18"/>
        <v/>
      </c>
      <c r="AN501" s="267" t="str">
        <f t="shared" si="19"/>
        <v/>
      </c>
      <c r="AO501" s="267" t="str">
        <f t="shared" si="20"/>
        <v/>
      </c>
    </row>
    <row r="502" spans="39:41">
      <c r="AM502" s="266" t="str">
        <f t="shared" si="18"/>
        <v/>
      </c>
      <c r="AN502" s="267" t="str">
        <f t="shared" si="19"/>
        <v/>
      </c>
      <c r="AO502" s="267" t="str">
        <f t="shared" si="20"/>
        <v/>
      </c>
    </row>
    <row r="503" spans="39:41">
      <c r="AM503" s="266" t="str">
        <f t="shared" si="18"/>
        <v/>
      </c>
      <c r="AN503" s="267" t="str">
        <f t="shared" si="19"/>
        <v/>
      </c>
      <c r="AO503" s="267" t="str">
        <f t="shared" si="20"/>
        <v/>
      </c>
    </row>
    <row r="504" spans="39:41">
      <c r="AM504" s="266" t="str">
        <f t="shared" si="18"/>
        <v/>
      </c>
      <c r="AN504" s="267" t="str">
        <f t="shared" si="19"/>
        <v/>
      </c>
      <c r="AO504" s="267" t="str">
        <f t="shared" si="20"/>
        <v/>
      </c>
    </row>
    <row r="505" spans="39:41">
      <c r="AM505" s="266" t="str">
        <f t="shared" si="18"/>
        <v/>
      </c>
      <c r="AN505" s="267" t="str">
        <f t="shared" si="19"/>
        <v/>
      </c>
      <c r="AO505" s="267" t="str">
        <f t="shared" si="20"/>
        <v/>
      </c>
    </row>
    <row r="506" spans="39:41">
      <c r="AM506" s="266" t="str">
        <f t="shared" si="18"/>
        <v/>
      </c>
      <c r="AN506" s="267" t="str">
        <f t="shared" si="19"/>
        <v/>
      </c>
      <c r="AO506" s="267" t="str">
        <f t="shared" si="20"/>
        <v/>
      </c>
    </row>
    <row r="507" spans="39:41">
      <c r="AM507" s="266" t="str">
        <f t="shared" si="18"/>
        <v/>
      </c>
      <c r="AN507" s="267" t="str">
        <f t="shared" si="19"/>
        <v/>
      </c>
      <c r="AO507" s="267" t="str">
        <f t="shared" si="20"/>
        <v/>
      </c>
    </row>
    <row r="508" spans="39:41">
      <c r="AM508" s="266" t="str">
        <f t="shared" si="18"/>
        <v/>
      </c>
      <c r="AN508" s="267" t="str">
        <f t="shared" si="19"/>
        <v/>
      </c>
      <c r="AO508" s="267" t="str">
        <f t="shared" si="20"/>
        <v/>
      </c>
    </row>
    <row r="509" spans="39:41">
      <c r="AM509" s="266" t="str">
        <f t="shared" si="18"/>
        <v/>
      </c>
      <c r="AN509" s="267" t="str">
        <f t="shared" si="19"/>
        <v/>
      </c>
      <c r="AO509" s="267" t="str">
        <f t="shared" si="20"/>
        <v/>
      </c>
    </row>
    <row r="510" spans="39:41">
      <c r="AM510" s="266" t="str">
        <f t="shared" si="18"/>
        <v/>
      </c>
      <c r="AN510" s="267" t="str">
        <f t="shared" si="19"/>
        <v/>
      </c>
      <c r="AO510" s="267" t="str">
        <f t="shared" si="20"/>
        <v/>
      </c>
    </row>
    <row r="511" spans="39:41">
      <c r="AM511" s="266" t="str">
        <f t="shared" si="18"/>
        <v/>
      </c>
      <c r="AN511" s="267" t="str">
        <f t="shared" si="19"/>
        <v/>
      </c>
      <c r="AO511" s="267" t="str">
        <f t="shared" si="20"/>
        <v/>
      </c>
    </row>
    <row r="512" spans="39:41">
      <c r="AM512" s="266" t="str">
        <f t="shared" si="18"/>
        <v/>
      </c>
      <c r="AN512" s="267" t="str">
        <f t="shared" si="19"/>
        <v/>
      </c>
      <c r="AO512" s="267" t="str">
        <f t="shared" si="20"/>
        <v/>
      </c>
    </row>
    <row r="513" spans="39:41">
      <c r="AM513" s="266" t="str">
        <f t="shared" si="18"/>
        <v/>
      </c>
      <c r="AN513" s="267" t="str">
        <f t="shared" si="19"/>
        <v/>
      </c>
      <c r="AO513" s="267" t="str">
        <f t="shared" si="20"/>
        <v/>
      </c>
    </row>
    <row r="514" spans="39:41">
      <c r="AM514" s="266" t="str">
        <f t="shared" si="18"/>
        <v/>
      </c>
      <c r="AN514" s="267" t="str">
        <f t="shared" si="19"/>
        <v/>
      </c>
      <c r="AO514" s="267" t="str">
        <f t="shared" si="20"/>
        <v/>
      </c>
    </row>
    <row r="515" spans="39:41">
      <c r="AM515" s="266" t="str">
        <f t="shared" si="18"/>
        <v/>
      </c>
      <c r="AN515" s="267" t="str">
        <f t="shared" si="19"/>
        <v/>
      </c>
      <c r="AO515" s="267" t="str">
        <f t="shared" si="20"/>
        <v/>
      </c>
    </row>
    <row r="516" spans="39:41">
      <c r="AM516" s="266" t="str">
        <f t="shared" ref="AM516:AM579" si="21">IF(AK516,(AK516-AJ516)/(AD516-AG516),"")</f>
        <v/>
      </c>
      <c r="AN516" s="267" t="str">
        <f t="shared" ref="AN516:AN579" si="22">IF(AK516,(AK516-AJ516)/(AE516-AH516),"")</f>
        <v/>
      </c>
      <c r="AO516" s="267" t="str">
        <f t="shared" ref="AO516:AO579" si="23">IF(AK516,(AK516-AJ516)/(AF516-AI516),"")</f>
        <v/>
      </c>
    </row>
    <row r="517" spans="39:41">
      <c r="AM517" s="266" t="str">
        <f t="shared" si="21"/>
        <v/>
      </c>
      <c r="AN517" s="267" t="str">
        <f t="shared" si="22"/>
        <v/>
      </c>
      <c r="AO517" s="267" t="str">
        <f t="shared" si="23"/>
        <v/>
      </c>
    </row>
    <row r="518" spans="39:41">
      <c r="AM518" s="266" t="str">
        <f t="shared" si="21"/>
        <v/>
      </c>
      <c r="AN518" s="267" t="str">
        <f t="shared" si="22"/>
        <v/>
      </c>
      <c r="AO518" s="267" t="str">
        <f t="shared" si="23"/>
        <v/>
      </c>
    </row>
    <row r="519" spans="39:41">
      <c r="AM519" s="266" t="str">
        <f t="shared" si="21"/>
        <v/>
      </c>
      <c r="AN519" s="267" t="str">
        <f t="shared" si="22"/>
        <v/>
      </c>
      <c r="AO519" s="267" t="str">
        <f t="shared" si="23"/>
        <v/>
      </c>
    </row>
    <row r="520" spans="39:41">
      <c r="AM520" s="266" t="str">
        <f t="shared" si="21"/>
        <v/>
      </c>
      <c r="AN520" s="267" t="str">
        <f t="shared" si="22"/>
        <v/>
      </c>
      <c r="AO520" s="267" t="str">
        <f t="shared" si="23"/>
        <v/>
      </c>
    </row>
    <row r="521" spans="39:41">
      <c r="AM521" s="266" t="str">
        <f t="shared" si="21"/>
        <v/>
      </c>
      <c r="AN521" s="267" t="str">
        <f t="shared" si="22"/>
        <v/>
      </c>
      <c r="AO521" s="267" t="str">
        <f t="shared" si="23"/>
        <v/>
      </c>
    </row>
    <row r="522" spans="39:41">
      <c r="AM522" s="266" t="str">
        <f t="shared" si="21"/>
        <v/>
      </c>
      <c r="AN522" s="267" t="str">
        <f t="shared" si="22"/>
        <v/>
      </c>
      <c r="AO522" s="267" t="str">
        <f t="shared" si="23"/>
        <v/>
      </c>
    </row>
    <row r="523" spans="39:41">
      <c r="AM523" s="266" t="str">
        <f t="shared" si="21"/>
        <v/>
      </c>
      <c r="AN523" s="267" t="str">
        <f t="shared" si="22"/>
        <v/>
      </c>
      <c r="AO523" s="267" t="str">
        <f t="shared" si="23"/>
        <v/>
      </c>
    </row>
    <row r="524" spans="39:41">
      <c r="AM524" s="266" t="str">
        <f t="shared" si="21"/>
        <v/>
      </c>
      <c r="AN524" s="267" t="str">
        <f t="shared" si="22"/>
        <v/>
      </c>
      <c r="AO524" s="267" t="str">
        <f t="shared" si="23"/>
        <v/>
      </c>
    </row>
    <row r="525" spans="39:41">
      <c r="AM525" s="266" t="str">
        <f t="shared" si="21"/>
        <v/>
      </c>
      <c r="AN525" s="267" t="str">
        <f t="shared" si="22"/>
        <v/>
      </c>
      <c r="AO525" s="267" t="str">
        <f t="shared" si="23"/>
        <v/>
      </c>
    </row>
    <row r="526" spans="39:41">
      <c r="AM526" s="266" t="str">
        <f t="shared" si="21"/>
        <v/>
      </c>
      <c r="AN526" s="267" t="str">
        <f t="shared" si="22"/>
        <v/>
      </c>
      <c r="AO526" s="267" t="str">
        <f t="shared" si="23"/>
        <v/>
      </c>
    </row>
    <row r="527" spans="39:41">
      <c r="AM527" s="266" t="str">
        <f t="shared" si="21"/>
        <v/>
      </c>
      <c r="AN527" s="267" t="str">
        <f t="shared" si="22"/>
        <v/>
      </c>
      <c r="AO527" s="267" t="str">
        <f t="shared" si="23"/>
        <v/>
      </c>
    </row>
    <row r="528" spans="39:41">
      <c r="AM528" s="266" t="str">
        <f t="shared" si="21"/>
        <v/>
      </c>
      <c r="AN528" s="267" t="str">
        <f t="shared" si="22"/>
        <v/>
      </c>
      <c r="AO528" s="267" t="str">
        <f t="shared" si="23"/>
        <v/>
      </c>
    </row>
    <row r="529" spans="39:41">
      <c r="AM529" s="266" t="str">
        <f t="shared" si="21"/>
        <v/>
      </c>
      <c r="AN529" s="267" t="str">
        <f t="shared" si="22"/>
        <v/>
      </c>
      <c r="AO529" s="267" t="str">
        <f t="shared" si="23"/>
        <v/>
      </c>
    </row>
    <row r="530" spans="39:41">
      <c r="AM530" s="266" t="str">
        <f t="shared" si="21"/>
        <v/>
      </c>
      <c r="AN530" s="267" t="str">
        <f t="shared" si="22"/>
        <v/>
      </c>
      <c r="AO530" s="267" t="str">
        <f t="shared" si="23"/>
        <v/>
      </c>
    </row>
    <row r="531" spans="39:41">
      <c r="AM531" s="266" t="str">
        <f t="shared" si="21"/>
        <v/>
      </c>
      <c r="AN531" s="267" t="str">
        <f t="shared" si="22"/>
        <v/>
      </c>
      <c r="AO531" s="267" t="str">
        <f t="shared" si="23"/>
        <v/>
      </c>
    </row>
    <row r="532" spans="39:41">
      <c r="AM532" s="266" t="str">
        <f t="shared" si="21"/>
        <v/>
      </c>
      <c r="AN532" s="267" t="str">
        <f t="shared" si="22"/>
        <v/>
      </c>
      <c r="AO532" s="267" t="str">
        <f t="shared" si="23"/>
        <v/>
      </c>
    </row>
    <row r="533" spans="39:41">
      <c r="AM533" s="266" t="str">
        <f t="shared" si="21"/>
        <v/>
      </c>
      <c r="AN533" s="267" t="str">
        <f t="shared" si="22"/>
        <v/>
      </c>
      <c r="AO533" s="267" t="str">
        <f t="shared" si="23"/>
        <v/>
      </c>
    </row>
    <row r="534" spans="39:41">
      <c r="AM534" s="266" t="str">
        <f t="shared" si="21"/>
        <v/>
      </c>
      <c r="AN534" s="267" t="str">
        <f t="shared" si="22"/>
        <v/>
      </c>
      <c r="AO534" s="267" t="str">
        <f t="shared" si="23"/>
        <v/>
      </c>
    </row>
    <row r="535" spans="39:41">
      <c r="AM535" s="266" t="str">
        <f t="shared" si="21"/>
        <v/>
      </c>
      <c r="AN535" s="267" t="str">
        <f t="shared" si="22"/>
        <v/>
      </c>
      <c r="AO535" s="267" t="str">
        <f t="shared" si="23"/>
        <v/>
      </c>
    </row>
    <row r="536" spans="39:41">
      <c r="AM536" s="266" t="str">
        <f t="shared" si="21"/>
        <v/>
      </c>
      <c r="AN536" s="267" t="str">
        <f t="shared" si="22"/>
        <v/>
      </c>
      <c r="AO536" s="267" t="str">
        <f t="shared" si="23"/>
        <v/>
      </c>
    </row>
    <row r="537" spans="39:41">
      <c r="AM537" s="266" t="str">
        <f t="shared" si="21"/>
        <v/>
      </c>
      <c r="AN537" s="267" t="str">
        <f t="shared" si="22"/>
        <v/>
      </c>
      <c r="AO537" s="267" t="str">
        <f t="shared" si="23"/>
        <v/>
      </c>
    </row>
    <row r="538" spans="39:41">
      <c r="AM538" s="266" t="str">
        <f t="shared" si="21"/>
        <v/>
      </c>
      <c r="AN538" s="267" t="str">
        <f t="shared" si="22"/>
        <v/>
      </c>
      <c r="AO538" s="267" t="str">
        <f t="shared" si="23"/>
        <v/>
      </c>
    </row>
    <row r="539" spans="39:41">
      <c r="AM539" s="266" t="str">
        <f t="shared" si="21"/>
        <v/>
      </c>
      <c r="AN539" s="267" t="str">
        <f t="shared" si="22"/>
        <v/>
      </c>
      <c r="AO539" s="267" t="str">
        <f t="shared" si="23"/>
        <v/>
      </c>
    </row>
    <row r="540" spans="39:41">
      <c r="AM540" s="266" t="str">
        <f t="shared" si="21"/>
        <v/>
      </c>
      <c r="AN540" s="267" t="str">
        <f t="shared" si="22"/>
        <v/>
      </c>
      <c r="AO540" s="267" t="str">
        <f t="shared" si="23"/>
        <v/>
      </c>
    </row>
    <row r="541" spans="39:41">
      <c r="AM541" s="266" t="str">
        <f t="shared" si="21"/>
        <v/>
      </c>
      <c r="AN541" s="267" t="str">
        <f t="shared" si="22"/>
        <v/>
      </c>
      <c r="AO541" s="267" t="str">
        <f t="shared" si="23"/>
        <v/>
      </c>
    </row>
    <row r="542" spans="39:41">
      <c r="AM542" s="266" t="str">
        <f t="shared" si="21"/>
        <v/>
      </c>
      <c r="AN542" s="267" t="str">
        <f t="shared" si="22"/>
        <v/>
      </c>
      <c r="AO542" s="267" t="str">
        <f t="shared" si="23"/>
        <v/>
      </c>
    </row>
    <row r="543" spans="39:41">
      <c r="AM543" s="266" t="str">
        <f t="shared" si="21"/>
        <v/>
      </c>
      <c r="AN543" s="267" t="str">
        <f t="shared" si="22"/>
        <v/>
      </c>
      <c r="AO543" s="267" t="str">
        <f t="shared" si="23"/>
        <v/>
      </c>
    </row>
    <row r="544" spans="39:41">
      <c r="AM544" s="266" t="str">
        <f t="shared" si="21"/>
        <v/>
      </c>
      <c r="AN544" s="267" t="str">
        <f t="shared" si="22"/>
        <v/>
      </c>
      <c r="AO544" s="267" t="str">
        <f t="shared" si="23"/>
        <v/>
      </c>
    </row>
    <row r="545" spans="39:41">
      <c r="AM545" s="266" t="str">
        <f t="shared" si="21"/>
        <v/>
      </c>
      <c r="AN545" s="267" t="str">
        <f t="shared" si="22"/>
        <v/>
      </c>
      <c r="AO545" s="267" t="str">
        <f t="shared" si="23"/>
        <v/>
      </c>
    </row>
    <row r="546" spans="39:41">
      <c r="AM546" s="266" t="str">
        <f t="shared" si="21"/>
        <v/>
      </c>
      <c r="AN546" s="267" t="str">
        <f t="shared" si="22"/>
        <v/>
      </c>
      <c r="AO546" s="267" t="str">
        <f t="shared" si="23"/>
        <v/>
      </c>
    </row>
    <row r="547" spans="39:41">
      <c r="AM547" s="266" t="str">
        <f t="shared" si="21"/>
        <v/>
      </c>
      <c r="AN547" s="267" t="str">
        <f t="shared" si="22"/>
        <v/>
      </c>
      <c r="AO547" s="267" t="str">
        <f t="shared" si="23"/>
        <v/>
      </c>
    </row>
    <row r="548" spans="39:41">
      <c r="AM548" s="266" t="str">
        <f t="shared" si="21"/>
        <v/>
      </c>
      <c r="AN548" s="267" t="str">
        <f t="shared" si="22"/>
        <v/>
      </c>
      <c r="AO548" s="267" t="str">
        <f t="shared" si="23"/>
        <v/>
      </c>
    </row>
    <row r="549" spans="39:41">
      <c r="AM549" s="266" t="str">
        <f t="shared" si="21"/>
        <v/>
      </c>
      <c r="AN549" s="267" t="str">
        <f t="shared" si="22"/>
        <v/>
      </c>
      <c r="AO549" s="267" t="str">
        <f t="shared" si="23"/>
        <v/>
      </c>
    </row>
    <row r="550" spans="39:41">
      <c r="AM550" s="266" t="str">
        <f t="shared" si="21"/>
        <v/>
      </c>
      <c r="AN550" s="267" t="str">
        <f t="shared" si="22"/>
        <v/>
      </c>
      <c r="AO550" s="267" t="str">
        <f t="shared" si="23"/>
        <v/>
      </c>
    </row>
    <row r="551" spans="39:41">
      <c r="AM551" s="266" t="str">
        <f t="shared" si="21"/>
        <v/>
      </c>
      <c r="AN551" s="267" t="str">
        <f t="shared" si="22"/>
        <v/>
      </c>
      <c r="AO551" s="267" t="str">
        <f t="shared" si="23"/>
        <v/>
      </c>
    </row>
    <row r="552" spans="39:41">
      <c r="AM552" s="266" t="str">
        <f t="shared" si="21"/>
        <v/>
      </c>
      <c r="AN552" s="267" t="str">
        <f t="shared" si="22"/>
        <v/>
      </c>
      <c r="AO552" s="267" t="str">
        <f t="shared" si="23"/>
        <v/>
      </c>
    </row>
    <row r="553" spans="39:41">
      <c r="AM553" s="266" t="str">
        <f t="shared" si="21"/>
        <v/>
      </c>
      <c r="AN553" s="267" t="str">
        <f t="shared" si="22"/>
        <v/>
      </c>
      <c r="AO553" s="267" t="str">
        <f t="shared" si="23"/>
        <v/>
      </c>
    </row>
    <row r="554" spans="39:41">
      <c r="AM554" s="266" t="str">
        <f t="shared" si="21"/>
        <v/>
      </c>
      <c r="AN554" s="267" t="str">
        <f t="shared" si="22"/>
        <v/>
      </c>
      <c r="AO554" s="267" t="str">
        <f t="shared" si="23"/>
        <v/>
      </c>
    </row>
    <row r="555" spans="39:41">
      <c r="AM555" s="266" t="str">
        <f t="shared" si="21"/>
        <v/>
      </c>
      <c r="AN555" s="267" t="str">
        <f t="shared" si="22"/>
        <v/>
      </c>
      <c r="AO555" s="267" t="str">
        <f t="shared" si="23"/>
        <v/>
      </c>
    </row>
    <row r="556" spans="39:41">
      <c r="AM556" s="266" t="str">
        <f t="shared" si="21"/>
        <v/>
      </c>
      <c r="AN556" s="267" t="str">
        <f t="shared" si="22"/>
        <v/>
      </c>
      <c r="AO556" s="267" t="str">
        <f t="shared" si="23"/>
        <v/>
      </c>
    </row>
    <row r="557" spans="39:41">
      <c r="AM557" s="266" t="str">
        <f t="shared" si="21"/>
        <v/>
      </c>
      <c r="AN557" s="267" t="str">
        <f t="shared" si="22"/>
        <v/>
      </c>
      <c r="AO557" s="267" t="str">
        <f t="shared" si="23"/>
        <v/>
      </c>
    </row>
    <row r="558" spans="39:41">
      <c r="AM558" s="266" t="str">
        <f t="shared" si="21"/>
        <v/>
      </c>
      <c r="AN558" s="267" t="str">
        <f t="shared" si="22"/>
        <v/>
      </c>
      <c r="AO558" s="267" t="str">
        <f t="shared" si="23"/>
        <v/>
      </c>
    </row>
    <row r="559" spans="39:41">
      <c r="AM559" s="266" t="str">
        <f t="shared" si="21"/>
        <v/>
      </c>
      <c r="AN559" s="267" t="str">
        <f t="shared" si="22"/>
        <v/>
      </c>
      <c r="AO559" s="267" t="str">
        <f t="shared" si="23"/>
        <v/>
      </c>
    </row>
    <row r="560" spans="39:41">
      <c r="AM560" s="266" t="str">
        <f t="shared" si="21"/>
        <v/>
      </c>
      <c r="AN560" s="267" t="str">
        <f t="shared" si="22"/>
        <v/>
      </c>
      <c r="AO560" s="267" t="str">
        <f t="shared" si="23"/>
        <v/>
      </c>
    </row>
    <row r="561" spans="39:41">
      <c r="AM561" s="266" t="str">
        <f t="shared" si="21"/>
        <v/>
      </c>
      <c r="AN561" s="267" t="str">
        <f t="shared" si="22"/>
        <v/>
      </c>
      <c r="AO561" s="267" t="str">
        <f t="shared" si="23"/>
        <v/>
      </c>
    </row>
    <row r="562" spans="39:41">
      <c r="AM562" s="266" t="str">
        <f t="shared" si="21"/>
        <v/>
      </c>
      <c r="AN562" s="267" t="str">
        <f t="shared" si="22"/>
        <v/>
      </c>
      <c r="AO562" s="267" t="str">
        <f t="shared" si="23"/>
        <v/>
      </c>
    </row>
    <row r="563" spans="39:41">
      <c r="AM563" s="266" t="str">
        <f t="shared" si="21"/>
        <v/>
      </c>
      <c r="AN563" s="267" t="str">
        <f t="shared" si="22"/>
        <v/>
      </c>
      <c r="AO563" s="267" t="str">
        <f t="shared" si="23"/>
        <v/>
      </c>
    </row>
    <row r="564" spans="39:41">
      <c r="AM564" s="266" t="str">
        <f t="shared" si="21"/>
        <v/>
      </c>
      <c r="AN564" s="267" t="str">
        <f t="shared" si="22"/>
        <v/>
      </c>
      <c r="AO564" s="267" t="str">
        <f t="shared" si="23"/>
        <v/>
      </c>
    </row>
    <row r="565" spans="39:41">
      <c r="AM565" s="266" t="str">
        <f t="shared" si="21"/>
        <v/>
      </c>
      <c r="AN565" s="267" t="str">
        <f t="shared" si="22"/>
        <v/>
      </c>
      <c r="AO565" s="267" t="str">
        <f t="shared" si="23"/>
        <v/>
      </c>
    </row>
    <row r="566" spans="39:41">
      <c r="AM566" s="266" t="str">
        <f t="shared" si="21"/>
        <v/>
      </c>
      <c r="AN566" s="267" t="str">
        <f t="shared" si="22"/>
        <v/>
      </c>
      <c r="AO566" s="267" t="str">
        <f t="shared" si="23"/>
        <v/>
      </c>
    </row>
    <row r="567" spans="39:41">
      <c r="AM567" s="266" t="str">
        <f t="shared" si="21"/>
        <v/>
      </c>
      <c r="AN567" s="267" t="str">
        <f t="shared" si="22"/>
        <v/>
      </c>
      <c r="AO567" s="267" t="str">
        <f t="shared" si="23"/>
        <v/>
      </c>
    </row>
    <row r="568" spans="39:41">
      <c r="AM568" s="266" t="str">
        <f t="shared" si="21"/>
        <v/>
      </c>
      <c r="AN568" s="267" t="str">
        <f t="shared" si="22"/>
        <v/>
      </c>
      <c r="AO568" s="267" t="str">
        <f t="shared" si="23"/>
        <v/>
      </c>
    </row>
    <row r="569" spans="39:41">
      <c r="AM569" s="266" t="str">
        <f t="shared" si="21"/>
        <v/>
      </c>
      <c r="AN569" s="267" t="str">
        <f t="shared" si="22"/>
        <v/>
      </c>
      <c r="AO569" s="267" t="str">
        <f t="shared" si="23"/>
        <v/>
      </c>
    </row>
    <row r="570" spans="39:41">
      <c r="AM570" s="266" t="str">
        <f t="shared" si="21"/>
        <v/>
      </c>
      <c r="AN570" s="267" t="str">
        <f t="shared" si="22"/>
        <v/>
      </c>
      <c r="AO570" s="267" t="str">
        <f t="shared" si="23"/>
        <v/>
      </c>
    </row>
    <row r="571" spans="39:41">
      <c r="AM571" s="266" t="str">
        <f t="shared" si="21"/>
        <v/>
      </c>
      <c r="AN571" s="267" t="str">
        <f t="shared" si="22"/>
        <v/>
      </c>
      <c r="AO571" s="267" t="str">
        <f t="shared" si="23"/>
        <v/>
      </c>
    </row>
    <row r="572" spans="39:41">
      <c r="AM572" s="266" t="str">
        <f t="shared" si="21"/>
        <v/>
      </c>
      <c r="AN572" s="267" t="str">
        <f t="shared" si="22"/>
        <v/>
      </c>
      <c r="AO572" s="267" t="str">
        <f t="shared" si="23"/>
        <v/>
      </c>
    </row>
    <row r="573" spans="39:41">
      <c r="AM573" s="266" t="str">
        <f t="shared" si="21"/>
        <v/>
      </c>
      <c r="AN573" s="267" t="str">
        <f t="shared" si="22"/>
        <v/>
      </c>
      <c r="AO573" s="267" t="str">
        <f t="shared" si="23"/>
        <v/>
      </c>
    </row>
    <row r="574" spans="39:41">
      <c r="AM574" s="266" t="str">
        <f t="shared" si="21"/>
        <v/>
      </c>
      <c r="AN574" s="267" t="str">
        <f t="shared" si="22"/>
        <v/>
      </c>
      <c r="AO574" s="267" t="str">
        <f t="shared" si="23"/>
        <v/>
      </c>
    </row>
    <row r="575" spans="39:41">
      <c r="AM575" s="266" t="str">
        <f t="shared" si="21"/>
        <v/>
      </c>
      <c r="AN575" s="267" t="str">
        <f t="shared" si="22"/>
        <v/>
      </c>
      <c r="AO575" s="267" t="str">
        <f t="shared" si="23"/>
        <v/>
      </c>
    </row>
    <row r="576" spans="39:41">
      <c r="AM576" s="266" t="str">
        <f t="shared" si="21"/>
        <v/>
      </c>
      <c r="AN576" s="267" t="str">
        <f t="shared" si="22"/>
        <v/>
      </c>
      <c r="AO576" s="267" t="str">
        <f t="shared" si="23"/>
        <v/>
      </c>
    </row>
    <row r="577" spans="39:41">
      <c r="AM577" s="266" t="str">
        <f t="shared" si="21"/>
        <v/>
      </c>
      <c r="AN577" s="267" t="str">
        <f t="shared" si="22"/>
        <v/>
      </c>
      <c r="AO577" s="267" t="str">
        <f t="shared" si="23"/>
        <v/>
      </c>
    </row>
    <row r="578" spans="39:41">
      <c r="AM578" s="266" t="str">
        <f t="shared" si="21"/>
        <v/>
      </c>
      <c r="AN578" s="267" t="str">
        <f t="shared" si="22"/>
        <v/>
      </c>
      <c r="AO578" s="267" t="str">
        <f t="shared" si="23"/>
        <v/>
      </c>
    </row>
    <row r="579" spans="39:41">
      <c r="AM579" s="266" t="str">
        <f t="shared" si="21"/>
        <v/>
      </c>
      <c r="AN579" s="267" t="str">
        <f t="shared" si="22"/>
        <v/>
      </c>
      <c r="AO579" s="267" t="str">
        <f t="shared" si="23"/>
        <v/>
      </c>
    </row>
    <row r="580" spans="39:41">
      <c r="AM580" s="266" t="str">
        <f t="shared" ref="AM580:AM643" si="24">IF(AK580,(AK580-AJ580)/(AD580-AG580),"")</f>
        <v/>
      </c>
      <c r="AN580" s="267" t="str">
        <f t="shared" ref="AN580:AN643" si="25">IF(AK580,(AK580-AJ580)/(AE580-AH580),"")</f>
        <v/>
      </c>
      <c r="AO580" s="267" t="str">
        <f t="shared" ref="AO580:AO643" si="26">IF(AK580,(AK580-AJ580)/(AF580-AI580),"")</f>
        <v/>
      </c>
    </row>
    <row r="581" spans="39:41">
      <c r="AM581" s="266" t="str">
        <f t="shared" si="24"/>
        <v/>
      </c>
      <c r="AN581" s="267" t="str">
        <f t="shared" si="25"/>
        <v/>
      </c>
      <c r="AO581" s="267" t="str">
        <f t="shared" si="26"/>
        <v/>
      </c>
    </row>
    <row r="582" spans="39:41">
      <c r="AM582" s="266" t="str">
        <f t="shared" si="24"/>
        <v/>
      </c>
      <c r="AN582" s="267" t="str">
        <f t="shared" si="25"/>
        <v/>
      </c>
      <c r="AO582" s="267" t="str">
        <f t="shared" si="26"/>
        <v/>
      </c>
    </row>
    <row r="583" spans="39:41">
      <c r="AM583" s="266" t="str">
        <f t="shared" si="24"/>
        <v/>
      </c>
      <c r="AN583" s="267" t="str">
        <f t="shared" si="25"/>
        <v/>
      </c>
      <c r="AO583" s="267" t="str">
        <f t="shared" si="26"/>
        <v/>
      </c>
    </row>
    <row r="584" spans="39:41">
      <c r="AM584" s="266" t="str">
        <f t="shared" si="24"/>
        <v/>
      </c>
      <c r="AN584" s="267" t="str">
        <f t="shared" si="25"/>
        <v/>
      </c>
      <c r="AO584" s="267" t="str">
        <f t="shared" si="26"/>
        <v/>
      </c>
    </row>
    <row r="585" spans="39:41">
      <c r="AM585" s="266" t="str">
        <f t="shared" si="24"/>
        <v/>
      </c>
      <c r="AN585" s="267" t="str">
        <f t="shared" si="25"/>
        <v/>
      </c>
      <c r="AO585" s="267" t="str">
        <f t="shared" si="26"/>
        <v/>
      </c>
    </row>
    <row r="586" spans="39:41">
      <c r="AM586" s="266" t="str">
        <f t="shared" si="24"/>
        <v/>
      </c>
      <c r="AN586" s="267" t="str">
        <f t="shared" si="25"/>
        <v/>
      </c>
      <c r="AO586" s="267" t="str">
        <f t="shared" si="26"/>
        <v/>
      </c>
    </row>
    <row r="587" spans="39:41">
      <c r="AM587" s="266" t="str">
        <f t="shared" si="24"/>
        <v/>
      </c>
      <c r="AN587" s="267" t="str">
        <f t="shared" si="25"/>
        <v/>
      </c>
      <c r="AO587" s="267" t="str">
        <f t="shared" si="26"/>
        <v/>
      </c>
    </row>
    <row r="588" spans="39:41">
      <c r="AM588" s="266" t="str">
        <f t="shared" si="24"/>
        <v/>
      </c>
      <c r="AN588" s="267" t="str">
        <f t="shared" si="25"/>
        <v/>
      </c>
      <c r="AO588" s="267" t="str">
        <f t="shared" si="26"/>
        <v/>
      </c>
    </row>
    <row r="589" spans="39:41">
      <c r="AM589" s="266" t="str">
        <f t="shared" si="24"/>
        <v/>
      </c>
      <c r="AN589" s="267" t="str">
        <f t="shared" si="25"/>
        <v/>
      </c>
      <c r="AO589" s="267" t="str">
        <f t="shared" si="26"/>
        <v/>
      </c>
    </row>
    <row r="590" spans="39:41">
      <c r="AM590" s="266" t="str">
        <f t="shared" si="24"/>
        <v/>
      </c>
      <c r="AN590" s="267" t="str">
        <f t="shared" si="25"/>
        <v/>
      </c>
      <c r="AO590" s="267" t="str">
        <f t="shared" si="26"/>
        <v/>
      </c>
    </row>
    <row r="591" spans="39:41">
      <c r="AM591" s="266" t="str">
        <f t="shared" si="24"/>
        <v/>
      </c>
      <c r="AN591" s="267" t="str">
        <f t="shared" si="25"/>
        <v/>
      </c>
      <c r="AO591" s="267" t="str">
        <f t="shared" si="26"/>
        <v/>
      </c>
    </row>
    <row r="592" spans="39:41">
      <c r="AM592" s="266" t="str">
        <f t="shared" si="24"/>
        <v/>
      </c>
      <c r="AN592" s="267" t="str">
        <f t="shared" si="25"/>
        <v/>
      </c>
      <c r="AO592" s="267" t="str">
        <f t="shared" si="26"/>
        <v/>
      </c>
    </row>
    <row r="593" spans="39:41">
      <c r="AM593" s="266" t="str">
        <f t="shared" si="24"/>
        <v/>
      </c>
      <c r="AN593" s="267" t="str">
        <f t="shared" si="25"/>
        <v/>
      </c>
      <c r="AO593" s="267" t="str">
        <f t="shared" si="26"/>
        <v/>
      </c>
    </row>
    <row r="594" spans="39:41">
      <c r="AM594" s="266" t="str">
        <f t="shared" si="24"/>
        <v/>
      </c>
      <c r="AN594" s="267" t="str">
        <f t="shared" si="25"/>
        <v/>
      </c>
      <c r="AO594" s="267" t="str">
        <f t="shared" si="26"/>
        <v/>
      </c>
    </row>
    <row r="595" spans="39:41">
      <c r="AM595" s="266" t="str">
        <f t="shared" si="24"/>
        <v/>
      </c>
      <c r="AN595" s="267" t="str">
        <f t="shared" si="25"/>
        <v/>
      </c>
      <c r="AO595" s="267" t="str">
        <f t="shared" si="26"/>
        <v/>
      </c>
    </row>
    <row r="596" spans="39:41">
      <c r="AM596" s="266" t="str">
        <f t="shared" si="24"/>
        <v/>
      </c>
      <c r="AN596" s="267" t="str">
        <f t="shared" si="25"/>
        <v/>
      </c>
      <c r="AO596" s="267" t="str">
        <f t="shared" si="26"/>
        <v/>
      </c>
    </row>
    <row r="597" spans="39:41">
      <c r="AM597" s="266" t="str">
        <f t="shared" si="24"/>
        <v/>
      </c>
      <c r="AN597" s="267" t="str">
        <f t="shared" si="25"/>
        <v/>
      </c>
      <c r="AO597" s="267" t="str">
        <f t="shared" si="26"/>
        <v/>
      </c>
    </row>
    <row r="598" spans="39:41">
      <c r="AM598" s="266" t="str">
        <f t="shared" si="24"/>
        <v/>
      </c>
      <c r="AN598" s="267" t="str">
        <f t="shared" si="25"/>
        <v/>
      </c>
      <c r="AO598" s="267" t="str">
        <f t="shared" si="26"/>
        <v/>
      </c>
    </row>
    <row r="599" spans="39:41">
      <c r="AM599" s="266" t="str">
        <f t="shared" si="24"/>
        <v/>
      </c>
      <c r="AN599" s="267" t="str">
        <f t="shared" si="25"/>
        <v/>
      </c>
      <c r="AO599" s="267" t="str">
        <f t="shared" si="26"/>
        <v/>
      </c>
    </row>
    <row r="600" spans="39:41">
      <c r="AM600" s="266" t="str">
        <f t="shared" si="24"/>
        <v/>
      </c>
      <c r="AN600" s="267" t="str">
        <f t="shared" si="25"/>
        <v/>
      </c>
      <c r="AO600" s="267" t="str">
        <f t="shared" si="26"/>
        <v/>
      </c>
    </row>
    <row r="601" spans="39:41">
      <c r="AM601" s="266" t="str">
        <f t="shared" si="24"/>
        <v/>
      </c>
      <c r="AN601" s="267" t="str">
        <f t="shared" si="25"/>
        <v/>
      </c>
      <c r="AO601" s="267" t="str">
        <f t="shared" si="26"/>
        <v/>
      </c>
    </row>
    <row r="602" spans="39:41">
      <c r="AM602" s="266" t="str">
        <f t="shared" si="24"/>
        <v/>
      </c>
      <c r="AN602" s="267" t="str">
        <f t="shared" si="25"/>
        <v/>
      </c>
      <c r="AO602" s="267" t="str">
        <f t="shared" si="26"/>
        <v/>
      </c>
    </row>
    <row r="603" spans="39:41">
      <c r="AM603" s="266" t="str">
        <f t="shared" si="24"/>
        <v/>
      </c>
      <c r="AN603" s="267" t="str">
        <f t="shared" si="25"/>
        <v/>
      </c>
      <c r="AO603" s="267" t="str">
        <f t="shared" si="26"/>
        <v/>
      </c>
    </row>
    <row r="604" spans="39:41">
      <c r="AM604" s="266" t="str">
        <f t="shared" si="24"/>
        <v/>
      </c>
      <c r="AN604" s="267" t="str">
        <f t="shared" si="25"/>
        <v/>
      </c>
      <c r="AO604" s="267" t="str">
        <f t="shared" si="26"/>
        <v/>
      </c>
    </row>
    <row r="605" spans="39:41">
      <c r="AM605" s="266" t="str">
        <f t="shared" si="24"/>
        <v/>
      </c>
      <c r="AN605" s="267" t="str">
        <f t="shared" si="25"/>
        <v/>
      </c>
      <c r="AO605" s="267" t="str">
        <f t="shared" si="26"/>
        <v/>
      </c>
    </row>
    <row r="606" spans="39:41">
      <c r="AM606" s="266" t="str">
        <f t="shared" si="24"/>
        <v/>
      </c>
      <c r="AN606" s="267" t="str">
        <f t="shared" si="25"/>
        <v/>
      </c>
      <c r="AO606" s="267" t="str">
        <f t="shared" si="26"/>
        <v/>
      </c>
    </row>
    <row r="607" spans="39:41">
      <c r="AM607" s="266" t="str">
        <f t="shared" si="24"/>
        <v/>
      </c>
      <c r="AN607" s="267" t="str">
        <f t="shared" si="25"/>
        <v/>
      </c>
      <c r="AO607" s="267" t="str">
        <f t="shared" si="26"/>
        <v/>
      </c>
    </row>
    <row r="608" spans="39:41">
      <c r="AM608" s="266" t="str">
        <f t="shared" si="24"/>
        <v/>
      </c>
      <c r="AN608" s="267" t="str">
        <f t="shared" si="25"/>
        <v/>
      </c>
      <c r="AO608" s="267" t="str">
        <f t="shared" si="26"/>
        <v/>
      </c>
    </row>
    <row r="609" spans="39:41">
      <c r="AM609" s="266" t="str">
        <f t="shared" si="24"/>
        <v/>
      </c>
      <c r="AN609" s="267" t="str">
        <f t="shared" si="25"/>
        <v/>
      </c>
      <c r="AO609" s="267" t="str">
        <f t="shared" si="26"/>
        <v/>
      </c>
    </row>
    <row r="610" spans="39:41">
      <c r="AM610" s="266" t="str">
        <f t="shared" si="24"/>
        <v/>
      </c>
      <c r="AN610" s="267" t="str">
        <f t="shared" si="25"/>
        <v/>
      </c>
      <c r="AO610" s="267" t="str">
        <f t="shared" si="26"/>
        <v/>
      </c>
    </row>
    <row r="611" spans="39:41">
      <c r="AM611" s="266" t="str">
        <f t="shared" si="24"/>
        <v/>
      </c>
      <c r="AN611" s="267" t="str">
        <f t="shared" si="25"/>
        <v/>
      </c>
      <c r="AO611" s="267" t="str">
        <f t="shared" si="26"/>
        <v/>
      </c>
    </row>
    <row r="612" spans="39:41">
      <c r="AM612" s="266" t="str">
        <f t="shared" si="24"/>
        <v/>
      </c>
      <c r="AN612" s="267" t="str">
        <f t="shared" si="25"/>
        <v/>
      </c>
      <c r="AO612" s="267" t="str">
        <f t="shared" si="26"/>
        <v/>
      </c>
    </row>
    <row r="613" spans="39:41">
      <c r="AM613" s="266" t="str">
        <f t="shared" si="24"/>
        <v/>
      </c>
      <c r="AN613" s="267" t="str">
        <f t="shared" si="25"/>
        <v/>
      </c>
      <c r="AO613" s="267" t="str">
        <f t="shared" si="26"/>
        <v/>
      </c>
    </row>
    <row r="614" spans="39:41">
      <c r="AM614" s="266" t="str">
        <f t="shared" si="24"/>
        <v/>
      </c>
      <c r="AN614" s="267" t="str">
        <f t="shared" si="25"/>
        <v/>
      </c>
      <c r="AO614" s="267" t="str">
        <f t="shared" si="26"/>
        <v/>
      </c>
    </row>
    <row r="615" spans="39:41">
      <c r="AM615" s="266" t="str">
        <f t="shared" si="24"/>
        <v/>
      </c>
      <c r="AN615" s="267" t="str">
        <f t="shared" si="25"/>
        <v/>
      </c>
      <c r="AO615" s="267" t="str">
        <f t="shared" si="26"/>
        <v/>
      </c>
    </row>
    <row r="616" spans="39:41">
      <c r="AM616" s="266" t="str">
        <f t="shared" si="24"/>
        <v/>
      </c>
      <c r="AN616" s="267" t="str">
        <f t="shared" si="25"/>
        <v/>
      </c>
      <c r="AO616" s="267" t="str">
        <f t="shared" si="26"/>
        <v/>
      </c>
    </row>
    <row r="617" spans="39:41">
      <c r="AM617" s="266" t="str">
        <f t="shared" si="24"/>
        <v/>
      </c>
      <c r="AN617" s="267" t="str">
        <f t="shared" si="25"/>
        <v/>
      </c>
      <c r="AO617" s="267" t="str">
        <f t="shared" si="26"/>
        <v/>
      </c>
    </row>
    <row r="618" spans="39:41">
      <c r="AM618" s="266" t="str">
        <f t="shared" si="24"/>
        <v/>
      </c>
      <c r="AN618" s="267" t="str">
        <f t="shared" si="25"/>
        <v/>
      </c>
      <c r="AO618" s="267" t="str">
        <f t="shared" si="26"/>
        <v/>
      </c>
    </row>
    <row r="619" spans="39:41">
      <c r="AM619" s="266" t="str">
        <f t="shared" si="24"/>
        <v/>
      </c>
      <c r="AN619" s="267" t="str">
        <f t="shared" si="25"/>
        <v/>
      </c>
      <c r="AO619" s="267" t="str">
        <f t="shared" si="26"/>
        <v/>
      </c>
    </row>
    <row r="620" spans="39:41">
      <c r="AM620" s="266" t="str">
        <f t="shared" si="24"/>
        <v/>
      </c>
      <c r="AN620" s="267" t="str">
        <f t="shared" si="25"/>
        <v/>
      </c>
      <c r="AO620" s="267" t="str">
        <f t="shared" si="26"/>
        <v/>
      </c>
    </row>
    <row r="621" spans="39:41">
      <c r="AM621" s="266" t="str">
        <f t="shared" si="24"/>
        <v/>
      </c>
      <c r="AN621" s="267" t="str">
        <f t="shared" si="25"/>
        <v/>
      </c>
      <c r="AO621" s="267" t="str">
        <f t="shared" si="26"/>
        <v/>
      </c>
    </row>
    <row r="622" spans="39:41">
      <c r="AM622" s="266" t="str">
        <f t="shared" si="24"/>
        <v/>
      </c>
      <c r="AN622" s="267" t="str">
        <f t="shared" si="25"/>
        <v/>
      </c>
      <c r="AO622" s="267" t="str">
        <f t="shared" si="26"/>
        <v/>
      </c>
    </row>
    <row r="623" spans="39:41">
      <c r="AM623" s="266" t="str">
        <f t="shared" si="24"/>
        <v/>
      </c>
      <c r="AN623" s="267" t="str">
        <f t="shared" si="25"/>
        <v/>
      </c>
      <c r="AO623" s="267" t="str">
        <f t="shared" si="26"/>
        <v/>
      </c>
    </row>
    <row r="624" spans="39:41">
      <c r="AM624" s="266" t="str">
        <f t="shared" si="24"/>
        <v/>
      </c>
      <c r="AN624" s="267" t="str">
        <f t="shared" si="25"/>
        <v/>
      </c>
      <c r="AO624" s="267" t="str">
        <f t="shared" si="26"/>
        <v/>
      </c>
    </row>
    <row r="625" spans="39:41">
      <c r="AM625" s="266" t="str">
        <f t="shared" si="24"/>
        <v/>
      </c>
      <c r="AN625" s="267" t="str">
        <f t="shared" si="25"/>
        <v/>
      </c>
      <c r="AO625" s="267" t="str">
        <f t="shared" si="26"/>
        <v/>
      </c>
    </row>
    <row r="626" spans="39:41">
      <c r="AM626" s="266" t="str">
        <f t="shared" si="24"/>
        <v/>
      </c>
      <c r="AN626" s="267" t="str">
        <f t="shared" si="25"/>
        <v/>
      </c>
      <c r="AO626" s="267" t="str">
        <f t="shared" si="26"/>
        <v/>
      </c>
    </row>
    <row r="627" spans="39:41">
      <c r="AM627" s="266" t="str">
        <f t="shared" si="24"/>
        <v/>
      </c>
      <c r="AN627" s="267" t="str">
        <f t="shared" si="25"/>
        <v/>
      </c>
      <c r="AO627" s="267" t="str">
        <f t="shared" si="26"/>
        <v/>
      </c>
    </row>
    <row r="628" spans="39:41">
      <c r="AM628" s="266" t="str">
        <f t="shared" si="24"/>
        <v/>
      </c>
      <c r="AN628" s="267" t="str">
        <f t="shared" si="25"/>
        <v/>
      </c>
      <c r="AO628" s="267" t="str">
        <f t="shared" si="26"/>
        <v/>
      </c>
    </row>
    <row r="629" spans="39:41">
      <c r="AM629" s="266" t="str">
        <f t="shared" si="24"/>
        <v/>
      </c>
      <c r="AN629" s="267" t="str">
        <f t="shared" si="25"/>
        <v/>
      </c>
      <c r="AO629" s="267" t="str">
        <f t="shared" si="26"/>
        <v/>
      </c>
    </row>
    <row r="630" spans="39:41">
      <c r="AM630" s="266" t="str">
        <f t="shared" si="24"/>
        <v/>
      </c>
      <c r="AN630" s="267" t="str">
        <f t="shared" si="25"/>
        <v/>
      </c>
      <c r="AO630" s="267" t="str">
        <f t="shared" si="26"/>
        <v/>
      </c>
    </row>
    <row r="631" spans="39:41">
      <c r="AM631" s="266" t="str">
        <f t="shared" si="24"/>
        <v/>
      </c>
      <c r="AN631" s="267" t="str">
        <f t="shared" si="25"/>
        <v/>
      </c>
      <c r="AO631" s="267" t="str">
        <f t="shared" si="26"/>
        <v/>
      </c>
    </row>
    <row r="632" spans="39:41">
      <c r="AM632" s="266" t="str">
        <f t="shared" si="24"/>
        <v/>
      </c>
      <c r="AN632" s="267" t="str">
        <f t="shared" si="25"/>
        <v/>
      </c>
      <c r="AO632" s="267" t="str">
        <f t="shared" si="26"/>
        <v/>
      </c>
    </row>
    <row r="633" spans="39:41">
      <c r="AM633" s="266" t="str">
        <f t="shared" si="24"/>
        <v/>
      </c>
      <c r="AN633" s="267" t="str">
        <f t="shared" si="25"/>
        <v/>
      </c>
      <c r="AO633" s="267" t="str">
        <f t="shared" si="26"/>
        <v/>
      </c>
    </row>
    <row r="634" spans="39:41">
      <c r="AM634" s="266" t="str">
        <f t="shared" si="24"/>
        <v/>
      </c>
      <c r="AN634" s="267" t="str">
        <f t="shared" si="25"/>
        <v/>
      </c>
      <c r="AO634" s="267" t="str">
        <f t="shared" si="26"/>
        <v/>
      </c>
    </row>
    <row r="635" spans="39:41">
      <c r="AM635" s="266" t="str">
        <f t="shared" si="24"/>
        <v/>
      </c>
      <c r="AN635" s="267" t="str">
        <f t="shared" si="25"/>
        <v/>
      </c>
      <c r="AO635" s="267" t="str">
        <f t="shared" si="26"/>
        <v/>
      </c>
    </row>
    <row r="636" spans="39:41">
      <c r="AM636" s="266" t="str">
        <f t="shared" si="24"/>
        <v/>
      </c>
      <c r="AN636" s="267" t="str">
        <f t="shared" si="25"/>
        <v/>
      </c>
      <c r="AO636" s="267" t="str">
        <f t="shared" si="26"/>
        <v/>
      </c>
    </row>
    <row r="637" spans="39:41">
      <c r="AM637" s="266" t="str">
        <f t="shared" si="24"/>
        <v/>
      </c>
      <c r="AN637" s="267" t="str">
        <f t="shared" si="25"/>
        <v/>
      </c>
      <c r="AO637" s="267" t="str">
        <f t="shared" si="26"/>
        <v/>
      </c>
    </row>
    <row r="638" spans="39:41">
      <c r="AM638" s="266" t="str">
        <f t="shared" si="24"/>
        <v/>
      </c>
      <c r="AN638" s="267" t="str">
        <f t="shared" si="25"/>
        <v/>
      </c>
      <c r="AO638" s="267" t="str">
        <f t="shared" si="26"/>
        <v/>
      </c>
    </row>
    <row r="639" spans="39:41">
      <c r="AM639" s="266" t="str">
        <f t="shared" si="24"/>
        <v/>
      </c>
      <c r="AN639" s="267" t="str">
        <f t="shared" si="25"/>
        <v/>
      </c>
      <c r="AO639" s="267" t="str">
        <f t="shared" si="26"/>
        <v/>
      </c>
    </row>
    <row r="640" spans="39:41">
      <c r="AM640" s="266" t="str">
        <f t="shared" si="24"/>
        <v/>
      </c>
      <c r="AN640" s="267" t="str">
        <f t="shared" si="25"/>
        <v/>
      </c>
      <c r="AO640" s="267" t="str">
        <f t="shared" si="26"/>
        <v/>
      </c>
    </row>
    <row r="641" spans="39:41">
      <c r="AM641" s="266" t="str">
        <f t="shared" si="24"/>
        <v/>
      </c>
      <c r="AN641" s="267" t="str">
        <f t="shared" si="25"/>
        <v/>
      </c>
      <c r="AO641" s="267" t="str">
        <f t="shared" si="26"/>
        <v/>
      </c>
    </row>
    <row r="642" spans="39:41">
      <c r="AM642" s="266" t="str">
        <f t="shared" si="24"/>
        <v/>
      </c>
      <c r="AN642" s="267" t="str">
        <f t="shared" si="25"/>
        <v/>
      </c>
      <c r="AO642" s="267" t="str">
        <f t="shared" si="26"/>
        <v/>
      </c>
    </row>
    <row r="643" spans="39:41">
      <c r="AM643" s="266" t="str">
        <f t="shared" si="24"/>
        <v/>
      </c>
      <c r="AN643" s="267" t="str">
        <f t="shared" si="25"/>
        <v/>
      </c>
      <c r="AO643" s="267" t="str">
        <f t="shared" si="26"/>
        <v/>
      </c>
    </row>
    <row r="644" spans="39:41">
      <c r="AM644" s="266" t="str">
        <f t="shared" ref="AM644:AM707" si="27">IF(AK644,(AK644-AJ644)/(AD644-AG644),"")</f>
        <v/>
      </c>
      <c r="AN644" s="267" t="str">
        <f t="shared" ref="AN644:AN707" si="28">IF(AK644,(AK644-AJ644)/(AE644-AH644),"")</f>
        <v/>
      </c>
      <c r="AO644" s="267" t="str">
        <f t="shared" ref="AO644:AO707" si="29">IF(AK644,(AK644-AJ644)/(AF644-AI644),"")</f>
        <v/>
      </c>
    </row>
    <row r="645" spans="39:41">
      <c r="AM645" s="266" t="str">
        <f t="shared" si="27"/>
        <v/>
      </c>
      <c r="AN645" s="267" t="str">
        <f t="shared" si="28"/>
        <v/>
      </c>
      <c r="AO645" s="267" t="str">
        <f t="shared" si="29"/>
        <v/>
      </c>
    </row>
    <row r="646" spans="39:41">
      <c r="AM646" s="266" t="str">
        <f t="shared" si="27"/>
        <v/>
      </c>
      <c r="AN646" s="267" t="str">
        <f t="shared" si="28"/>
        <v/>
      </c>
      <c r="AO646" s="267" t="str">
        <f t="shared" si="29"/>
        <v/>
      </c>
    </row>
    <row r="647" spans="39:41">
      <c r="AM647" s="266" t="str">
        <f t="shared" si="27"/>
        <v/>
      </c>
      <c r="AN647" s="267" t="str">
        <f t="shared" si="28"/>
        <v/>
      </c>
      <c r="AO647" s="267" t="str">
        <f t="shared" si="29"/>
        <v/>
      </c>
    </row>
    <row r="648" spans="39:41">
      <c r="AM648" s="266" t="str">
        <f t="shared" si="27"/>
        <v/>
      </c>
      <c r="AN648" s="267" t="str">
        <f t="shared" si="28"/>
        <v/>
      </c>
      <c r="AO648" s="267" t="str">
        <f t="shared" si="29"/>
        <v/>
      </c>
    </row>
    <row r="649" spans="39:41">
      <c r="AM649" s="266" t="str">
        <f t="shared" si="27"/>
        <v/>
      </c>
      <c r="AN649" s="267" t="str">
        <f t="shared" si="28"/>
        <v/>
      </c>
      <c r="AO649" s="267" t="str">
        <f t="shared" si="29"/>
        <v/>
      </c>
    </row>
    <row r="650" spans="39:41">
      <c r="AM650" s="266" t="str">
        <f t="shared" si="27"/>
        <v/>
      </c>
      <c r="AN650" s="267" t="str">
        <f t="shared" si="28"/>
        <v/>
      </c>
      <c r="AO650" s="267" t="str">
        <f t="shared" si="29"/>
        <v/>
      </c>
    </row>
    <row r="651" spans="39:41">
      <c r="AM651" s="266" t="str">
        <f t="shared" si="27"/>
        <v/>
      </c>
      <c r="AN651" s="267" t="str">
        <f t="shared" si="28"/>
        <v/>
      </c>
      <c r="AO651" s="267" t="str">
        <f t="shared" si="29"/>
        <v/>
      </c>
    </row>
    <row r="652" spans="39:41">
      <c r="AM652" s="266" t="str">
        <f t="shared" si="27"/>
        <v/>
      </c>
      <c r="AN652" s="267" t="str">
        <f t="shared" si="28"/>
        <v/>
      </c>
      <c r="AO652" s="267" t="str">
        <f t="shared" si="29"/>
        <v/>
      </c>
    </row>
    <row r="653" spans="39:41">
      <c r="AM653" s="266" t="str">
        <f t="shared" si="27"/>
        <v/>
      </c>
      <c r="AN653" s="267" t="str">
        <f t="shared" si="28"/>
        <v/>
      </c>
      <c r="AO653" s="267" t="str">
        <f t="shared" si="29"/>
        <v/>
      </c>
    </row>
    <row r="654" spans="39:41">
      <c r="AM654" s="266" t="str">
        <f t="shared" si="27"/>
        <v/>
      </c>
      <c r="AN654" s="267" t="str">
        <f t="shared" si="28"/>
        <v/>
      </c>
      <c r="AO654" s="267" t="str">
        <f t="shared" si="29"/>
        <v/>
      </c>
    </row>
    <row r="655" spans="39:41">
      <c r="AM655" s="266" t="str">
        <f t="shared" si="27"/>
        <v/>
      </c>
      <c r="AN655" s="267" t="str">
        <f t="shared" si="28"/>
        <v/>
      </c>
      <c r="AO655" s="267" t="str">
        <f t="shared" si="29"/>
        <v/>
      </c>
    </row>
    <row r="656" spans="39:41">
      <c r="AM656" s="266" t="str">
        <f t="shared" si="27"/>
        <v/>
      </c>
      <c r="AN656" s="267" t="str">
        <f t="shared" si="28"/>
        <v/>
      </c>
      <c r="AO656" s="267" t="str">
        <f t="shared" si="29"/>
        <v/>
      </c>
    </row>
    <row r="657" spans="39:41">
      <c r="AM657" s="266" t="str">
        <f t="shared" si="27"/>
        <v/>
      </c>
      <c r="AN657" s="267" t="str">
        <f t="shared" si="28"/>
        <v/>
      </c>
      <c r="AO657" s="267" t="str">
        <f t="shared" si="29"/>
        <v/>
      </c>
    </row>
    <row r="658" spans="39:41">
      <c r="AM658" s="266" t="str">
        <f t="shared" si="27"/>
        <v/>
      </c>
      <c r="AN658" s="267" t="str">
        <f t="shared" si="28"/>
        <v/>
      </c>
      <c r="AO658" s="267" t="str">
        <f t="shared" si="29"/>
        <v/>
      </c>
    </row>
    <row r="659" spans="39:41">
      <c r="AM659" s="266" t="str">
        <f t="shared" si="27"/>
        <v/>
      </c>
      <c r="AN659" s="267" t="str">
        <f t="shared" si="28"/>
        <v/>
      </c>
      <c r="AO659" s="267" t="str">
        <f t="shared" si="29"/>
        <v/>
      </c>
    </row>
    <row r="660" spans="39:41">
      <c r="AM660" s="266" t="str">
        <f t="shared" si="27"/>
        <v/>
      </c>
      <c r="AN660" s="267" t="str">
        <f t="shared" si="28"/>
        <v/>
      </c>
      <c r="AO660" s="267" t="str">
        <f t="shared" si="29"/>
        <v/>
      </c>
    </row>
    <row r="661" spans="39:41">
      <c r="AM661" s="266" t="str">
        <f t="shared" si="27"/>
        <v/>
      </c>
      <c r="AN661" s="267" t="str">
        <f t="shared" si="28"/>
        <v/>
      </c>
      <c r="AO661" s="267" t="str">
        <f t="shared" si="29"/>
        <v/>
      </c>
    </row>
    <row r="662" spans="39:41">
      <c r="AM662" s="266" t="str">
        <f t="shared" si="27"/>
        <v/>
      </c>
      <c r="AN662" s="267" t="str">
        <f t="shared" si="28"/>
        <v/>
      </c>
      <c r="AO662" s="267" t="str">
        <f t="shared" si="29"/>
        <v/>
      </c>
    </row>
    <row r="663" spans="39:41">
      <c r="AM663" s="266" t="str">
        <f t="shared" si="27"/>
        <v/>
      </c>
      <c r="AN663" s="267" t="str">
        <f t="shared" si="28"/>
        <v/>
      </c>
      <c r="AO663" s="267" t="str">
        <f t="shared" si="29"/>
        <v/>
      </c>
    </row>
    <row r="664" spans="39:41">
      <c r="AM664" s="266" t="str">
        <f t="shared" si="27"/>
        <v/>
      </c>
      <c r="AN664" s="267" t="str">
        <f t="shared" si="28"/>
        <v/>
      </c>
      <c r="AO664" s="267" t="str">
        <f t="shared" si="29"/>
        <v/>
      </c>
    </row>
    <row r="665" spans="39:41">
      <c r="AM665" s="266" t="str">
        <f t="shared" si="27"/>
        <v/>
      </c>
      <c r="AN665" s="267" t="str">
        <f t="shared" si="28"/>
        <v/>
      </c>
      <c r="AO665" s="267" t="str">
        <f t="shared" si="29"/>
        <v/>
      </c>
    </row>
    <row r="666" spans="39:41">
      <c r="AM666" s="266" t="str">
        <f t="shared" si="27"/>
        <v/>
      </c>
      <c r="AN666" s="267" t="str">
        <f t="shared" si="28"/>
        <v/>
      </c>
      <c r="AO666" s="267" t="str">
        <f t="shared" si="29"/>
        <v/>
      </c>
    </row>
    <row r="667" spans="39:41">
      <c r="AM667" s="266" t="str">
        <f t="shared" si="27"/>
        <v/>
      </c>
      <c r="AN667" s="267" t="str">
        <f t="shared" si="28"/>
        <v/>
      </c>
      <c r="AO667" s="267" t="str">
        <f t="shared" si="29"/>
        <v/>
      </c>
    </row>
    <row r="668" spans="39:41">
      <c r="AM668" s="266" t="str">
        <f t="shared" si="27"/>
        <v/>
      </c>
      <c r="AN668" s="267" t="str">
        <f t="shared" si="28"/>
        <v/>
      </c>
      <c r="AO668" s="267" t="str">
        <f t="shared" si="29"/>
        <v/>
      </c>
    </row>
    <row r="669" spans="39:41">
      <c r="AM669" s="266" t="str">
        <f t="shared" si="27"/>
        <v/>
      </c>
      <c r="AN669" s="267" t="str">
        <f t="shared" si="28"/>
        <v/>
      </c>
      <c r="AO669" s="267" t="str">
        <f t="shared" si="29"/>
        <v/>
      </c>
    </row>
    <row r="670" spans="39:41">
      <c r="AM670" s="266" t="str">
        <f t="shared" si="27"/>
        <v/>
      </c>
      <c r="AN670" s="267" t="str">
        <f t="shared" si="28"/>
        <v/>
      </c>
      <c r="AO670" s="267" t="str">
        <f t="shared" si="29"/>
        <v/>
      </c>
    </row>
    <row r="671" spans="39:41">
      <c r="AM671" s="266" t="str">
        <f t="shared" si="27"/>
        <v/>
      </c>
      <c r="AN671" s="267" t="str">
        <f t="shared" si="28"/>
        <v/>
      </c>
      <c r="AO671" s="267" t="str">
        <f t="shared" si="29"/>
        <v/>
      </c>
    </row>
    <row r="672" spans="39:41">
      <c r="AM672" s="266" t="str">
        <f t="shared" si="27"/>
        <v/>
      </c>
      <c r="AN672" s="267" t="str">
        <f t="shared" si="28"/>
        <v/>
      </c>
      <c r="AO672" s="267" t="str">
        <f t="shared" si="29"/>
        <v/>
      </c>
    </row>
    <row r="673" spans="39:41">
      <c r="AM673" s="266" t="str">
        <f t="shared" si="27"/>
        <v/>
      </c>
      <c r="AN673" s="267" t="str">
        <f t="shared" si="28"/>
        <v/>
      </c>
      <c r="AO673" s="267" t="str">
        <f t="shared" si="29"/>
        <v/>
      </c>
    </row>
    <row r="674" spans="39:41">
      <c r="AM674" s="266" t="str">
        <f t="shared" si="27"/>
        <v/>
      </c>
      <c r="AN674" s="267" t="str">
        <f t="shared" si="28"/>
        <v/>
      </c>
      <c r="AO674" s="267" t="str">
        <f t="shared" si="29"/>
        <v/>
      </c>
    </row>
    <row r="675" spans="39:41">
      <c r="AM675" s="266" t="str">
        <f t="shared" si="27"/>
        <v/>
      </c>
      <c r="AN675" s="267" t="str">
        <f t="shared" si="28"/>
        <v/>
      </c>
      <c r="AO675" s="267" t="str">
        <f t="shared" si="29"/>
        <v/>
      </c>
    </row>
    <row r="676" spans="39:41">
      <c r="AM676" s="266" t="str">
        <f t="shared" si="27"/>
        <v/>
      </c>
      <c r="AN676" s="267" t="str">
        <f t="shared" si="28"/>
        <v/>
      </c>
      <c r="AO676" s="267" t="str">
        <f t="shared" si="29"/>
        <v/>
      </c>
    </row>
    <row r="677" spans="39:41">
      <c r="AM677" s="266" t="str">
        <f t="shared" si="27"/>
        <v/>
      </c>
      <c r="AN677" s="267" t="str">
        <f t="shared" si="28"/>
        <v/>
      </c>
      <c r="AO677" s="267" t="str">
        <f t="shared" si="29"/>
        <v/>
      </c>
    </row>
    <row r="678" spans="39:41">
      <c r="AM678" s="266" t="str">
        <f t="shared" si="27"/>
        <v/>
      </c>
      <c r="AN678" s="267" t="str">
        <f t="shared" si="28"/>
        <v/>
      </c>
      <c r="AO678" s="267" t="str">
        <f t="shared" si="29"/>
        <v/>
      </c>
    </row>
    <row r="679" spans="39:41">
      <c r="AM679" s="266" t="str">
        <f t="shared" si="27"/>
        <v/>
      </c>
      <c r="AN679" s="267" t="str">
        <f t="shared" si="28"/>
        <v/>
      </c>
      <c r="AO679" s="267" t="str">
        <f t="shared" si="29"/>
        <v/>
      </c>
    </row>
    <row r="680" spans="39:41">
      <c r="AM680" s="266" t="str">
        <f t="shared" si="27"/>
        <v/>
      </c>
      <c r="AN680" s="267" t="str">
        <f t="shared" si="28"/>
        <v/>
      </c>
      <c r="AO680" s="267" t="str">
        <f t="shared" si="29"/>
        <v/>
      </c>
    </row>
    <row r="681" spans="39:41">
      <c r="AM681" s="266" t="str">
        <f t="shared" si="27"/>
        <v/>
      </c>
      <c r="AN681" s="267" t="str">
        <f t="shared" si="28"/>
        <v/>
      </c>
      <c r="AO681" s="267" t="str">
        <f t="shared" si="29"/>
        <v/>
      </c>
    </row>
    <row r="682" spans="39:41">
      <c r="AM682" s="266" t="str">
        <f t="shared" si="27"/>
        <v/>
      </c>
      <c r="AN682" s="267" t="str">
        <f t="shared" si="28"/>
        <v/>
      </c>
      <c r="AO682" s="267" t="str">
        <f t="shared" si="29"/>
        <v/>
      </c>
    </row>
    <row r="683" spans="39:41">
      <c r="AM683" s="266" t="str">
        <f t="shared" si="27"/>
        <v/>
      </c>
      <c r="AN683" s="267" t="str">
        <f t="shared" si="28"/>
        <v/>
      </c>
      <c r="AO683" s="267" t="str">
        <f t="shared" si="29"/>
        <v/>
      </c>
    </row>
    <row r="684" spans="39:41">
      <c r="AM684" s="266" t="str">
        <f t="shared" si="27"/>
        <v/>
      </c>
      <c r="AN684" s="267" t="str">
        <f t="shared" si="28"/>
        <v/>
      </c>
      <c r="AO684" s="267" t="str">
        <f t="shared" si="29"/>
        <v/>
      </c>
    </row>
    <row r="685" spans="39:41">
      <c r="AM685" s="266" t="str">
        <f t="shared" si="27"/>
        <v/>
      </c>
      <c r="AN685" s="267" t="str">
        <f t="shared" si="28"/>
        <v/>
      </c>
      <c r="AO685" s="267" t="str">
        <f t="shared" si="29"/>
        <v/>
      </c>
    </row>
    <row r="686" spans="39:41">
      <c r="AM686" s="266" t="str">
        <f t="shared" si="27"/>
        <v/>
      </c>
      <c r="AN686" s="267" t="str">
        <f t="shared" si="28"/>
        <v/>
      </c>
      <c r="AO686" s="267" t="str">
        <f t="shared" si="29"/>
        <v/>
      </c>
    </row>
    <row r="687" spans="39:41">
      <c r="AM687" s="266" t="str">
        <f t="shared" si="27"/>
        <v/>
      </c>
      <c r="AN687" s="267" t="str">
        <f t="shared" si="28"/>
        <v/>
      </c>
      <c r="AO687" s="267" t="str">
        <f t="shared" si="29"/>
        <v/>
      </c>
    </row>
    <row r="688" spans="39:41">
      <c r="AM688" s="266" t="str">
        <f t="shared" si="27"/>
        <v/>
      </c>
      <c r="AN688" s="267" t="str">
        <f t="shared" si="28"/>
        <v/>
      </c>
      <c r="AO688" s="267" t="str">
        <f t="shared" si="29"/>
        <v/>
      </c>
    </row>
    <row r="689" spans="39:41">
      <c r="AM689" s="266" t="str">
        <f t="shared" si="27"/>
        <v/>
      </c>
      <c r="AN689" s="267" t="str">
        <f t="shared" si="28"/>
        <v/>
      </c>
      <c r="AO689" s="267" t="str">
        <f t="shared" si="29"/>
        <v/>
      </c>
    </row>
    <row r="690" spans="39:41">
      <c r="AM690" s="266" t="str">
        <f t="shared" si="27"/>
        <v/>
      </c>
      <c r="AN690" s="267" t="str">
        <f t="shared" si="28"/>
        <v/>
      </c>
      <c r="AO690" s="267" t="str">
        <f t="shared" si="29"/>
        <v/>
      </c>
    </row>
    <row r="691" spans="39:41">
      <c r="AM691" s="266" t="str">
        <f t="shared" si="27"/>
        <v/>
      </c>
      <c r="AN691" s="267" t="str">
        <f t="shared" si="28"/>
        <v/>
      </c>
      <c r="AO691" s="267" t="str">
        <f t="shared" si="29"/>
        <v/>
      </c>
    </row>
    <row r="692" spans="39:41">
      <c r="AM692" s="266" t="str">
        <f t="shared" si="27"/>
        <v/>
      </c>
      <c r="AN692" s="267" t="str">
        <f t="shared" si="28"/>
        <v/>
      </c>
      <c r="AO692" s="267" t="str">
        <f t="shared" si="29"/>
        <v/>
      </c>
    </row>
    <row r="693" spans="39:41">
      <c r="AM693" s="266" t="str">
        <f t="shared" si="27"/>
        <v/>
      </c>
      <c r="AN693" s="267" t="str">
        <f t="shared" si="28"/>
        <v/>
      </c>
      <c r="AO693" s="267" t="str">
        <f t="shared" si="29"/>
        <v/>
      </c>
    </row>
    <row r="694" spans="39:41">
      <c r="AM694" s="266" t="str">
        <f t="shared" si="27"/>
        <v/>
      </c>
      <c r="AN694" s="267" t="str">
        <f t="shared" si="28"/>
        <v/>
      </c>
      <c r="AO694" s="267" t="str">
        <f t="shared" si="29"/>
        <v/>
      </c>
    </row>
    <row r="695" spans="39:41">
      <c r="AM695" s="266" t="str">
        <f t="shared" si="27"/>
        <v/>
      </c>
      <c r="AN695" s="267" t="str">
        <f t="shared" si="28"/>
        <v/>
      </c>
      <c r="AO695" s="267" t="str">
        <f t="shared" si="29"/>
        <v/>
      </c>
    </row>
    <row r="696" spans="39:41">
      <c r="AM696" s="266" t="str">
        <f t="shared" si="27"/>
        <v/>
      </c>
      <c r="AN696" s="267" t="str">
        <f t="shared" si="28"/>
        <v/>
      </c>
      <c r="AO696" s="267" t="str">
        <f t="shared" si="29"/>
        <v/>
      </c>
    </row>
    <row r="697" spans="39:41">
      <c r="AM697" s="266" t="str">
        <f t="shared" si="27"/>
        <v/>
      </c>
      <c r="AN697" s="267" t="str">
        <f t="shared" si="28"/>
        <v/>
      </c>
      <c r="AO697" s="267" t="str">
        <f t="shared" si="29"/>
        <v/>
      </c>
    </row>
    <row r="698" spans="39:41">
      <c r="AM698" s="266" t="str">
        <f t="shared" si="27"/>
        <v/>
      </c>
      <c r="AN698" s="267" t="str">
        <f t="shared" si="28"/>
        <v/>
      </c>
      <c r="AO698" s="267" t="str">
        <f t="shared" si="29"/>
        <v/>
      </c>
    </row>
    <row r="699" spans="39:41">
      <c r="AM699" s="266" t="str">
        <f t="shared" si="27"/>
        <v/>
      </c>
      <c r="AN699" s="267" t="str">
        <f t="shared" si="28"/>
        <v/>
      </c>
      <c r="AO699" s="267" t="str">
        <f t="shared" si="29"/>
        <v/>
      </c>
    </row>
    <row r="700" spans="39:41">
      <c r="AM700" s="266" t="str">
        <f t="shared" si="27"/>
        <v/>
      </c>
      <c r="AN700" s="267" t="str">
        <f t="shared" si="28"/>
        <v/>
      </c>
      <c r="AO700" s="267" t="str">
        <f t="shared" si="29"/>
        <v/>
      </c>
    </row>
    <row r="701" spans="39:41">
      <c r="AM701" s="266" t="str">
        <f t="shared" si="27"/>
        <v/>
      </c>
      <c r="AN701" s="267" t="str">
        <f t="shared" si="28"/>
        <v/>
      </c>
      <c r="AO701" s="267" t="str">
        <f t="shared" si="29"/>
        <v/>
      </c>
    </row>
    <row r="702" spans="39:41">
      <c r="AM702" s="266" t="str">
        <f t="shared" si="27"/>
        <v/>
      </c>
      <c r="AN702" s="267" t="str">
        <f t="shared" si="28"/>
        <v/>
      </c>
      <c r="AO702" s="267" t="str">
        <f t="shared" si="29"/>
        <v/>
      </c>
    </row>
    <row r="703" spans="39:41">
      <c r="AM703" s="266" t="str">
        <f t="shared" si="27"/>
        <v/>
      </c>
      <c r="AN703" s="267" t="str">
        <f t="shared" si="28"/>
        <v/>
      </c>
      <c r="AO703" s="267" t="str">
        <f t="shared" si="29"/>
        <v/>
      </c>
    </row>
    <row r="704" spans="39:41">
      <c r="AM704" s="266" t="str">
        <f t="shared" si="27"/>
        <v/>
      </c>
      <c r="AN704" s="267" t="str">
        <f t="shared" si="28"/>
        <v/>
      </c>
      <c r="AO704" s="267" t="str">
        <f t="shared" si="29"/>
        <v/>
      </c>
    </row>
    <row r="705" spans="39:41">
      <c r="AM705" s="266" t="str">
        <f t="shared" si="27"/>
        <v/>
      </c>
      <c r="AN705" s="267" t="str">
        <f t="shared" si="28"/>
        <v/>
      </c>
      <c r="AO705" s="267" t="str">
        <f t="shared" si="29"/>
        <v/>
      </c>
    </row>
    <row r="706" spans="39:41">
      <c r="AM706" s="266" t="str">
        <f t="shared" si="27"/>
        <v/>
      </c>
      <c r="AN706" s="267" t="str">
        <f t="shared" si="28"/>
        <v/>
      </c>
      <c r="AO706" s="267" t="str">
        <f t="shared" si="29"/>
        <v/>
      </c>
    </row>
    <row r="707" spans="39:41">
      <c r="AM707" s="266" t="str">
        <f t="shared" si="27"/>
        <v/>
      </c>
      <c r="AN707" s="267" t="str">
        <f t="shared" si="28"/>
        <v/>
      </c>
      <c r="AO707" s="267" t="str">
        <f t="shared" si="29"/>
        <v/>
      </c>
    </row>
    <row r="708" spans="39:41">
      <c r="AM708" s="266" t="str">
        <f t="shared" ref="AM708:AM771" si="30">IF(AK708,(AK708-AJ708)/(AD708-AG708),"")</f>
        <v/>
      </c>
      <c r="AN708" s="267" t="str">
        <f t="shared" ref="AN708:AN771" si="31">IF(AK708,(AK708-AJ708)/(AE708-AH708),"")</f>
        <v/>
      </c>
      <c r="AO708" s="267" t="str">
        <f t="shared" ref="AO708:AO771" si="32">IF(AK708,(AK708-AJ708)/(AF708-AI708),"")</f>
        <v/>
      </c>
    </row>
    <row r="709" spans="39:41">
      <c r="AM709" s="266" t="str">
        <f t="shared" si="30"/>
        <v/>
      </c>
      <c r="AN709" s="267" t="str">
        <f t="shared" si="31"/>
        <v/>
      </c>
      <c r="AO709" s="267" t="str">
        <f t="shared" si="32"/>
        <v/>
      </c>
    </row>
    <row r="710" spans="39:41">
      <c r="AM710" s="266" t="str">
        <f t="shared" si="30"/>
        <v/>
      </c>
      <c r="AN710" s="267" t="str">
        <f t="shared" si="31"/>
        <v/>
      </c>
      <c r="AO710" s="267" t="str">
        <f t="shared" si="32"/>
        <v/>
      </c>
    </row>
    <row r="711" spans="39:41">
      <c r="AM711" s="266" t="str">
        <f t="shared" si="30"/>
        <v/>
      </c>
      <c r="AN711" s="267" t="str">
        <f t="shared" si="31"/>
        <v/>
      </c>
      <c r="AO711" s="267" t="str">
        <f t="shared" si="32"/>
        <v/>
      </c>
    </row>
    <row r="712" spans="39:41">
      <c r="AM712" s="266" t="str">
        <f t="shared" si="30"/>
        <v/>
      </c>
      <c r="AN712" s="267" t="str">
        <f t="shared" si="31"/>
        <v/>
      </c>
      <c r="AO712" s="267" t="str">
        <f t="shared" si="32"/>
        <v/>
      </c>
    </row>
    <row r="713" spans="39:41">
      <c r="AM713" s="266" t="str">
        <f t="shared" si="30"/>
        <v/>
      </c>
      <c r="AN713" s="267" t="str">
        <f t="shared" si="31"/>
        <v/>
      </c>
      <c r="AO713" s="267" t="str">
        <f t="shared" si="32"/>
        <v/>
      </c>
    </row>
    <row r="714" spans="39:41">
      <c r="AM714" s="266" t="str">
        <f t="shared" si="30"/>
        <v/>
      </c>
      <c r="AN714" s="267" t="str">
        <f t="shared" si="31"/>
        <v/>
      </c>
      <c r="AO714" s="267" t="str">
        <f t="shared" si="32"/>
        <v/>
      </c>
    </row>
    <row r="715" spans="39:41">
      <c r="AM715" s="266" t="str">
        <f t="shared" si="30"/>
        <v/>
      </c>
      <c r="AN715" s="267" t="str">
        <f t="shared" si="31"/>
        <v/>
      </c>
      <c r="AO715" s="267" t="str">
        <f t="shared" si="32"/>
        <v/>
      </c>
    </row>
    <row r="716" spans="39:41">
      <c r="AM716" s="266" t="str">
        <f t="shared" si="30"/>
        <v/>
      </c>
      <c r="AN716" s="267" t="str">
        <f t="shared" si="31"/>
        <v/>
      </c>
      <c r="AO716" s="267" t="str">
        <f t="shared" si="32"/>
        <v/>
      </c>
    </row>
    <row r="717" spans="39:41">
      <c r="AM717" s="266" t="str">
        <f t="shared" si="30"/>
        <v/>
      </c>
      <c r="AN717" s="267" t="str">
        <f t="shared" si="31"/>
        <v/>
      </c>
      <c r="AO717" s="267" t="str">
        <f t="shared" si="32"/>
        <v/>
      </c>
    </row>
    <row r="718" spans="39:41">
      <c r="AM718" s="266" t="str">
        <f t="shared" si="30"/>
        <v/>
      </c>
      <c r="AN718" s="267" t="str">
        <f t="shared" si="31"/>
        <v/>
      </c>
      <c r="AO718" s="267" t="str">
        <f t="shared" si="32"/>
        <v/>
      </c>
    </row>
    <row r="719" spans="39:41">
      <c r="AM719" s="266" t="str">
        <f t="shared" si="30"/>
        <v/>
      </c>
      <c r="AN719" s="267" t="str">
        <f t="shared" si="31"/>
        <v/>
      </c>
      <c r="AO719" s="267" t="str">
        <f t="shared" si="32"/>
        <v/>
      </c>
    </row>
    <row r="720" spans="39:41">
      <c r="AM720" s="266" t="str">
        <f t="shared" si="30"/>
        <v/>
      </c>
      <c r="AN720" s="267" t="str">
        <f t="shared" si="31"/>
        <v/>
      </c>
      <c r="AO720" s="267" t="str">
        <f t="shared" si="32"/>
        <v/>
      </c>
    </row>
    <row r="721" spans="39:41">
      <c r="AM721" s="266" t="str">
        <f t="shared" si="30"/>
        <v/>
      </c>
      <c r="AN721" s="267" t="str">
        <f t="shared" si="31"/>
        <v/>
      </c>
      <c r="AO721" s="267" t="str">
        <f t="shared" si="32"/>
        <v/>
      </c>
    </row>
    <row r="722" spans="39:41">
      <c r="AM722" s="266" t="str">
        <f t="shared" si="30"/>
        <v/>
      </c>
      <c r="AN722" s="267" t="str">
        <f t="shared" si="31"/>
        <v/>
      </c>
      <c r="AO722" s="267" t="str">
        <f t="shared" si="32"/>
        <v/>
      </c>
    </row>
    <row r="723" spans="39:41">
      <c r="AM723" s="266" t="str">
        <f t="shared" si="30"/>
        <v/>
      </c>
      <c r="AN723" s="267" t="str">
        <f t="shared" si="31"/>
        <v/>
      </c>
      <c r="AO723" s="267" t="str">
        <f t="shared" si="32"/>
        <v/>
      </c>
    </row>
    <row r="724" spans="39:41">
      <c r="AM724" s="266" t="str">
        <f t="shared" si="30"/>
        <v/>
      </c>
      <c r="AN724" s="267" t="str">
        <f t="shared" si="31"/>
        <v/>
      </c>
      <c r="AO724" s="267" t="str">
        <f t="shared" si="32"/>
        <v/>
      </c>
    </row>
    <row r="725" spans="39:41">
      <c r="AM725" s="266" t="str">
        <f t="shared" si="30"/>
        <v/>
      </c>
      <c r="AN725" s="267" t="str">
        <f t="shared" si="31"/>
        <v/>
      </c>
      <c r="AO725" s="267" t="str">
        <f t="shared" si="32"/>
        <v/>
      </c>
    </row>
    <row r="726" spans="39:41">
      <c r="AM726" s="266" t="str">
        <f t="shared" si="30"/>
        <v/>
      </c>
      <c r="AN726" s="267" t="str">
        <f t="shared" si="31"/>
        <v/>
      </c>
      <c r="AO726" s="267" t="str">
        <f t="shared" si="32"/>
        <v/>
      </c>
    </row>
    <row r="727" spans="39:41">
      <c r="AM727" s="266" t="str">
        <f t="shared" si="30"/>
        <v/>
      </c>
      <c r="AN727" s="267" t="str">
        <f t="shared" si="31"/>
        <v/>
      </c>
      <c r="AO727" s="267" t="str">
        <f t="shared" si="32"/>
        <v/>
      </c>
    </row>
    <row r="728" spans="39:41">
      <c r="AM728" s="266" t="str">
        <f t="shared" si="30"/>
        <v/>
      </c>
      <c r="AN728" s="267" t="str">
        <f t="shared" si="31"/>
        <v/>
      </c>
      <c r="AO728" s="267" t="str">
        <f t="shared" si="32"/>
        <v/>
      </c>
    </row>
    <row r="729" spans="39:41">
      <c r="AM729" s="266" t="str">
        <f t="shared" si="30"/>
        <v/>
      </c>
      <c r="AN729" s="267" t="str">
        <f t="shared" si="31"/>
        <v/>
      </c>
      <c r="AO729" s="267" t="str">
        <f t="shared" si="32"/>
        <v/>
      </c>
    </row>
    <row r="730" spans="39:41">
      <c r="AM730" s="266" t="str">
        <f t="shared" si="30"/>
        <v/>
      </c>
      <c r="AN730" s="267" t="str">
        <f t="shared" si="31"/>
        <v/>
      </c>
      <c r="AO730" s="267" t="str">
        <f t="shared" si="32"/>
        <v/>
      </c>
    </row>
    <row r="731" spans="39:41">
      <c r="AM731" s="266" t="str">
        <f t="shared" si="30"/>
        <v/>
      </c>
      <c r="AN731" s="267" t="str">
        <f t="shared" si="31"/>
        <v/>
      </c>
      <c r="AO731" s="267" t="str">
        <f t="shared" si="32"/>
        <v/>
      </c>
    </row>
    <row r="732" spans="39:41">
      <c r="AM732" s="266" t="str">
        <f t="shared" si="30"/>
        <v/>
      </c>
      <c r="AN732" s="267" t="str">
        <f t="shared" si="31"/>
        <v/>
      </c>
      <c r="AO732" s="267" t="str">
        <f t="shared" si="32"/>
        <v/>
      </c>
    </row>
    <row r="733" spans="39:41">
      <c r="AM733" s="266" t="str">
        <f t="shared" si="30"/>
        <v/>
      </c>
      <c r="AN733" s="267" t="str">
        <f t="shared" si="31"/>
        <v/>
      </c>
      <c r="AO733" s="267" t="str">
        <f t="shared" si="32"/>
        <v/>
      </c>
    </row>
    <row r="734" spans="39:41">
      <c r="AM734" s="266" t="str">
        <f t="shared" si="30"/>
        <v/>
      </c>
      <c r="AN734" s="267" t="str">
        <f t="shared" si="31"/>
        <v/>
      </c>
      <c r="AO734" s="267" t="str">
        <f t="shared" si="32"/>
        <v/>
      </c>
    </row>
    <row r="735" spans="39:41">
      <c r="AM735" s="266" t="str">
        <f t="shared" si="30"/>
        <v/>
      </c>
      <c r="AN735" s="267" t="str">
        <f t="shared" si="31"/>
        <v/>
      </c>
      <c r="AO735" s="267" t="str">
        <f t="shared" si="32"/>
        <v/>
      </c>
    </row>
    <row r="736" spans="39:41">
      <c r="AM736" s="266" t="str">
        <f t="shared" si="30"/>
        <v/>
      </c>
      <c r="AN736" s="267" t="str">
        <f t="shared" si="31"/>
        <v/>
      </c>
      <c r="AO736" s="267" t="str">
        <f t="shared" si="32"/>
        <v/>
      </c>
    </row>
    <row r="737" spans="39:41">
      <c r="AM737" s="266" t="str">
        <f t="shared" si="30"/>
        <v/>
      </c>
      <c r="AN737" s="267" t="str">
        <f t="shared" si="31"/>
        <v/>
      </c>
      <c r="AO737" s="267" t="str">
        <f t="shared" si="32"/>
        <v/>
      </c>
    </row>
    <row r="738" spans="39:41">
      <c r="AM738" s="266" t="str">
        <f t="shared" si="30"/>
        <v/>
      </c>
      <c r="AN738" s="267" t="str">
        <f t="shared" si="31"/>
        <v/>
      </c>
      <c r="AO738" s="267" t="str">
        <f t="shared" si="32"/>
        <v/>
      </c>
    </row>
    <row r="739" spans="39:41">
      <c r="AM739" s="266" t="str">
        <f t="shared" si="30"/>
        <v/>
      </c>
      <c r="AN739" s="267" t="str">
        <f t="shared" si="31"/>
        <v/>
      </c>
      <c r="AO739" s="267" t="str">
        <f t="shared" si="32"/>
        <v/>
      </c>
    </row>
    <row r="740" spans="39:41">
      <c r="AM740" s="266" t="str">
        <f t="shared" si="30"/>
        <v/>
      </c>
      <c r="AN740" s="267" t="str">
        <f t="shared" si="31"/>
        <v/>
      </c>
      <c r="AO740" s="267" t="str">
        <f t="shared" si="32"/>
        <v/>
      </c>
    </row>
    <row r="741" spans="39:41">
      <c r="AM741" s="266" t="str">
        <f t="shared" si="30"/>
        <v/>
      </c>
      <c r="AN741" s="267" t="str">
        <f t="shared" si="31"/>
        <v/>
      </c>
      <c r="AO741" s="267" t="str">
        <f t="shared" si="32"/>
        <v/>
      </c>
    </row>
    <row r="742" spans="39:41">
      <c r="AM742" s="266" t="str">
        <f t="shared" si="30"/>
        <v/>
      </c>
      <c r="AN742" s="267" t="str">
        <f t="shared" si="31"/>
        <v/>
      </c>
      <c r="AO742" s="267" t="str">
        <f t="shared" si="32"/>
        <v/>
      </c>
    </row>
    <row r="743" spans="39:41">
      <c r="AM743" s="266" t="str">
        <f t="shared" si="30"/>
        <v/>
      </c>
      <c r="AN743" s="267" t="str">
        <f t="shared" si="31"/>
        <v/>
      </c>
      <c r="AO743" s="267" t="str">
        <f t="shared" si="32"/>
        <v/>
      </c>
    </row>
    <row r="744" spans="39:41">
      <c r="AM744" s="266" t="str">
        <f t="shared" si="30"/>
        <v/>
      </c>
      <c r="AN744" s="267" t="str">
        <f t="shared" si="31"/>
        <v/>
      </c>
      <c r="AO744" s="267" t="str">
        <f t="shared" si="32"/>
        <v/>
      </c>
    </row>
    <row r="745" spans="39:41">
      <c r="AM745" s="266" t="str">
        <f t="shared" si="30"/>
        <v/>
      </c>
      <c r="AN745" s="267" t="str">
        <f t="shared" si="31"/>
        <v/>
      </c>
      <c r="AO745" s="267" t="str">
        <f t="shared" si="32"/>
        <v/>
      </c>
    </row>
    <row r="746" spans="39:41">
      <c r="AM746" s="266" t="str">
        <f t="shared" si="30"/>
        <v/>
      </c>
      <c r="AN746" s="267" t="str">
        <f t="shared" si="31"/>
        <v/>
      </c>
      <c r="AO746" s="267" t="str">
        <f t="shared" si="32"/>
        <v/>
      </c>
    </row>
    <row r="747" spans="39:41">
      <c r="AM747" s="266" t="str">
        <f t="shared" si="30"/>
        <v/>
      </c>
      <c r="AN747" s="267" t="str">
        <f t="shared" si="31"/>
        <v/>
      </c>
      <c r="AO747" s="267" t="str">
        <f t="shared" si="32"/>
        <v/>
      </c>
    </row>
    <row r="748" spans="39:41">
      <c r="AM748" s="266" t="str">
        <f t="shared" si="30"/>
        <v/>
      </c>
      <c r="AN748" s="267" t="str">
        <f t="shared" si="31"/>
        <v/>
      </c>
      <c r="AO748" s="267" t="str">
        <f t="shared" si="32"/>
        <v/>
      </c>
    </row>
    <row r="749" spans="39:41">
      <c r="AM749" s="266" t="str">
        <f t="shared" si="30"/>
        <v/>
      </c>
      <c r="AN749" s="267" t="str">
        <f t="shared" si="31"/>
        <v/>
      </c>
      <c r="AO749" s="267" t="str">
        <f t="shared" si="32"/>
        <v/>
      </c>
    </row>
    <row r="750" spans="39:41">
      <c r="AM750" s="266" t="str">
        <f t="shared" si="30"/>
        <v/>
      </c>
      <c r="AN750" s="267" t="str">
        <f t="shared" si="31"/>
        <v/>
      </c>
      <c r="AO750" s="267" t="str">
        <f t="shared" si="32"/>
        <v/>
      </c>
    </row>
    <row r="751" spans="39:41">
      <c r="AM751" s="266" t="str">
        <f t="shared" si="30"/>
        <v/>
      </c>
      <c r="AN751" s="267" t="str">
        <f t="shared" si="31"/>
        <v/>
      </c>
      <c r="AO751" s="267" t="str">
        <f t="shared" si="32"/>
        <v/>
      </c>
    </row>
    <row r="752" spans="39:41">
      <c r="AM752" s="266" t="str">
        <f t="shared" si="30"/>
        <v/>
      </c>
      <c r="AN752" s="267" t="str">
        <f t="shared" si="31"/>
        <v/>
      </c>
      <c r="AO752" s="267" t="str">
        <f t="shared" si="32"/>
        <v/>
      </c>
    </row>
    <row r="753" spans="39:41">
      <c r="AM753" s="266" t="str">
        <f t="shared" si="30"/>
        <v/>
      </c>
      <c r="AN753" s="267" t="str">
        <f t="shared" si="31"/>
        <v/>
      </c>
      <c r="AO753" s="267" t="str">
        <f t="shared" si="32"/>
        <v/>
      </c>
    </row>
    <row r="754" spans="39:41">
      <c r="AM754" s="266" t="str">
        <f t="shared" si="30"/>
        <v/>
      </c>
      <c r="AN754" s="267" t="str">
        <f t="shared" si="31"/>
        <v/>
      </c>
      <c r="AO754" s="267" t="str">
        <f t="shared" si="32"/>
        <v/>
      </c>
    </row>
    <row r="755" spans="39:41">
      <c r="AM755" s="266" t="str">
        <f t="shared" si="30"/>
        <v/>
      </c>
      <c r="AN755" s="267" t="str">
        <f t="shared" si="31"/>
        <v/>
      </c>
      <c r="AO755" s="267" t="str">
        <f t="shared" si="32"/>
        <v/>
      </c>
    </row>
    <row r="756" spans="39:41">
      <c r="AM756" s="266" t="str">
        <f t="shared" si="30"/>
        <v/>
      </c>
      <c r="AN756" s="267" t="str">
        <f t="shared" si="31"/>
        <v/>
      </c>
      <c r="AO756" s="267" t="str">
        <f t="shared" si="32"/>
        <v/>
      </c>
    </row>
    <row r="757" spans="39:41">
      <c r="AM757" s="266" t="str">
        <f t="shared" si="30"/>
        <v/>
      </c>
      <c r="AN757" s="267" t="str">
        <f t="shared" si="31"/>
        <v/>
      </c>
      <c r="AO757" s="267" t="str">
        <f t="shared" si="32"/>
        <v/>
      </c>
    </row>
    <row r="758" spans="39:41">
      <c r="AM758" s="266" t="str">
        <f t="shared" si="30"/>
        <v/>
      </c>
      <c r="AN758" s="267" t="str">
        <f t="shared" si="31"/>
        <v/>
      </c>
      <c r="AO758" s="267" t="str">
        <f t="shared" si="32"/>
        <v/>
      </c>
    </row>
    <row r="759" spans="39:41">
      <c r="AM759" s="266" t="str">
        <f t="shared" si="30"/>
        <v/>
      </c>
      <c r="AN759" s="267" t="str">
        <f t="shared" si="31"/>
        <v/>
      </c>
      <c r="AO759" s="267" t="str">
        <f t="shared" si="32"/>
        <v/>
      </c>
    </row>
    <row r="760" spans="39:41">
      <c r="AM760" s="266" t="str">
        <f t="shared" si="30"/>
        <v/>
      </c>
      <c r="AN760" s="267" t="str">
        <f t="shared" si="31"/>
        <v/>
      </c>
      <c r="AO760" s="267" t="str">
        <f t="shared" si="32"/>
        <v/>
      </c>
    </row>
    <row r="761" spans="39:41">
      <c r="AM761" s="266" t="str">
        <f t="shared" si="30"/>
        <v/>
      </c>
      <c r="AN761" s="267" t="str">
        <f t="shared" si="31"/>
        <v/>
      </c>
      <c r="AO761" s="267" t="str">
        <f t="shared" si="32"/>
        <v/>
      </c>
    </row>
    <row r="762" spans="39:41">
      <c r="AM762" s="266" t="str">
        <f t="shared" si="30"/>
        <v/>
      </c>
      <c r="AN762" s="267" t="str">
        <f t="shared" si="31"/>
        <v/>
      </c>
      <c r="AO762" s="267" t="str">
        <f t="shared" si="32"/>
        <v/>
      </c>
    </row>
    <row r="763" spans="39:41">
      <c r="AM763" s="266" t="str">
        <f t="shared" si="30"/>
        <v/>
      </c>
      <c r="AN763" s="267" t="str">
        <f t="shared" si="31"/>
        <v/>
      </c>
      <c r="AO763" s="267" t="str">
        <f t="shared" si="32"/>
        <v/>
      </c>
    </row>
    <row r="764" spans="39:41">
      <c r="AM764" s="266" t="str">
        <f t="shared" si="30"/>
        <v/>
      </c>
      <c r="AN764" s="267" t="str">
        <f t="shared" si="31"/>
        <v/>
      </c>
      <c r="AO764" s="267" t="str">
        <f t="shared" si="32"/>
        <v/>
      </c>
    </row>
    <row r="765" spans="39:41">
      <c r="AM765" s="266" t="str">
        <f t="shared" si="30"/>
        <v/>
      </c>
      <c r="AN765" s="267" t="str">
        <f t="shared" si="31"/>
        <v/>
      </c>
      <c r="AO765" s="267" t="str">
        <f t="shared" si="32"/>
        <v/>
      </c>
    </row>
    <row r="766" spans="39:41">
      <c r="AM766" s="266" t="str">
        <f t="shared" si="30"/>
        <v/>
      </c>
      <c r="AN766" s="267" t="str">
        <f t="shared" si="31"/>
        <v/>
      </c>
      <c r="AO766" s="267" t="str">
        <f t="shared" si="32"/>
        <v/>
      </c>
    </row>
    <row r="767" spans="39:41">
      <c r="AM767" s="266" t="str">
        <f t="shared" si="30"/>
        <v/>
      </c>
      <c r="AN767" s="267" t="str">
        <f t="shared" si="31"/>
        <v/>
      </c>
      <c r="AO767" s="267" t="str">
        <f t="shared" si="32"/>
        <v/>
      </c>
    </row>
    <row r="768" spans="39:41">
      <c r="AM768" s="266" t="str">
        <f t="shared" si="30"/>
        <v/>
      </c>
      <c r="AN768" s="267" t="str">
        <f t="shared" si="31"/>
        <v/>
      </c>
      <c r="AO768" s="267" t="str">
        <f t="shared" si="32"/>
        <v/>
      </c>
    </row>
    <row r="769" spans="39:41">
      <c r="AM769" s="266" t="str">
        <f t="shared" si="30"/>
        <v/>
      </c>
      <c r="AN769" s="267" t="str">
        <f t="shared" si="31"/>
        <v/>
      </c>
      <c r="AO769" s="267" t="str">
        <f t="shared" si="32"/>
        <v/>
      </c>
    </row>
    <row r="770" spans="39:41">
      <c r="AM770" s="266" t="str">
        <f t="shared" si="30"/>
        <v/>
      </c>
      <c r="AN770" s="267" t="str">
        <f t="shared" si="31"/>
        <v/>
      </c>
      <c r="AO770" s="267" t="str">
        <f t="shared" si="32"/>
        <v/>
      </c>
    </row>
    <row r="771" spans="39:41">
      <c r="AM771" s="266" t="str">
        <f t="shared" si="30"/>
        <v/>
      </c>
      <c r="AN771" s="267" t="str">
        <f t="shared" si="31"/>
        <v/>
      </c>
      <c r="AO771" s="267" t="str">
        <f t="shared" si="32"/>
        <v/>
      </c>
    </row>
    <row r="772" spans="39:41">
      <c r="AM772" s="266" t="str">
        <f t="shared" ref="AM772:AM835" si="33">IF(AK772,(AK772-AJ772)/(AD772-AG772),"")</f>
        <v/>
      </c>
      <c r="AN772" s="267" t="str">
        <f t="shared" ref="AN772:AN835" si="34">IF(AK772,(AK772-AJ772)/(AE772-AH772),"")</f>
        <v/>
      </c>
      <c r="AO772" s="267" t="str">
        <f t="shared" ref="AO772:AO835" si="35">IF(AK772,(AK772-AJ772)/(AF772-AI772),"")</f>
        <v/>
      </c>
    </row>
    <row r="773" spans="39:41">
      <c r="AM773" s="266" t="str">
        <f t="shared" si="33"/>
        <v/>
      </c>
      <c r="AN773" s="267" t="str">
        <f t="shared" si="34"/>
        <v/>
      </c>
      <c r="AO773" s="267" t="str">
        <f t="shared" si="35"/>
        <v/>
      </c>
    </row>
    <row r="774" spans="39:41">
      <c r="AM774" s="266" t="str">
        <f t="shared" si="33"/>
        <v/>
      </c>
      <c r="AN774" s="267" t="str">
        <f t="shared" si="34"/>
        <v/>
      </c>
      <c r="AO774" s="267" t="str">
        <f t="shared" si="35"/>
        <v/>
      </c>
    </row>
    <row r="775" spans="39:41">
      <c r="AM775" s="266" t="str">
        <f t="shared" si="33"/>
        <v/>
      </c>
      <c r="AN775" s="267" t="str">
        <f t="shared" si="34"/>
        <v/>
      </c>
      <c r="AO775" s="267" t="str">
        <f t="shared" si="35"/>
        <v/>
      </c>
    </row>
    <row r="776" spans="39:41">
      <c r="AM776" s="266" t="str">
        <f t="shared" si="33"/>
        <v/>
      </c>
      <c r="AN776" s="267" t="str">
        <f t="shared" si="34"/>
        <v/>
      </c>
      <c r="AO776" s="267" t="str">
        <f t="shared" si="35"/>
        <v/>
      </c>
    </row>
    <row r="777" spans="39:41">
      <c r="AM777" s="266" t="str">
        <f t="shared" si="33"/>
        <v/>
      </c>
      <c r="AN777" s="267" t="str">
        <f t="shared" si="34"/>
        <v/>
      </c>
      <c r="AO777" s="267" t="str">
        <f t="shared" si="35"/>
        <v/>
      </c>
    </row>
    <row r="778" spans="39:41">
      <c r="AM778" s="266" t="str">
        <f t="shared" si="33"/>
        <v/>
      </c>
      <c r="AN778" s="267" t="str">
        <f t="shared" si="34"/>
        <v/>
      </c>
      <c r="AO778" s="267" t="str">
        <f t="shared" si="35"/>
        <v/>
      </c>
    </row>
    <row r="779" spans="39:41">
      <c r="AM779" s="266" t="str">
        <f t="shared" si="33"/>
        <v/>
      </c>
      <c r="AN779" s="267" t="str">
        <f t="shared" si="34"/>
        <v/>
      </c>
      <c r="AO779" s="267" t="str">
        <f t="shared" si="35"/>
        <v/>
      </c>
    </row>
    <row r="780" spans="39:41">
      <c r="AM780" s="266" t="str">
        <f t="shared" si="33"/>
        <v/>
      </c>
      <c r="AN780" s="267" t="str">
        <f t="shared" si="34"/>
        <v/>
      </c>
      <c r="AO780" s="267" t="str">
        <f t="shared" si="35"/>
        <v/>
      </c>
    </row>
    <row r="781" spans="39:41">
      <c r="AM781" s="266" t="str">
        <f t="shared" si="33"/>
        <v/>
      </c>
      <c r="AN781" s="267" t="str">
        <f t="shared" si="34"/>
        <v/>
      </c>
      <c r="AO781" s="267" t="str">
        <f t="shared" si="35"/>
        <v/>
      </c>
    </row>
    <row r="782" spans="39:41">
      <c r="AM782" s="266" t="str">
        <f t="shared" si="33"/>
        <v/>
      </c>
      <c r="AN782" s="267" t="str">
        <f t="shared" si="34"/>
        <v/>
      </c>
      <c r="AO782" s="267" t="str">
        <f t="shared" si="35"/>
        <v/>
      </c>
    </row>
    <row r="783" spans="39:41">
      <c r="AM783" s="266" t="str">
        <f t="shared" si="33"/>
        <v/>
      </c>
      <c r="AN783" s="267" t="str">
        <f t="shared" si="34"/>
        <v/>
      </c>
      <c r="AO783" s="267" t="str">
        <f t="shared" si="35"/>
        <v/>
      </c>
    </row>
    <row r="784" spans="39:41">
      <c r="AM784" s="266" t="str">
        <f t="shared" si="33"/>
        <v/>
      </c>
      <c r="AN784" s="267" t="str">
        <f t="shared" si="34"/>
        <v/>
      </c>
      <c r="AO784" s="267" t="str">
        <f t="shared" si="35"/>
        <v/>
      </c>
    </row>
    <row r="785" spans="39:41">
      <c r="AM785" s="266" t="str">
        <f t="shared" si="33"/>
        <v/>
      </c>
      <c r="AN785" s="267" t="str">
        <f t="shared" si="34"/>
        <v/>
      </c>
      <c r="AO785" s="267" t="str">
        <f t="shared" si="35"/>
        <v/>
      </c>
    </row>
    <row r="786" spans="39:41">
      <c r="AM786" s="266" t="str">
        <f t="shared" si="33"/>
        <v/>
      </c>
      <c r="AN786" s="267" t="str">
        <f t="shared" si="34"/>
        <v/>
      </c>
      <c r="AO786" s="267" t="str">
        <f t="shared" si="35"/>
        <v/>
      </c>
    </row>
    <row r="787" spans="39:41">
      <c r="AM787" s="266" t="str">
        <f t="shared" si="33"/>
        <v/>
      </c>
      <c r="AN787" s="267" t="str">
        <f t="shared" si="34"/>
        <v/>
      </c>
      <c r="AO787" s="267" t="str">
        <f t="shared" si="35"/>
        <v/>
      </c>
    </row>
    <row r="788" spans="39:41">
      <c r="AM788" s="266" t="str">
        <f t="shared" si="33"/>
        <v/>
      </c>
      <c r="AN788" s="267" t="str">
        <f t="shared" si="34"/>
        <v/>
      </c>
      <c r="AO788" s="267" t="str">
        <f t="shared" si="35"/>
        <v/>
      </c>
    </row>
    <row r="789" spans="39:41">
      <c r="AM789" s="266" t="str">
        <f t="shared" si="33"/>
        <v/>
      </c>
      <c r="AN789" s="267" t="str">
        <f t="shared" si="34"/>
        <v/>
      </c>
      <c r="AO789" s="267" t="str">
        <f t="shared" si="35"/>
        <v/>
      </c>
    </row>
    <row r="790" spans="39:41">
      <c r="AM790" s="266" t="str">
        <f t="shared" si="33"/>
        <v/>
      </c>
      <c r="AN790" s="267" t="str">
        <f t="shared" si="34"/>
        <v/>
      </c>
      <c r="AO790" s="267" t="str">
        <f t="shared" si="35"/>
        <v/>
      </c>
    </row>
    <row r="791" spans="39:41">
      <c r="AM791" s="266" t="str">
        <f t="shared" si="33"/>
        <v/>
      </c>
      <c r="AN791" s="267" t="str">
        <f t="shared" si="34"/>
        <v/>
      </c>
      <c r="AO791" s="267" t="str">
        <f t="shared" si="35"/>
        <v/>
      </c>
    </row>
    <row r="792" spans="39:41">
      <c r="AM792" s="266" t="str">
        <f t="shared" si="33"/>
        <v/>
      </c>
      <c r="AN792" s="267" t="str">
        <f t="shared" si="34"/>
        <v/>
      </c>
      <c r="AO792" s="267" t="str">
        <f t="shared" si="35"/>
        <v/>
      </c>
    </row>
    <row r="793" spans="39:41">
      <c r="AM793" s="266" t="str">
        <f t="shared" si="33"/>
        <v/>
      </c>
      <c r="AN793" s="267" t="str">
        <f t="shared" si="34"/>
        <v/>
      </c>
      <c r="AO793" s="267" t="str">
        <f t="shared" si="35"/>
        <v/>
      </c>
    </row>
    <row r="794" spans="39:41">
      <c r="AM794" s="266" t="str">
        <f t="shared" si="33"/>
        <v/>
      </c>
      <c r="AN794" s="267" t="str">
        <f t="shared" si="34"/>
        <v/>
      </c>
      <c r="AO794" s="267" t="str">
        <f t="shared" si="35"/>
        <v/>
      </c>
    </row>
    <row r="795" spans="39:41">
      <c r="AM795" s="266" t="str">
        <f t="shared" si="33"/>
        <v/>
      </c>
      <c r="AN795" s="267" t="str">
        <f t="shared" si="34"/>
        <v/>
      </c>
      <c r="AO795" s="267" t="str">
        <f t="shared" si="35"/>
        <v/>
      </c>
    </row>
    <row r="796" spans="39:41">
      <c r="AM796" s="266" t="str">
        <f t="shared" si="33"/>
        <v/>
      </c>
      <c r="AN796" s="267" t="str">
        <f t="shared" si="34"/>
        <v/>
      </c>
      <c r="AO796" s="267" t="str">
        <f t="shared" si="35"/>
        <v/>
      </c>
    </row>
    <row r="797" spans="39:41">
      <c r="AM797" s="266" t="str">
        <f t="shared" si="33"/>
        <v/>
      </c>
      <c r="AN797" s="267" t="str">
        <f t="shared" si="34"/>
        <v/>
      </c>
      <c r="AO797" s="267" t="str">
        <f t="shared" si="35"/>
        <v/>
      </c>
    </row>
    <row r="798" spans="39:41">
      <c r="AM798" s="266" t="str">
        <f t="shared" si="33"/>
        <v/>
      </c>
      <c r="AN798" s="267" t="str">
        <f t="shared" si="34"/>
        <v/>
      </c>
      <c r="AO798" s="267" t="str">
        <f t="shared" si="35"/>
        <v/>
      </c>
    </row>
    <row r="799" spans="39:41">
      <c r="AM799" s="266" t="str">
        <f t="shared" si="33"/>
        <v/>
      </c>
      <c r="AN799" s="267" t="str">
        <f t="shared" si="34"/>
        <v/>
      </c>
      <c r="AO799" s="267" t="str">
        <f t="shared" si="35"/>
        <v/>
      </c>
    </row>
    <row r="800" spans="39:41">
      <c r="AM800" s="266" t="str">
        <f t="shared" si="33"/>
        <v/>
      </c>
      <c r="AN800" s="267" t="str">
        <f t="shared" si="34"/>
        <v/>
      </c>
      <c r="AO800" s="267" t="str">
        <f t="shared" si="35"/>
        <v/>
      </c>
    </row>
    <row r="801" spans="39:41">
      <c r="AM801" s="266" t="str">
        <f t="shared" si="33"/>
        <v/>
      </c>
      <c r="AN801" s="267" t="str">
        <f t="shared" si="34"/>
        <v/>
      </c>
      <c r="AO801" s="267" t="str">
        <f t="shared" si="35"/>
        <v/>
      </c>
    </row>
    <row r="802" spans="39:41">
      <c r="AM802" s="266" t="str">
        <f t="shared" si="33"/>
        <v/>
      </c>
      <c r="AN802" s="267" t="str">
        <f t="shared" si="34"/>
        <v/>
      </c>
      <c r="AO802" s="267" t="str">
        <f t="shared" si="35"/>
        <v/>
      </c>
    </row>
    <row r="803" spans="39:41">
      <c r="AM803" s="266" t="str">
        <f t="shared" si="33"/>
        <v/>
      </c>
      <c r="AN803" s="267" t="str">
        <f t="shared" si="34"/>
        <v/>
      </c>
      <c r="AO803" s="267" t="str">
        <f t="shared" si="35"/>
        <v/>
      </c>
    </row>
    <row r="804" spans="39:41">
      <c r="AM804" s="266" t="str">
        <f t="shared" si="33"/>
        <v/>
      </c>
      <c r="AN804" s="267" t="str">
        <f t="shared" si="34"/>
        <v/>
      </c>
      <c r="AO804" s="267" t="str">
        <f t="shared" si="35"/>
        <v/>
      </c>
    </row>
    <row r="805" spans="39:41">
      <c r="AM805" s="266" t="str">
        <f t="shared" si="33"/>
        <v/>
      </c>
      <c r="AN805" s="267" t="str">
        <f t="shared" si="34"/>
        <v/>
      </c>
      <c r="AO805" s="267" t="str">
        <f t="shared" si="35"/>
        <v/>
      </c>
    </row>
    <row r="806" spans="39:41">
      <c r="AM806" s="266" t="str">
        <f t="shared" si="33"/>
        <v/>
      </c>
      <c r="AN806" s="267" t="str">
        <f t="shared" si="34"/>
        <v/>
      </c>
      <c r="AO806" s="267" t="str">
        <f t="shared" si="35"/>
        <v/>
      </c>
    </row>
    <row r="807" spans="39:41">
      <c r="AM807" s="266" t="str">
        <f t="shared" si="33"/>
        <v/>
      </c>
      <c r="AN807" s="267" t="str">
        <f t="shared" si="34"/>
        <v/>
      </c>
      <c r="AO807" s="267" t="str">
        <f t="shared" si="35"/>
        <v/>
      </c>
    </row>
    <row r="808" spans="39:41">
      <c r="AM808" s="266" t="str">
        <f t="shared" si="33"/>
        <v/>
      </c>
      <c r="AN808" s="267" t="str">
        <f t="shared" si="34"/>
        <v/>
      </c>
      <c r="AO808" s="267" t="str">
        <f t="shared" si="35"/>
        <v/>
      </c>
    </row>
    <row r="809" spans="39:41">
      <c r="AM809" s="266" t="str">
        <f t="shared" si="33"/>
        <v/>
      </c>
      <c r="AN809" s="267" t="str">
        <f t="shared" si="34"/>
        <v/>
      </c>
      <c r="AO809" s="267" t="str">
        <f t="shared" si="35"/>
        <v/>
      </c>
    </row>
    <row r="810" spans="39:41">
      <c r="AM810" s="266" t="str">
        <f t="shared" si="33"/>
        <v/>
      </c>
      <c r="AN810" s="267" t="str">
        <f t="shared" si="34"/>
        <v/>
      </c>
      <c r="AO810" s="267" t="str">
        <f t="shared" si="35"/>
        <v/>
      </c>
    </row>
    <row r="811" spans="39:41">
      <c r="AM811" s="266" t="str">
        <f t="shared" si="33"/>
        <v/>
      </c>
      <c r="AN811" s="267" t="str">
        <f t="shared" si="34"/>
        <v/>
      </c>
      <c r="AO811" s="267" t="str">
        <f t="shared" si="35"/>
        <v/>
      </c>
    </row>
    <row r="812" spans="39:41">
      <c r="AM812" s="266" t="str">
        <f t="shared" si="33"/>
        <v/>
      </c>
      <c r="AN812" s="267" t="str">
        <f t="shared" si="34"/>
        <v/>
      </c>
      <c r="AO812" s="267" t="str">
        <f t="shared" si="35"/>
        <v/>
      </c>
    </row>
    <row r="813" spans="39:41">
      <c r="AM813" s="266" t="str">
        <f t="shared" si="33"/>
        <v/>
      </c>
      <c r="AN813" s="267" t="str">
        <f t="shared" si="34"/>
        <v/>
      </c>
      <c r="AO813" s="267" t="str">
        <f t="shared" si="35"/>
        <v/>
      </c>
    </row>
    <row r="814" spans="39:41">
      <c r="AM814" s="266" t="str">
        <f t="shared" si="33"/>
        <v/>
      </c>
      <c r="AN814" s="267" t="str">
        <f t="shared" si="34"/>
        <v/>
      </c>
      <c r="AO814" s="267" t="str">
        <f t="shared" si="35"/>
        <v/>
      </c>
    </row>
    <row r="815" spans="39:41">
      <c r="AM815" s="266" t="str">
        <f t="shared" si="33"/>
        <v/>
      </c>
      <c r="AN815" s="267" t="str">
        <f t="shared" si="34"/>
        <v/>
      </c>
      <c r="AO815" s="267" t="str">
        <f t="shared" si="35"/>
        <v/>
      </c>
    </row>
    <row r="816" spans="39:41">
      <c r="AM816" s="266" t="str">
        <f t="shared" si="33"/>
        <v/>
      </c>
      <c r="AN816" s="267" t="str">
        <f t="shared" si="34"/>
        <v/>
      </c>
      <c r="AO816" s="267" t="str">
        <f t="shared" si="35"/>
        <v/>
      </c>
    </row>
    <row r="817" spans="39:41">
      <c r="AM817" s="266" t="str">
        <f t="shared" si="33"/>
        <v/>
      </c>
      <c r="AN817" s="267" t="str">
        <f t="shared" si="34"/>
        <v/>
      </c>
      <c r="AO817" s="267" t="str">
        <f t="shared" si="35"/>
        <v/>
      </c>
    </row>
    <row r="818" spans="39:41">
      <c r="AM818" s="266" t="str">
        <f t="shared" si="33"/>
        <v/>
      </c>
      <c r="AN818" s="267" t="str">
        <f t="shared" si="34"/>
        <v/>
      </c>
      <c r="AO818" s="267" t="str">
        <f t="shared" si="35"/>
        <v/>
      </c>
    </row>
    <row r="819" spans="39:41">
      <c r="AM819" s="266" t="str">
        <f t="shared" si="33"/>
        <v/>
      </c>
      <c r="AN819" s="267" t="str">
        <f t="shared" si="34"/>
        <v/>
      </c>
      <c r="AO819" s="267" t="str">
        <f t="shared" si="35"/>
        <v/>
      </c>
    </row>
    <row r="820" spans="39:41">
      <c r="AM820" s="266" t="str">
        <f t="shared" si="33"/>
        <v/>
      </c>
      <c r="AN820" s="267" t="str">
        <f t="shared" si="34"/>
        <v/>
      </c>
      <c r="AO820" s="267" t="str">
        <f t="shared" si="35"/>
        <v/>
      </c>
    </row>
    <row r="821" spans="39:41">
      <c r="AM821" s="266" t="str">
        <f t="shared" si="33"/>
        <v/>
      </c>
      <c r="AN821" s="267" t="str">
        <f t="shared" si="34"/>
        <v/>
      </c>
      <c r="AO821" s="267" t="str">
        <f t="shared" si="35"/>
        <v/>
      </c>
    </row>
    <row r="822" spans="39:41">
      <c r="AM822" s="266" t="str">
        <f t="shared" si="33"/>
        <v/>
      </c>
      <c r="AN822" s="267" t="str">
        <f t="shared" si="34"/>
        <v/>
      </c>
      <c r="AO822" s="267" t="str">
        <f t="shared" si="35"/>
        <v/>
      </c>
    </row>
    <row r="823" spans="39:41">
      <c r="AM823" s="266" t="str">
        <f t="shared" si="33"/>
        <v/>
      </c>
      <c r="AN823" s="267" t="str">
        <f t="shared" si="34"/>
        <v/>
      </c>
      <c r="AO823" s="267" t="str">
        <f t="shared" si="35"/>
        <v/>
      </c>
    </row>
    <row r="824" spans="39:41">
      <c r="AM824" s="266" t="str">
        <f t="shared" si="33"/>
        <v/>
      </c>
      <c r="AN824" s="267" t="str">
        <f t="shared" si="34"/>
        <v/>
      </c>
      <c r="AO824" s="267" t="str">
        <f t="shared" si="35"/>
        <v/>
      </c>
    </row>
    <row r="825" spans="39:41">
      <c r="AM825" s="266" t="str">
        <f t="shared" si="33"/>
        <v/>
      </c>
      <c r="AN825" s="267" t="str">
        <f t="shared" si="34"/>
        <v/>
      </c>
      <c r="AO825" s="267" t="str">
        <f t="shared" si="35"/>
        <v/>
      </c>
    </row>
    <row r="826" spans="39:41">
      <c r="AM826" s="266" t="str">
        <f t="shared" si="33"/>
        <v/>
      </c>
      <c r="AN826" s="267" t="str">
        <f t="shared" si="34"/>
        <v/>
      </c>
      <c r="AO826" s="267" t="str">
        <f t="shared" si="35"/>
        <v/>
      </c>
    </row>
    <row r="827" spans="39:41">
      <c r="AM827" s="266" t="str">
        <f t="shared" si="33"/>
        <v/>
      </c>
      <c r="AN827" s="267" t="str">
        <f t="shared" si="34"/>
        <v/>
      </c>
      <c r="AO827" s="267" t="str">
        <f t="shared" si="35"/>
        <v/>
      </c>
    </row>
    <row r="828" spans="39:41">
      <c r="AM828" s="266" t="str">
        <f t="shared" si="33"/>
        <v/>
      </c>
      <c r="AN828" s="267" t="str">
        <f t="shared" si="34"/>
        <v/>
      </c>
      <c r="AO828" s="267" t="str">
        <f t="shared" si="35"/>
        <v/>
      </c>
    </row>
    <row r="829" spans="39:41">
      <c r="AM829" s="266" t="str">
        <f t="shared" si="33"/>
        <v/>
      </c>
      <c r="AN829" s="267" t="str">
        <f t="shared" si="34"/>
        <v/>
      </c>
      <c r="AO829" s="267" t="str">
        <f t="shared" si="35"/>
        <v/>
      </c>
    </row>
    <row r="830" spans="39:41">
      <c r="AM830" s="266" t="str">
        <f t="shared" si="33"/>
        <v/>
      </c>
      <c r="AN830" s="267" t="str">
        <f t="shared" si="34"/>
        <v/>
      </c>
      <c r="AO830" s="267" t="str">
        <f t="shared" si="35"/>
        <v/>
      </c>
    </row>
    <row r="831" spans="39:41">
      <c r="AM831" s="266" t="str">
        <f t="shared" si="33"/>
        <v/>
      </c>
      <c r="AN831" s="267" t="str">
        <f t="shared" si="34"/>
        <v/>
      </c>
      <c r="AO831" s="267" t="str">
        <f t="shared" si="35"/>
        <v/>
      </c>
    </row>
    <row r="832" spans="39:41">
      <c r="AM832" s="266" t="str">
        <f t="shared" si="33"/>
        <v/>
      </c>
      <c r="AN832" s="267" t="str">
        <f t="shared" si="34"/>
        <v/>
      </c>
      <c r="AO832" s="267" t="str">
        <f t="shared" si="35"/>
        <v/>
      </c>
    </row>
    <row r="833" spans="39:41">
      <c r="AM833" s="266" t="str">
        <f t="shared" si="33"/>
        <v/>
      </c>
      <c r="AN833" s="267" t="str">
        <f t="shared" si="34"/>
        <v/>
      </c>
      <c r="AO833" s="267" t="str">
        <f t="shared" si="35"/>
        <v/>
      </c>
    </row>
    <row r="834" spans="39:41">
      <c r="AM834" s="266" t="str">
        <f t="shared" si="33"/>
        <v/>
      </c>
      <c r="AN834" s="267" t="str">
        <f t="shared" si="34"/>
        <v/>
      </c>
      <c r="AO834" s="267" t="str">
        <f t="shared" si="35"/>
        <v/>
      </c>
    </row>
    <row r="835" spans="39:41">
      <c r="AM835" s="266" t="str">
        <f t="shared" si="33"/>
        <v/>
      </c>
      <c r="AN835" s="267" t="str">
        <f t="shared" si="34"/>
        <v/>
      </c>
      <c r="AO835" s="267" t="str">
        <f t="shared" si="35"/>
        <v/>
      </c>
    </row>
    <row r="836" spans="39:41">
      <c r="AM836" s="266" t="str">
        <f t="shared" ref="AM836:AM899" si="36">IF(AK836,(AK836-AJ836)/(AD836-AG836),"")</f>
        <v/>
      </c>
      <c r="AN836" s="267" t="str">
        <f t="shared" ref="AN836:AN899" si="37">IF(AK836,(AK836-AJ836)/(AE836-AH836),"")</f>
        <v/>
      </c>
      <c r="AO836" s="267" t="str">
        <f t="shared" ref="AO836:AO899" si="38">IF(AK836,(AK836-AJ836)/(AF836-AI836),"")</f>
        <v/>
      </c>
    </row>
    <row r="837" spans="39:41">
      <c r="AM837" s="266" t="str">
        <f t="shared" si="36"/>
        <v/>
      </c>
      <c r="AN837" s="267" t="str">
        <f t="shared" si="37"/>
        <v/>
      </c>
      <c r="AO837" s="267" t="str">
        <f t="shared" si="38"/>
        <v/>
      </c>
    </row>
    <row r="838" spans="39:41">
      <c r="AM838" s="266" t="str">
        <f t="shared" si="36"/>
        <v/>
      </c>
      <c r="AN838" s="267" t="str">
        <f t="shared" si="37"/>
        <v/>
      </c>
      <c r="AO838" s="267" t="str">
        <f t="shared" si="38"/>
        <v/>
      </c>
    </row>
    <row r="839" spans="39:41">
      <c r="AM839" s="266" t="str">
        <f t="shared" si="36"/>
        <v/>
      </c>
      <c r="AN839" s="267" t="str">
        <f t="shared" si="37"/>
        <v/>
      </c>
      <c r="AO839" s="267" t="str">
        <f t="shared" si="38"/>
        <v/>
      </c>
    </row>
    <row r="840" spans="39:41">
      <c r="AM840" s="266" t="str">
        <f t="shared" si="36"/>
        <v/>
      </c>
      <c r="AN840" s="267" t="str">
        <f t="shared" si="37"/>
        <v/>
      </c>
      <c r="AO840" s="267" t="str">
        <f t="shared" si="38"/>
        <v/>
      </c>
    </row>
    <row r="841" spans="39:41">
      <c r="AM841" s="266" t="str">
        <f t="shared" si="36"/>
        <v/>
      </c>
      <c r="AN841" s="267" t="str">
        <f t="shared" si="37"/>
        <v/>
      </c>
      <c r="AO841" s="267" t="str">
        <f t="shared" si="38"/>
        <v/>
      </c>
    </row>
    <row r="842" spans="39:41">
      <c r="AM842" s="266" t="str">
        <f t="shared" si="36"/>
        <v/>
      </c>
      <c r="AN842" s="267" t="str">
        <f t="shared" si="37"/>
        <v/>
      </c>
      <c r="AO842" s="267" t="str">
        <f t="shared" si="38"/>
        <v/>
      </c>
    </row>
    <row r="843" spans="39:41">
      <c r="AM843" s="266" t="str">
        <f t="shared" si="36"/>
        <v/>
      </c>
      <c r="AN843" s="267" t="str">
        <f t="shared" si="37"/>
        <v/>
      </c>
      <c r="AO843" s="267" t="str">
        <f t="shared" si="38"/>
        <v/>
      </c>
    </row>
    <row r="844" spans="39:41">
      <c r="AM844" s="266" t="str">
        <f t="shared" si="36"/>
        <v/>
      </c>
      <c r="AN844" s="267" t="str">
        <f t="shared" si="37"/>
        <v/>
      </c>
      <c r="AO844" s="267" t="str">
        <f t="shared" si="38"/>
        <v/>
      </c>
    </row>
    <row r="845" spans="39:41">
      <c r="AM845" s="266" t="str">
        <f t="shared" si="36"/>
        <v/>
      </c>
      <c r="AN845" s="267" t="str">
        <f t="shared" si="37"/>
        <v/>
      </c>
      <c r="AO845" s="267" t="str">
        <f t="shared" si="38"/>
        <v/>
      </c>
    </row>
    <row r="846" spans="39:41">
      <c r="AM846" s="266" t="str">
        <f t="shared" si="36"/>
        <v/>
      </c>
      <c r="AN846" s="267" t="str">
        <f t="shared" si="37"/>
        <v/>
      </c>
      <c r="AO846" s="267" t="str">
        <f t="shared" si="38"/>
        <v/>
      </c>
    </row>
    <row r="847" spans="39:41">
      <c r="AM847" s="266" t="str">
        <f t="shared" si="36"/>
        <v/>
      </c>
      <c r="AN847" s="267" t="str">
        <f t="shared" si="37"/>
        <v/>
      </c>
      <c r="AO847" s="267" t="str">
        <f t="shared" si="38"/>
        <v/>
      </c>
    </row>
    <row r="848" spans="39:41">
      <c r="AM848" s="266" t="str">
        <f t="shared" si="36"/>
        <v/>
      </c>
      <c r="AN848" s="267" t="str">
        <f t="shared" si="37"/>
        <v/>
      </c>
      <c r="AO848" s="267" t="str">
        <f t="shared" si="38"/>
        <v/>
      </c>
    </row>
    <row r="849" spans="39:41">
      <c r="AM849" s="266" t="str">
        <f t="shared" si="36"/>
        <v/>
      </c>
      <c r="AN849" s="267" t="str">
        <f t="shared" si="37"/>
        <v/>
      </c>
      <c r="AO849" s="267" t="str">
        <f t="shared" si="38"/>
        <v/>
      </c>
    </row>
    <row r="850" spans="39:41">
      <c r="AM850" s="266" t="str">
        <f t="shared" si="36"/>
        <v/>
      </c>
      <c r="AN850" s="267" t="str">
        <f t="shared" si="37"/>
        <v/>
      </c>
      <c r="AO850" s="267" t="str">
        <f t="shared" si="38"/>
        <v/>
      </c>
    </row>
    <row r="851" spans="39:41">
      <c r="AM851" s="266" t="str">
        <f t="shared" si="36"/>
        <v/>
      </c>
      <c r="AN851" s="267" t="str">
        <f t="shared" si="37"/>
        <v/>
      </c>
      <c r="AO851" s="267" t="str">
        <f t="shared" si="38"/>
        <v/>
      </c>
    </row>
    <row r="852" spans="39:41">
      <c r="AM852" s="266" t="str">
        <f t="shared" si="36"/>
        <v/>
      </c>
      <c r="AN852" s="267" t="str">
        <f t="shared" si="37"/>
        <v/>
      </c>
      <c r="AO852" s="267" t="str">
        <f t="shared" si="38"/>
        <v/>
      </c>
    </row>
    <row r="853" spans="39:41">
      <c r="AM853" s="266" t="str">
        <f t="shared" si="36"/>
        <v/>
      </c>
      <c r="AN853" s="267" t="str">
        <f t="shared" si="37"/>
        <v/>
      </c>
      <c r="AO853" s="267" t="str">
        <f t="shared" si="38"/>
        <v/>
      </c>
    </row>
    <row r="854" spans="39:41">
      <c r="AM854" s="266" t="str">
        <f t="shared" si="36"/>
        <v/>
      </c>
      <c r="AN854" s="267" t="str">
        <f t="shared" si="37"/>
        <v/>
      </c>
      <c r="AO854" s="267" t="str">
        <f t="shared" si="38"/>
        <v/>
      </c>
    </row>
    <row r="855" spans="39:41">
      <c r="AM855" s="266" t="str">
        <f t="shared" si="36"/>
        <v/>
      </c>
      <c r="AN855" s="267" t="str">
        <f t="shared" si="37"/>
        <v/>
      </c>
      <c r="AO855" s="267" t="str">
        <f t="shared" si="38"/>
        <v/>
      </c>
    </row>
    <row r="856" spans="39:41">
      <c r="AM856" s="266" t="str">
        <f t="shared" si="36"/>
        <v/>
      </c>
      <c r="AN856" s="267" t="str">
        <f t="shared" si="37"/>
        <v/>
      </c>
      <c r="AO856" s="267" t="str">
        <f t="shared" si="38"/>
        <v/>
      </c>
    </row>
    <row r="857" spans="39:41">
      <c r="AM857" s="266" t="str">
        <f t="shared" si="36"/>
        <v/>
      </c>
      <c r="AN857" s="267" t="str">
        <f t="shared" si="37"/>
        <v/>
      </c>
      <c r="AO857" s="267" t="str">
        <f t="shared" si="38"/>
        <v/>
      </c>
    </row>
    <row r="858" spans="39:41">
      <c r="AM858" s="266" t="str">
        <f t="shared" si="36"/>
        <v/>
      </c>
      <c r="AN858" s="267" t="str">
        <f t="shared" si="37"/>
        <v/>
      </c>
      <c r="AO858" s="267" t="str">
        <f t="shared" si="38"/>
        <v/>
      </c>
    </row>
    <row r="859" spans="39:41">
      <c r="AM859" s="266" t="str">
        <f t="shared" si="36"/>
        <v/>
      </c>
      <c r="AN859" s="267" t="str">
        <f t="shared" si="37"/>
        <v/>
      </c>
      <c r="AO859" s="267" t="str">
        <f t="shared" si="38"/>
        <v/>
      </c>
    </row>
    <row r="860" spans="39:41">
      <c r="AM860" s="266" t="str">
        <f t="shared" si="36"/>
        <v/>
      </c>
      <c r="AN860" s="267" t="str">
        <f t="shared" si="37"/>
        <v/>
      </c>
      <c r="AO860" s="267" t="str">
        <f t="shared" si="38"/>
        <v/>
      </c>
    </row>
    <row r="861" spans="39:41">
      <c r="AM861" s="266" t="str">
        <f t="shared" si="36"/>
        <v/>
      </c>
      <c r="AN861" s="267" t="str">
        <f t="shared" si="37"/>
        <v/>
      </c>
      <c r="AO861" s="267" t="str">
        <f t="shared" si="38"/>
        <v/>
      </c>
    </row>
    <row r="862" spans="39:41">
      <c r="AM862" s="266" t="str">
        <f t="shared" si="36"/>
        <v/>
      </c>
      <c r="AN862" s="267" t="str">
        <f t="shared" si="37"/>
        <v/>
      </c>
      <c r="AO862" s="267" t="str">
        <f t="shared" si="38"/>
        <v/>
      </c>
    </row>
    <row r="863" spans="39:41">
      <c r="AM863" s="266" t="str">
        <f t="shared" si="36"/>
        <v/>
      </c>
      <c r="AN863" s="267" t="str">
        <f t="shared" si="37"/>
        <v/>
      </c>
      <c r="AO863" s="267" t="str">
        <f t="shared" si="38"/>
        <v/>
      </c>
    </row>
    <row r="864" spans="39:41">
      <c r="AM864" s="266" t="str">
        <f t="shared" si="36"/>
        <v/>
      </c>
      <c r="AN864" s="267" t="str">
        <f t="shared" si="37"/>
        <v/>
      </c>
      <c r="AO864" s="267" t="str">
        <f t="shared" si="38"/>
        <v/>
      </c>
    </row>
    <row r="865" spans="39:41">
      <c r="AM865" s="266" t="str">
        <f t="shared" si="36"/>
        <v/>
      </c>
      <c r="AN865" s="267" t="str">
        <f t="shared" si="37"/>
        <v/>
      </c>
      <c r="AO865" s="267" t="str">
        <f t="shared" si="38"/>
        <v/>
      </c>
    </row>
    <row r="866" spans="39:41">
      <c r="AM866" s="266" t="str">
        <f t="shared" si="36"/>
        <v/>
      </c>
      <c r="AN866" s="267" t="str">
        <f t="shared" si="37"/>
        <v/>
      </c>
      <c r="AO866" s="267" t="str">
        <f t="shared" si="38"/>
        <v/>
      </c>
    </row>
    <row r="867" spans="39:41">
      <c r="AM867" s="266" t="str">
        <f t="shared" si="36"/>
        <v/>
      </c>
      <c r="AN867" s="267" t="str">
        <f t="shared" si="37"/>
        <v/>
      </c>
      <c r="AO867" s="267" t="str">
        <f t="shared" si="38"/>
        <v/>
      </c>
    </row>
    <row r="868" spans="39:41">
      <c r="AM868" s="266" t="str">
        <f t="shared" si="36"/>
        <v/>
      </c>
      <c r="AN868" s="267" t="str">
        <f t="shared" si="37"/>
        <v/>
      </c>
      <c r="AO868" s="267" t="str">
        <f t="shared" si="38"/>
        <v/>
      </c>
    </row>
    <row r="869" spans="39:41">
      <c r="AM869" s="266" t="str">
        <f t="shared" si="36"/>
        <v/>
      </c>
      <c r="AN869" s="267" t="str">
        <f t="shared" si="37"/>
        <v/>
      </c>
      <c r="AO869" s="267" t="str">
        <f t="shared" si="38"/>
        <v/>
      </c>
    </row>
    <row r="870" spans="39:41">
      <c r="AM870" s="266" t="str">
        <f t="shared" si="36"/>
        <v/>
      </c>
      <c r="AN870" s="267" t="str">
        <f t="shared" si="37"/>
        <v/>
      </c>
      <c r="AO870" s="267" t="str">
        <f t="shared" si="38"/>
        <v/>
      </c>
    </row>
    <row r="871" spans="39:41">
      <c r="AM871" s="266" t="str">
        <f t="shared" si="36"/>
        <v/>
      </c>
      <c r="AN871" s="267" t="str">
        <f t="shared" si="37"/>
        <v/>
      </c>
      <c r="AO871" s="267" t="str">
        <f t="shared" si="38"/>
        <v/>
      </c>
    </row>
    <row r="872" spans="39:41">
      <c r="AM872" s="266" t="str">
        <f t="shared" si="36"/>
        <v/>
      </c>
      <c r="AN872" s="267" t="str">
        <f t="shared" si="37"/>
        <v/>
      </c>
      <c r="AO872" s="267" t="str">
        <f t="shared" si="38"/>
        <v/>
      </c>
    </row>
    <row r="873" spans="39:41">
      <c r="AM873" s="266" t="str">
        <f t="shared" si="36"/>
        <v/>
      </c>
      <c r="AN873" s="267" t="str">
        <f t="shared" si="37"/>
        <v/>
      </c>
      <c r="AO873" s="267" t="str">
        <f t="shared" si="38"/>
        <v/>
      </c>
    </row>
    <row r="874" spans="39:41">
      <c r="AM874" s="266" t="str">
        <f t="shared" si="36"/>
        <v/>
      </c>
      <c r="AN874" s="267" t="str">
        <f t="shared" si="37"/>
        <v/>
      </c>
      <c r="AO874" s="267" t="str">
        <f t="shared" si="38"/>
        <v/>
      </c>
    </row>
    <row r="875" spans="39:41">
      <c r="AM875" s="266" t="str">
        <f t="shared" si="36"/>
        <v/>
      </c>
      <c r="AN875" s="267" t="str">
        <f t="shared" si="37"/>
        <v/>
      </c>
      <c r="AO875" s="267" t="str">
        <f t="shared" si="38"/>
        <v/>
      </c>
    </row>
    <row r="876" spans="39:41">
      <c r="AM876" s="266" t="str">
        <f t="shared" si="36"/>
        <v/>
      </c>
      <c r="AN876" s="267" t="str">
        <f t="shared" si="37"/>
        <v/>
      </c>
      <c r="AO876" s="267" t="str">
        <f t="shared" si="38"/>
        <v/>
      </c>
    </row>
    <row r="877" spans="39:41">
      <c r="AM877" s="266" t="str">
        <f t="shared" si="36"/>
        <v/>
      </c>
      <c r="AN877" s="267" t="str">
        <f t="shared" si="37"/>
        <v/>
      </c>
      <c r="AO877" s="267" t="str">
        <f t="shared" si="38"/>
        <v/>
      </c>
    </row>
    <row r="878" spans="39:41">
      <c r="AM878" s="266" t="str">
        <f t="shared" si="36"/>
        <v/>
      </c>
      <c r="AN878" s="267" t="str">
        <f t="shared" si="37"/>
        <v/>
      </c>
      <c r="AO878" s="267" t="str">
        <f t="shared" si="38"/>
        <v/>
      </c>
    </row>
    <row r="879" spans="39:41">
      <c r="AM879" s="266" t="str">
        <f t="shared" si="36"/>
        <v/>
      </c>
      <c r="AN879" s="267" t="str">
        <f t="shared" si="37"/>
        <v/>
      </c>
      <c r="AO879" s="267" t="str">
        <f t="shared" si="38"/>
        <v/>
      </c>
    </row>
    <row r="880" spans="39:41">
      <c r="AM880" s="266" t="str">
        <f t="shared" si="36"/>
        <v/>
      </c>
      <c r="AN880" s="267" t="str">
        <f t="shared" si="37"/>
        <v/>
      </c>
      <c r="AO880" s="267" t="str">
        <f t="shared" si="38"/>
        <v/>
      </c>
    </row>
    <row r="881" spans="39:41">
      <c r="AM881" s="266" t="str">
        <f t="shared" si="36"/>
        <v/>
      </c>
      <c r="AN881" s="267" t="str">
        <f t="shared" si="37"/>
        <v/>
      </c>
      <c r="AO881" s="267" t="str">
        <f t="shared" si="38"/>
        <v/>
      </c>
    </row>
    <row r="882" spans="39:41">
      <c r="AM882" s="266" t="str">
        <f t="shared" si="36"/>
        <v/>
      </c>
      <c r="AN882" s="267" t="str">
        <f t="shared" si="37"/>
        <v/>
      </c>
      <c r="AO882" s="267" t="str">
        <f t="shared" si="38"/>
        <v/>
      </c>
    </row>
    <row r="883" spans="39:41">
      <c r="AM883" s="266" t="str">
        <f t="shared" si="36"/>
        <v/>
      </c>
      <c r="AN883" s="267" t="str">
        <f t="shared" si="37"/>
        <v/>
      </c>
      <c r="AO883" s="267" t="str">
        <f t="shared" si="38"/>
        <v/>
      </c>
    </row>
    <row r="884" spans="39:41">
      <c r="AM884" s="266" t="str">
        <f t="shared" si="36"/>
        <v/>
      </c>
      <c r="AN884" s="267" t="str">
        <f t="shared" si="37"/>
        <v/>
      </c>
      <c r="AO884" s="267" t="str">
        <f t="shared" si="38"/>
        <v/>
      </c>
    </row>
    <row r="885" spans="39:41">
      <c r="AM885" s="266" t="str">
        <f t="shared" si="36"/>
        <v/>
      </c>
      <c r="AN885" s="267" t="str">
        <f t="shared" si="37"/>
        <v/>
      </c>
      <c r="AO885" s="267" t="str">
        <f t="shared" si="38"/>
        <v/>
      </c>
    </row>
    <row r="886" spans="39:41">
      <c r="AM886" s="266" t="str">
        <f t="shared" si="36"/>
        <v/>
      </c>
      <c r="AN886" s="267" t="str">
        <f t="shared" si="37"/>
        <v/>
      </c>
      <c r="AO886" s="267" t="str">
        <f t="shared" si="38"/>
        <v/>
      </c>
    </row>
    <row r="887" spans="39:41">
      <c r="AM887" s="266" t="str">
        <f t="shared" si="36"/>
        <v/>
      </c>
      <c r="AN887" s="267" t="str">
        <f t="shared" si="37"/>
        <v/>
      </c>
      <c r="AO887" s="267" t="str">
        <f t="shared" si="38"/>
        <v/>
      </c>
    </row>
    <row r="888" spans="39:41">
      <c r="AM888" s="266" t="str">
        <f t="shared" si="36"/>
        <v/>
      </c>
      <c r="AN888" s="267" t="str">
        <f t="shared" si="37"/>
        <v/>
      </c>
      <c r="AO888" s="267" t="str">
        <f t="shared" si="38"/>
        <v/>
      </c>
    </row>
    <row r="889" spans="39:41">
      <c r="AM889" s="266" t="str">
        <f t="shared" si="36"/>
        <v/>
      </c>
      <c r="AN889" s="267" t="str">
        <f t="shared" si="37"/>
        <v/>
      </c>
      <c r="AO889" s="267" t="str">
        <f t="shared" si="38"/>
        <v/>
      </c>
    </row>
    <row r="890" spans="39:41">
      <c r="AM890" s="266" t="str">
        <f t="shared" si="36"/>
        <v/>
      </c>
      <c r="AN890" s="267" t="str">
        <f t="shared" si="37"/>
        <v/>
      </c>
      <c r="AO890" s="267" t="str">
        <f t="shared" si="38"/>
        <v/>
      </c>
    </row>
    <row r="891" spans="39:41">
      <c r="AM891" s="266" t="str">
        <f t="shared" si="36"/>
        <v/>
      </c>
      <c r="AN891" s="267" t="str">
        <f t="shared" si="37"/>
        <v/>
      </c>
      <c r="AO891" s="267" t="str">
        <f t="shared" si="38"/>
        <v/>
      </c>
    </row>
    <row r="892" spans="39:41">
      <c r="AM892" s="266" t="str">
        <f t="shared" si="36"/>
        <v/>
      </c>
      <c r="AN892" s="267" t="str">
        <f t="shared" si="37"/>
        <v/>
      </c>
      <c r="AO892" s="267" t="str">
        <f t="shared" si="38"/>
        <v/>
      </c>
    </row>
    <row r="893" spans="39:41">
      <c r="AM893" s="266" t="str">
        <f t="shared" si="36"/>
        <v/>
      </c>
      <c r="AN893" s="267" t="str">
        <f t="shared" si="37"/>
        <v/>
      </c>
      <c r="AO893" s="267" t="str">
        <f t="shared" si="38"/>
        <v/>
      </c>
    </row>
    <row r="894" spans="39:41">
      <c r="AM894" s="266" t="str">
        <f t="shared" si="36"/>
        <v/>
      </c>
      <c r="AN894" s="267" t="str">
        <f t="shared" si="37"/>
        <v/>
      </c>
      <c r="AO894" s="267" t="str">
        <f t="shared" si="38"/>
        <v/>
      </c>
    </row>
    <row r="895" spans="39:41">
      <c r="AM895" s="266" t="str">
        <f t="shared" si="36"/>
        <v/>
      </c>
      <c r="AN895" s="267" t="str">
        <f t="shared" si="37"/>
        <v/>
      </c>
      <c r="AO895" s="267" t="str">
        <f t="shared" si="38"/>
        <v/>
      </c>
    </row>
    <row r="896" spans="39:41">
      <c r="AM896" s="266" t="str">
        <f t="shared" si="36"/>
        <v/>
      </c>
      <c r="AN896" s="267" t="str">
        <f t="shared" si="37"/>
        <v/>
      </c>
      <c r="AO896" s="267" t="str">
        <f t="shared" si="38"/>
        <v/>
      </c>
    </row>
    <row r="897" spans="39:41">
      <c r="AM897" s="266" t="str">
        <f t="shared" si="36"/>
        <v/>
      </c>
      <c r="AN897" s="267" t="str">
        <f t="shared" si="37"/>
        <v/>
      </c>
      <c r="AO897" s="267" t="str">
        <f t="shared" si="38"/>
        <v/>
      </c>
    </row>
    <row r="898" spans="39:41">
      <c r="AM898" s="266" t="str">
        <f t="shared" si="36"/>
        <v/>
      </c>
      <c r="AN898" s="267" t="str">
        <f t="shared" si="37"/>
        <v/>
      </c>
      <c r="AO898" s="267" t="str">
        <f t="shared" si="38"/>
        <v/>
      </c>
    </row>
    <row r="899" spans="39:41">
      <c r="AM899" s="266" t="str">
        <f t="shared" si="36"/>
        <v/>
      </c>
      <c r="AN899" s="267" t="str">
        <f t="shared" si="37"/>
        <v/>
      </c>
      <c r="AO899" s="267" t="str">
        <f t="shared" si="38"/>
        <v/>
      </c>
    </row>
    <row r="900" spans="39:41">
      <c r="AM900" s="266" t="str">
        <f t="shared" ref="AM900:AM963" si="39">IF(AK900,(AK900-AJ900)/(AD900-AG900),"")</f>
        <v/>
      </c>
      <c r="AN900" s="267" t="str">
        <f t="shared" ref="AN900:AN963" si="40">IF(AK900,(AK900-AJ900)/(AE900-AH900),"")</f>
        <v/>
      </c>
      <c r="AO900" s="267" t="str">
        <f t="shared" ref="AO900:AO963" si="41">IF(AK900,(AK900-AJ900)/(AF900-AI900),"")</f>
        <v/>
      </c>
    </row>
    <row r="901" spans="39:41">
      <c r="AM901" s="266" t="str">
        <f t="shared" si="39"/>
        <v/>
      </c>
      <c r="AN901" s="267" t="str">
        <f t="shared" si="40"/>
        <v/>
      </c>
      <c r="AO901" s="267" t="str">
        <f t="shared" si="41"/>
        <v/>
      </c>
    </row>
    <row r="902" spans="39:41">
      <c r="AM902" s="266" t="str">
        <f t="shared" si="39"/>
        <v/>
      </c>
      <c r="AN902" s="267" t="str">
        <f t="shared" si="40"/>
        <v/>
      </c>
      <c r="AO902" s="267" t="str">
        <f t="shared" si="41"/>
        <v/>
      </c>
    </row>
    <row r="903" spans="39:41">
      <c r="AM903" s="266" t="str">
        <f t="shared" si="39"/>
        <v/>
      </c>
      <c r="AN903" s="267" t="str">
        <f t="shared" si="40"/>
        <v/>
      </c>
      <c r="AO903" s="267" t="str">
        <f t="shared" si="41"/>
        <v/>
      </c>
    </row>
    <row r="904" spans="39:41">
      <c r="AM904" s="266" t="str">
        <f t="shared" si="39"/>
        <v/>
      </c>
      <c r="AN904" s="267" t="str">
        <f t="shared" si="40"/>
        <v/>
      </c>
      <c r="AO904" s="267" t="str">
        <f t="shared" si="41"/>
        <v/>
      </c>
    </row>
    <row r="905" spans="39:41">
      <c r="AM905" s="266" t="str">
        <f t="shared" si="39"/>
        <v/>
      </c>
      <c r="AN905" s="267" t="str">
        <f t="shared" si="40"/>
        <v/>
      </c>
      <c r="AO905" s="267" t="str">
        <f t="shared" si="41"/>
        <v/>
      </c>
    </row>
    <row r="906" spans="39:41">
      <c r="AM906" s="266" t="str">
        <f t="shared" si="39"/>
        <v/>
      </c>
      <c r="AN906" s="267" t="str">
        <f t="shared" si="40"/>
        <v/>
      </c>
      <c r="AO906" s="267" t="str">
        <f t="shared" si="41"/>
        <v/>
      </c>
    </row>
    <row r="907" spans="39:41">
      <c r="AM907" s="266" t="str">
        <f t="shared" si="39"/>
        <v/>
      </c>
      <c r="AN907" s="267" t="str">
        <f t="shared" si="40"/>
        <v/>
      </c>
      <c r="AO907" s="267" t="str">
        <f t="shared" si="41"/>
        <v/>
      </c>
    </row>
    <row r="908" spans="39:41">
      <c r="AM908" s="266" t="str">
        <f t="shared" si="39"/>
        <v/>
      </c>
      <c r="AN908" s="267" t="str">
        <f t="shared" si="40"/>
        <v/>
      </c>
      <c r="AO908" s="267" t="str">
        <f t="shared" si="41"/>
        <v/>
      </c>
    </row>
    <row r="909" spans="39:41">
      <c r="AM909" s="266" t="str">
        <f t="shared" si="39"/>
        <v/>
      </c>
      <c r="AN909" s="267" t="str">
        <f t="shared" si="40"/>
        <v/>
      </c>
      <c r="AO909" s="267" t="str">
        <f t="shared" si="41"/>
        <v/>
      </c>
    </row>
    <row r="910" spans="39:41">
      <c r="AM910" s="266" t="str">
        <f t="shared" si="39"/>
        <v/>
      </c>
      <c r="AN910" s="267" t="str">
        <f t="shared" si="40"/>
        <v/>
      </c>
      <c r="AO910" s="267" t="str">
        <f t="shared" si="41"/>
        <v/>
      </c>
    </row>
    <row r="911" spans="39:41">
      <c r="AM911" s="266" t="str">
        <f t="shared" si="39"/>
        <v/>
      </c>
      <c r="AN911" s="267" t="str">
        <f t="shared" si="40"/>
        <v/>
      </c>
      <c r="AO911" s="267" t="str">
        <f t="shared" si="41"/>
        <v/>
      </c>
    </row>
    <row r="912" spans="39:41">
      <c r="AM912" s="266" t="str">
        <f t="shared" si="39"/>
        <v/>
      </c>
      <c r="AN912" s="267" t="str">
        <f t="shared" si="40"/>
        <v/>
      </c>
      <c r="AO912" s="267" t="str">
        <f t="shared" si="41"/>
        <v/>
      </c>
    </row>
    <row r="913" spans="39:41">
      <c r="AM913" s="266" t="str">
        <f t="shared" si="39"/>
        <v/>
      </c>
      <c r="AN913" s="267" t="str">
        <f t="shared" si="40"/>
        <v/>
      </c>
      <c r="AO913" s="267" t="str">
        <f t="shared" si="41"/>
        <v/>
      </c>
    </row>
    <row r="914" spans="39:41">
      <c r="AM914" s="266" t="str">
        <f t="shared" si="39"/>
        <v/>
      </c>
      <c r="AN914" s="267" t="str">
        <f t="shared" si="40"/>
        <v/>
      </c>
      <c r="AO914" s="267" t="str">
        <f t="shared" si="41"/>
        <v/>
      </c>
    </row>
    <row r="915" spans="39:41">
      <c r="AM915" s="266" t="str">
        <f t="shared" si="39"/>
        <v/>
      </c>
      <c r="AN915" s="267" t="str">
        <f t="shared" si="40"/>
        <v/>
      </c>
      <c r="AO915" s="267" t="str">
        <f t="shared" si="41"/>
        <v/>
      </c>
    </row>
    <row r="916" spans="39:41">
      <c r="AM916" s="266" t="str">
        <f t="shared" si="39"/>
        <v/>
      </c>
      <c r="AN916" s="267" t="str">
        <f t="shared" si="40"/>
        <v/>
      </c>
      <c r="AO916" s="267" t="str">
        <f t="shared" si="41"/>
        <v/>
      </c>
    </row>
    <row r="917" spans="39:41">
      <c r="AM917" s="266" t="str">
        <f t="shared" si="39"/>
        <v/>
      </c>
      <c r="AN917" s="267" t="str">
        <f t="shared" si="40"/>
        <v/>
      </c>
      <c r="AO917" s="267" t="str">
        <f t="shared" si="41"/>
        <v/>
      </c>
    </row>
    <row r="918" spans="39:41">
      <c r="AM918" s="266" t="str">
        <f t="shared" si="39"/>
        <v/>
      </c>
      <c r="AN918" s="267" t="str">
        <f t="shared" si="40"/>
        <v/>
      </c>
      <c r="AO918" s="267" t="str">
        <f t="shared" si="41"/>
        <v/>
      </c>
    </row>
    <row r="919" spans="39:41">
      <c r="AM919" s="266" t="str">
        <f t="shared" si="39"/>
        <v/>
      </c>
      <c r="AN919" s="267" t="str">
        <f t="shared" si="40"/>
        <v/>
      </c>
      <c r="AO919" s="267" t="str">
        <f t="shared" si="41"/>
        <v/>
      </c>
    </row>
    <row r="920" spans="39:41">
      <c r="AM920" s="266" t="str">
        <f t="shared" si="39"/>
        <v/>
      </c>
      <c r="AN920" s="267" t="str">
        <f t="shared" si="40"/>
        <v/>
      </c>
      <c r="AO920" s="267" t="str">
        <f t="shared" si="41"/>
        <v/>
      </c>
    </row>
    <row r="921" spans="39:41">
      <c r="AM921" s="266" t="str">
        <f t="shared" si="39"/>
        <v/>
      </c>
      <c r="AN921" s="267" t="str">
        <f t="shared" si="40"/>
        <v/>
      </c>
      <c r="AO921" s="267" t="str">
        <f t="shared" si="41"/>
        <v/>
      </c>
    </row>
    <row r="922" spans="39:41">
      <c r="AM922" s="266" t="str">
        <f t="shared" si="39"/>
        <v/>
      </c>
      <c r="AN922" s="267" t="str">
        <f t="shared" si="40"/>
        <v/>
      </c>
      <c r="AO922" s="267" t="str">
        <f t="shared" si="41"/>
        <v/>
      </c>
    </row>
    <row r="923" spans="39:41">
      <c r="AM923" s="266" t="str">
        <f t="shared" si="39"/>
        <v/>
      </c>
      <c r="AN923" s="267" t="str">
        <f t="shared" si="40"/>
        <v/>
      </c>
      <c r="AO923" s="267" t="str">
        <f t="shared" si="41"/>
        <v/>
      </c>
    </row>
    <row r="924" spans="39:41">
      <c r="AM924" s="266" t="str">
        <f t="shared" si="39"/>
        <v/>
      </c>
      <c r="AN924" s="267" t="str">
        <f t="shared" si="40"/>
        <v/>
      </c>
      <c r="AO924" s="267" t="str">
        <f t="shared" si="41"/>
        <v/>
      </c>
    </row>
    <row r="925" spans="39:41">
      <c r="AM925" s="266" t="str">
        <f t="shared" si="39"/>
        <v/>
      </c>
      <c r="AN925" s="267" t="str">
        <f t="shared" si="40"/>
        <v/>
      </c>
      <c r="AO925" s="267" t="str">
        <f t="shared" si="41"/>
        <v/>
      </c>
    </row>
    <row r="926" spans="39:41">
      <c r="AM926" s="266" t="str">
        <f t="shared" si="39"/>
        <v/>
      </c>
      <c r="AN926" s="267" t="str">
        <f t="shared" si="40"/>
        <v/>
      </c>
      <c r="AO926" s="267" t="str">
        <f t="shared" si="41"/>
        <v/>
      </c>
    </row>
    <row r="927" spans="39:41">
      <c r="AM927" s="266" t="str">
        <f t="shared" si="39"/>
        <v/>
      </c>
      <c r="AN927" s="267" t="str">
        <f t="shared" si="40"/>
        <v/>
      </c>
      <c r="AO927" s="267" t="str">
        <f t="shared" si="41"/>
        <v/>
      </c>
    </row>
    <row r="928" spans="39:41">
      <c r="AM928" s="266" t="str">
        <f t="shared" si="39"/>
        <v/>
      </c>
      <c r="AN928" s="267" t="str">
        <f t="shared" si="40"/>
        <v/>
      </c>
      <c r="AO928" s="267" t="str">
        <f t="shared" si="41"/>
        <v/>
      </c>
    </row>
    <row r="929" spans="39:41">
      <c r="AM929" s="266" t="str">
        <f t="shared" si="39"/>
        <v/>
      </c>
      <c r="AN929" s="267" t="str">
        <f t="shared" si="40"/>
        <v/>
      </c>
      <c r="AO929" s="267" t="str">
        <f t="shared" si="41"/>
        <v/>
      </c>
    </row>
    <row r="930" spans="39:41">
      <c r="AM930" s="266" t="str">
        <f t="shared" si="39"/>
        <v/>
      </c>
      <c r="AN930" s="267" t="str">
        <f t="shared" si="40"/>
        <v/>
      </c>
      <c r="AO930" s="267" t="str">
        <f t="shared" si="41"/>
        <v/>
      </c>
    </row>
    <row r="931" spans="39:41">
      <c r="AM931" s="266" t="str">
        <f t="shared" si="39"/>
        <v/>
      </c>
      <c r="AN931" s="267" t="str">
        <f t="shared" si="40"/>
        <v/>
      </c>
      <c r="AO931" s="267" t="str">
        <f t="shared" si="41"/>
        <v/>
      </c>
    </row>
    <row r="932" spans="39:41">
      <c r="AM932" s="266" t="str">
        <f t="shared" si="39"/>
        <v/>
      </c>
      <c r="AN932" s="267" t="str">
        <f t="shared" si="40"/>
        <v/>
      </c>
      <c r="AO932" s="267" t="str">
        <f t="shared" si="41"/>
        <v/>
      </c>
    </row>
    <row r="933" spans="39:41">
      <c r="AM933" s="266" t="str">
        <f t="shared" si="39"/>
        <v/>
      </c>
      <c r="AN933" s="267" t="str">
        <f t="shared" si="40"/>
        <v/>
      </c>
      <c r="AO933" s="267" t="str">
        <f t="shared" si="41"/>
        <v/>
      </c>
    </row>
    <row r="934" spans="39:41">
      <c r="AM934" s="266" t="str">
        <f t="shared" si="39"/>
        <v/>
      </c>
      <c r="AN934" s="267" t="str">
        <f t="shared" si="40"/>
        <v/>
      </c>
      <c r="AO934" s="267" t="str">
        <f t="shared" si="41"/>
        <v/>
      </c>
    </row>
    <row r="935" spans="39:41">
      <c r="AM935" s="266" t="str">
        <f t="shared" si="39"/>
        <v/>
      </c>
      <c r="AN935" s="267" t="str">
        <f t="shared" si="40"/>
        <v/>
      </c>
      <c r="AO935" s="267" t="str">
        <f t="shared" si="41"/>
        <v/>
      </c>
    </row>
    <row r="936" spans="39:41">
      <c r="AM936" s="266" t="str">
        <f t="shared" si="39"/>
        <v/>
      </c>
      <c r="AN936" s="267" t="str">
        <f t="shared" si="40"/>
        <v/>
      </c>
      <c r="AO936" s="267" t="str">
        <f t="shared" si="41"/>
        <v/>
      </c>
    </row>
    <row r="937" spans="39:41">
      <c r="AM937" s="266" t="str">
        <f t="shared" si="39"/>
        <v/>
      </c>
      <c r="AN937" s="267" t="str">
        <f t="shared" si="40"/>
        <v/>
      </c>
      <c r="AO937" s="267" t="str">
        <f t="shared" si="41"/>
        <v/>
      </c>
    </row>
    <row r="938" spans="39:41">
      <c r="AM938" s="266" t="str">
        <f t="shared" si="39"/>
        <v/>
      </c>
      <c r="AN938" s="267" t="str">
        <f t="shared" si="40"/>
        <v/>
      </c>
      <c r="AO938" s="267" t="str">
        <f t="shared" si="41"/>
        <v/>
      </c>
    </row>
    <row r="939" spans="39:41">
      <c r="AM939" s="266" t="str">
        <f t="shared" si="39"/>
        <v/>
      </c>
      <c r="AN939" s="267" t="str">
        <f t="shared" si="40"/>
        <v/>
      </c>
      <c r="AO939" s="267" t="str">
        <f t="shared" si="41"/>
        <v/>
      </c>
    </row>
    <row r="940" spans="39:41">
      <c r="AM940" s="266" t="str">
        <f t="shared" si="39"/>
        <v/>
      </c>
      <c r="AN940" s="267" t="str">
        <f t="shared" si="40"/>
        <v/>
      </c>
      <c r="AO940" s="267" t="str">
        <f t="shared" si="41"/>
        <v/>
      </c>
    </row>
    <row r="941" spans="39:41">
      <c r="AM941" s="266" t="str">
        <f t="shared" si="39"/>
        <v/>
      </c>
      <c r="AN941" s="267" t="str">
        <f t="shared" si="40"/>
        <v/>
      </c>
      <c r="AO941" s="267" t="str">
        <f t="shared" si="41"/>
        <v/>
      </c>
    </row>
    <row r="942" spans="39:41">
      <c r="AM942" s="266" t="str">
        <f t="shared" si="39"/>
        <v/>
      </c>
      <c r="AN942" s="267" t="str">
        <f t="shared" si="40"/>
        <v/>
      </c>
      <c r="AO942" s="267" t="str">
        <f t="shared" si="41"/>
        <v/>
      </c>
    </row>
    <row r="943" spans="39:41">
      <c r="AM943" s="266" t="str">
        <f t="shared" si="39"/>
        <v/>
      </c>
      <c r="AN943" s="267" t="str">
        <f t="shared" si="40"/>
        <v/>
      </c>
      <c r="AO943" s="267" t="str">
        <f t="shared" si="41"/>
        <v/>
      </c>
    </row>
    <row r="944" spans="39:41">
      <c r="AM944" s="266" t="str">
        <f t="shared" si="39"/>
        <v/>
      </c>
      <c r="AN944" s="267" t="str">
        <f t="shared" si="40"/>
        <v/>
      </c>
      <c r="AO944" s="267" t="str">
        <f t="shared" si="41"/>
        <v/>
      </c>
    </row>
    <row r="945" spans="39:41">
      <c r="AM945" s="266" t="str">
        <f t="shared" si="39"/>
        <v/>
      </c>
      <c r="AN945" s="267" t="str">
        <f t="shared" si="40"/>
        <v/>
      </c>
      <c r="AO945" s="267" t="str">
        <f t="shared" si="41"/>
        <v/>
      </c>
    </row>
    <row r="946" spans="39:41">
      <c r="AM946" s="266" t="str">
        <f t="shared" si="39"/>
        <v/>
      </c>
      <c r="AN946" s="267" t="str">
        <f t="shared" si="40"/>
        <v/>
      </c>
      <c r="AO946" s="267" t="str">
        <f t="shared" si="41"/>
        <v/>
      </c>
    </row>
    <row r="947" spans="39:41">
      <c r="AM947" s="266" t="str">
        <f t="shared" si="39"/>
        <v/>
      </c>
      <c r="AN947" s="267" t="str">
        <f t="shared" si="40"/>
        <v/>
      </c>
      <c r="AO947" s="267" t="str">
        <f t="shared" si="41"/>
        <v/>
      </c>
    </row>
    <row r="948" spans="39:41">
      <c r="AM948" s="266" t="str">
        <f t="shared" si="39"/>
        <v/>
      </c>
      <c r="AN948" s="267" t="str">
        <f t="shared" si="40"/>
        <v/>
      </c>
      <c r="AO948" s="267" t="str">
        <f t="shared" si="41"/>
        <v/>
      </c>
    </row>
    <row r="949" spans="39:41">
      <c r="AM949" s="266" t="str">
        <f t="shared" si="39"/>
        <v/>
      </c>
      <c r="AN949" s="267" t="str">
        <f t="shared" si="40"/>
        <v/>
      </c>
      <c r="AO949" s="267" t="str">
        <f t="shared" si="41"/>
        <v/>
      </c>
    </row>
    <row r="950" spans="39:41">
      <c r="AM950" s="266" t="str">
        <f t="shared" si="39"/>
        <v/>
      </c>
      <c r="AN950" s="267" t="str">
        <f t="shared" si="40"/>
        <v/>
      </c>
      <c r="AO950" s="267" t="str">
        <f t="shared" si="41"/>
        <v/>
      </c>
    </row>
    <row r="951" spans="39:41">
      <c r="AM951" s="266" t="str">
        <f t="shared" si="39"/>
        <v/>
      </c>
      <c r="AN951" s="267" t="str">
        <f t="shared" si="40"/>
        <v/>
      </c>
      <c r="AO951" s="267" t="str">
        <f t="shared" si="41"/>
        <v/>
      </c>
    </row>
    <row r="952" spans="39:41">
      <c r="AM952" s="266" t="str">
        <f t="shared" si="39"/>
        <v/>
      </c>
      <c r="AN952" s="267" t="str">
        <f t="shared" si="40"/>
        <v/>
      </c>
      <c r="AO952" s="267" t="str">
        <f t="shared" si="41"/>
        <v/>
      </c>
    </row>
    <row r="953" spans="39:41">
      <c r="AM953" s="266" t="str">
        <f t="shared" si="39"/>
        <v/>
      </c>
      <c r="AN953" s="267" t="str">
        <f t="shared" si="40"/>
        <v/>
      </c>
      <c r="AO953" s="267" t="str">
        <f t="shared" si="41"/>
        <v/>
      </c>
    </row>
    <row r="954" spans="39:41">
      <c r="AM954" s="266" t="str">
        <f t="shared" si="39"/>
        <v/>
      </c>
      <c r="AN954" s="267" t="str">
        <f t="shared" si="40"/>
        <v/>
      </c>
      <c r="AO954" s="267" t="str">
        <f t="shared" si="41"/>
        <v/>
      </c>
    </row>
    <row r="955" spans="39:41">
      <c r="AM955" s="266" t="str">
        <f t="shared" si="39"/>
        <v/>
      </c>
      <c r="AN955" s="267" t="str">
        <f t="shared" si="40"/>
        <v/>
      </c>
      <c r="AO955" s="267" t="str">
        <f t="shared" si="41"/>
        <v/>
      </c>
    </row>
    <row r="956" spans="39:41">
      <c r="AM956" s="266" t="str">
        <f t="shared" si="39"/>
        <v/>
      </c>
      <c r="AN956" s="267" t="str">
        <f t="shared" si="40"/>
        <v/>
      </c>
      <c r="AO956" s="267" t="str">
        <f t="shared" si="41"/>
        <v/>
      </c>
    </row>
    <row r="957" spans="39:41">
      <c r="AM957" s="266" t="str">
        <f t="shared" si="39"/>
        <v/>
      </c>
      <c r="AN957" s="267" t="str">
        <f t="shared" si="40"/>
        <v/>
      </c>
      <c r="AO957" s="267" t="str">
        <f t="shared" si="41"/>
        <v/>
      </c>
    </row>
    <row r="958" spans="39:41">
      <c r="AM958" s="266" t="str">
        <f t="shared" si="39"/>
        <v/>
      </c>
      <c r="AN958" s="267" t="str">
        <f t="shared" si="40"/>
        <v/>
      </c>
      <c r="AO958" s="267" t="str">
        <f t="shared" si="41"/>
        <v/>
      </c>
    </row>
    <row r="959" spans="39:41">
      <c r="AM959" s="266" t="str">
        <f t="shared" si="39"/>
        <v/>
      </c>
      <c r="AN959" s="267" t="str">
        <f t="shared" si="40"/>
        <v/>
      </c>
      <c r="AO959" s="267" t="str">
        <f t="shared" si="41"/>
        <v/>
      </c>
    </row>
    <row r="960" spans="39:41">
      <c r="AM960" s="266" t="str">
        <f t="shared" si="39"/>
        <v/>
      </c>
      <c r="AN960" s="267" t="str">
        <f t="shared" si="40"/>
        <v/>
      </c>
      <c r="AO960" s="267" t="str">
        <f t="shared" si="41"/>
        <v/>
      </c>
    </row>
    <row r="961" spans="39:41">
      <c r="AM961" s="266" t="str">
        <f t="shared" si="39"/>
        <v/>
      </c>
      <c r="AN961" s="267" t="str">
        <f t="shared" si="40"/>
        <v/>
      </c>
      <c r="AO961" s="267" t="str">
        <f t="shared" si="41"/>
        <v/>
      </c>
    </row>
    <row r="962" spans="39:41">
      <c r="AM962" s="266" t="str">
        <f t="shared" si="39"/>
        <v/>
      </c>
      <c r="AN962" s="267" t="str">
        <f t="shared" si="40"/>
        <v/>
      </c>
      <c r="AO962" s="267" t="str">
        <f t="shared" si="41"/>
        <v/>
      </c>
    </row>
    <row r="963" spans="39:41">
      <c r="AM963" s="266" t="str">
        <f t="shared" si="39"/>
        <v/>
      </c>
      <c r="AN963" s="267" t="str">
        <f t="shared" si="40"/>
        <v/>
      </c>
      <c r="AO963" s="267" t="str">
        <f t="shared" si="41"/>
        <v/>
      </c>
    </row>
    <row r="964" spans="39:41">
      <c r="AM964" s="266" t="str">
        <f t="shared" ref="AM964:AM1027" si="42">IF(AK964,(AK964-AJ964)/(AD964-AG964),"")</f>
        <v/>
      </c>
      <c r="AN964" s="267" t="str">
        <f t="shared" ref="AN964:AN1027" si="43">IF(AK964,(AK964-AJ964)/(AE964-AH964),"")</f>
        <v/>
      </c>
      <c r="AO964" s="267" t="str">
        <f t="shared" ref="AO964:AO1027" si="44">IF(AK964,(AK964-AJ964)/(AF964-AI964),"")</f>
        <v/>
      </c>
    </row>
    <row r="965" spans="39:41">
      <c r="AM965" s="266" t="str">
        <f t="shared" si="42"/>
        <v/>
      </c>
      <c r="AN965" s="267" t="str">
        <f t="shared" si="43"/>
        <v/>
      </c>
      <c r="AO965" s="267" t="str">
        <f t="shared" si="44"/>
        <v/>
      </c>
    </row>
    <row r="966" spans="39:41">
      <c r="AM966" s="266" t="str">
        <f t="shared" si="42"/>
        <v/>
      </c>
      <c r="AN966" s="267" t="str">
        <f t="shared" si="43"/>
        <v/>
      </c>
      <c r="AO966" s="267" t="str">
        <f t="shared" si="44"/>
        <v/>
      </c>
    </row>
    <row r="967" spans="39:41">
      <c r="AM967" s="266" t="str">
        <f t="shared" si="42"/>
        <v/>
      </c>
      <c r="AN967" s="267" t="str">
        <f t="shared" si="43"/>
        <v/>
      </c>
      <c r="AO967" s="267" t="str">
        <f t="shared" si="44"/>
        <v/>
      </c>
    </row>
    <row r="968" spans="39:41">
      <c r="AM968" s="266" t="str">
        <f t="shared" si="42"/>
        <v/>
      </c>
      <c r="AN968" s="267" t="str">
        <f t="shared" si="43"/>
        <v/>
      </c>
      <c r="AO968" s="267" t="str">
        <f t="shared" si="44"/>
        <v/>
      </c>
    </row>
    <row r="969" spans="39:41">
      <c r="AM969" s="266" t="str">
        <f t="shared" si="42"/>
        <v/>
      </c>
      <c r="AN969" s="267" t="str">
        <f t="shared" si="43"/>
        <v/>
      </c>
      <c r="AO969" s="267" t="str">
        <f t="shared" si="44"/>
        <v/>
      </c>
    </row>
    <row r="970" spans="39:41">
      <c r="AM970" s="266" t="str">
        <f t="shared" si="42"/>
        <v/>
      </c>
      <c r="AN970" s="267" t="str">
        <f t="shared" si="43"/>
        <v/>
      </c>
      <c r="AO970" s="267" t="str">
        <f t="shared" si="44"/>
        <v/>
      </c>
    </row>
    <row r="971" spans="39:41">
      <c r="AM971" s="266" t="str">
        <f t="shared" si="42"/>
        <v/>
      </c>
      <c r="AN971" s="267" t="str">
        <f t="shared" si="43"/>
        <v/>
      </c>
      <c r="AO971" s="267" t="str">
        <f t="shared" si="44"/>
        <v/>
      </c>
    </row>
    <row r="972" spans="39:41">
      <c r="AM972" s="266" t="str">
        <f t="shared" si="42"/>
        <v/>
      </c>
      <c r="AN972" s="267" t="str">
        <f t="shared" si="43"/>
        <v/>
      </c>
      <c r="AO972" s="267" t="str">
        <f t="shared" si="44"/>
        <v/>
      </c>
    </row>
    <row r="973" spans="39:41">
      <c r="AM973" s="266" t="str">
        <f t="shared" si="42"/>
        <v/>
      </c>
      <c r="AN973" s="267" t="str">
        <f t="shared" si="43"/>
        <v/>
      </c>
      <c r="AO973" s="267" t="str">
        <f t="shared" si="44"/>
        <v/>
      </c>
    </row>
    <row r="974" spans="39:41">
      <c r="AM974" s="266" t="str">
        <f t="shared" si="42"/>
        <v/>
      </c>
      <c r="AN974" s="267" t="str">
        <f t="shared" si="43"/>
        <v/>
      </c>
      <c r="AO974" s="267" t="str">
        <f t="shared" si="44"/>
        <v/>
      </c>
    </row>
    <row r="975" spans="39:41">
      <c r="AM975" s="266" t="str">
        <f t="shared" si="42"/>
        <v/>
      </c>
      <c r="AN975" s="267" t="str">
        <f t="shared" si="43"/>
        <v/>
      </c>
      <c r="AO975" s="267" t="str">
        <f t="shared" si="44"/>
        <v/>
      </c>
    </row>
    <row r="976" spans="39:41">
      <c r="AM976" s="266" t="str">
        <f t="shared" si="42"/>
        <v/>
      </c>
      <c r="AN976" s="267" t="str">
        <f t="shared" si="43"/>
        <v/>
      </c>
      <c r="AO976" s="267" t="str">
        <f t="shared" si="44"/>
        <v/>
      </c>
    </row>
    <row r="977" spans="39:41">
      <c r="AM977" s="266" t="str">
        <f t="shared" si="42"/>
        <v/>
      </c>
      <c r="AN977" s="267" t="str">
        <f t="shared" si="43"/>
        <v/>
      </c>
      <c r="AO977" s="267" t="str">
        <f t="shared" si="44"/>
        <v/>
      </c>
    </row>
    <row r="978" spans="39:41">
      <c r="AM978" s="266" t="str">
        <f t="shared" si="42"/>
        <v/>
      </c>
      <c r="AN978" s="267" t="str">
        <f t="shared" si="43"/>
        <v/>
      </c>
      <c r="AO978" s="267" t="str">
        <f t="shared" si="44"/>
        <v/>
      </c>
    </row>
    <row r="979" spans="39:41">
      <c r="AM979" s="266" t="str">
        <f t="shared" si="42"/>
        <v/>
      </c>
      <c r="AN979" s="267" t="str">
        <f t="shared" si="43"/>
        <v/>
      </c>
      <c r="AO979" s="267" t="str">
        <f t="shared" si="44"/>
        <v/>
      </c>
    </row>
    <row r="980" spans="39:41">
      <c r="AM980" s="266" t="str">
        <f t="shared" si="42"/>
        <v/>
      </c>
      <c r="AN980" s="267" t="str">
        <f t="shared" si="43"/>
        <v/>
      </c>
      <c r="AO980" s="267" t="str">
        <f t="shared" si="44"/>
        <v/>
      </c>
    </row>
    <row r="981" spans="39:41">
      <c r="AM981" s="266" t="str">
        <f t="shared" si="42"/>
        <v/>
      </c>
      <c r="AN981" s="267" t="str">
        <f t="shared" si="43"/>
        <v/>
      </c>
      <c r="AO981" s="267" t="str">
        <f t="shared" si="44"/>
        <v/>
      </c>
    </row>
    <row r="982" spans="39:41">
      <c r="AM982" s="266" t="str">
        <f t="shared" si="42"/>
        <v/>
      </c>
      <c r="AN982" s="267" t="str">
        <f t="shared" si="43"/>
        <v/>
      </c>
      <c r="AO982" s="267" t="str">
        <f t="shared" si="44"/>
        <v/>
      </c>
    </row>
    <row r="983" spans="39:41">
      <c r="AM983" s="266" t="str">
        <f t="shared" si="42"/>
        <v/>
      </c>
      <c r="AN983" s="267" t="str">
        <f t="shared" si="43"/>
        <v/>
      </c>
      <c r="AO983" s="267" t="str">
        <f t="shared" si="44"/>
        <v/>
      </c>
    </row>
    <row r="984" spans="39:41">
      <c r="AM984" s="266" t="str">
        <f t="shared" si="42"/>
        <v/>
      </c>
      <c r="AN984" s="267" t="str">
        <f t="shared" si="43"/>
        <v/>
      </c>
      <c r="AO984" s="267" t="str">
        <f t="shared" si="44"/>
        <v/>
      </c>
    </row>
    <row r="985" spans="39:41">
      <c r="AM985" s="266" t="str">
        <f t="shared" si="42"/>
        <v/>
      </c>
      <c r="AN985" s="267" t="str">
        <f t="shared" si="43"/>
        <v/>
      </c>
      <c r="AO985" s="267" t="str">
        <f t="shared" si="44"/>
        <v/>
      </c>
    </row>
    <row r="986" spans="39:41">
      <c r="AM986" s="266" t="str">
        <f t="shared" si="42"/>
        <v/>
      </c>
      <c r="AN986" s="267" t="str">
        <f t="shared" si="43"/>
        <v/>
      </c>
      <c r="AO986" s="267" t="str">
        <f t="shared" si="44"/>
        <v/>
      </c>
    </row>
    <row r="987" spans="39:41">
      <c r="AM987" s="266" t="str">
        <f t="shared" si="42"/>
        <v/>
      </c>
      <c r="AN987" s="267" t="str">
        <f t="shared" si="43"/>
        <v/>
      </c>
      <c r="AO987" s="267" t="str">
        <f t="shared" si="44"/>
        <v/>
      </c>
    </row>
    <row r="988" spans="39:41">
      <c r="AM988" s="266" t="str">
        <f t="shared" si="42"/>
        <v/>
      </c>
      <c r="AN988" s="267" t="str">
        <f t="shared" si="43"/>
        <v/>
      </c>
      <c r="AO988" s="267" t="str">
        <f t="shared" si="44"/>
        <v/>
      </c>
    </row>
    <row r="989" spans="39:41">
      <c r="AM989" s="266" t="str">
        <f t="shared" si="42"/>
        <v/>
      </c>
      <c r="AN989" s="267" t="str">
        <f t="shared" si="43"/>
        <v/>
      </c>
      <c r="AO989" s="267" t="str">
        <f t="shared" si="44"/>
        <v/>
      </c>
    </row>
    <row r="990" spans="39:41">
      <c r="AM990" s="266" t="str">
        <f t="shared" si="42"/>
        <v/>
      </c>
      <c r="AN990" s="267" t="str">
        <f t="shared" si="43"/>
        <v/>
      </c>
      <c r="AO990" s="267" t="str">
        <f t="shared" si="44"/>
        <v/>
      </c>
    </row>
    <row r="991" spans="39:41">
      <c r="AM991" s="266" t="str">
        <f t="shared" si="42"/>
        <v/>
      </c>
      <c r="AN991" s="267" t="str">
        <f t="shared" si="43"/>
        <v/>
      </c>
      <c r="AO991" s="267" t="str">
        <f t="shared" si="44"/>
        <v/>
      </c>
    </row>
    <row r="992" spans="39:41">
      <c r="AM992" s="266" t="str">
        <f t="shared" si="42"/>
        <v/>
      </c>
      <c r="AN992" s="267" t="str">
        <f t="shared" si="43"/>
        <v/>
      </c>
      <c r="AO992" s="267" t="str">
        <f t="shared" si="44"/>
        <v/>
      </c>
    </row>
    <row r="993" spans="39:41">
      <c r="AM993" s="266" t="str">
        <f t="shared" si="42"/>
        <v/>
      </c>
      <c r="AN993" s="267" t="str">
        <f t="shared" si="43"/>
        <v/>
      </c>
      <c r="AO993" s="267" t="str">
        <f t="shared" si="44"/>
        <v/>
      </c>
    </row>
    <row r="994" spans="39:41">
      <c r="AM994" s="266" t="str">
        <f t="shared" si="42"/>
        <v/>
      </c>
      <c r="AN994" s="267" t="str">
        <f t="shared" si="43"/>
        <v/>
      </c>
      <c r="AO994" s="267" t="str">
        <f t="shared" si="44"/>
        <v/>
      </c>
    </row>
    <row r="995" spans="39:41">
      <c r="AM995" s="266" t="str">
        <f t="shared" si="42"/>
        <v/>
      </c>
      <c r="AN995" s="267" t="str">
        <f t="shared" si="43"/>
        <v/>
      </c>
      <c r="AO995" s="267" t="str">
        <f t="shared" si="44"/>
        <v/>
      </c>
    </row>
    <row r="996" spans="39:41">
      <c r="AM996" s="266" t="str">
        <f t="shared" si="42"/>
        <v/>
      </c>
      <c r="AN996" s="267" t="str">
        <f t="shared" si="43"/>
        <v/>
      </c>
      <c r="AO996" s="267" t="str">
        <f t="shared" si="44"/>
        <v/>
      </c>
    </row>
    <row r="997" spans="39:41">
      <c r="AM997" s="266" t="str">
        <f t="shared" si="42"/>
        <v/>
      </c>
      <c r="AN997" s="267" t="str">
        <f t="shared" si="43"/>
        <v/>
      </c>
      <c r="AO997" s="267" t="str">
        <f t="shared" si="44"/>
        <v/>
      </c>
    </row>
    <row r="998" spans="39:41">
      <c r="AM998" s="266" t="str">
        <f t="shared" si="42"/>
        <v/>
      </c>
      <c r="AN998" s="267" t="str">
        <f t="shared" si="43"/>
        <v/>
      </c>
      <c r="AO998" s="267" t="str">
        <f t="shared" si="44"/>
        <v/>
      </c>
    </row>
    <row r="999" spans="39:41">
      <c r="AM999" s="266" t="str">
        <f t="shared" si="42"/>
        <v/>
      </c>
      <c r="AN999" s="267" t="str">
        <f t="shared" si="43"/>
        <v/>
      </c>
      <c r="AO999" s="267" t="str">
        <f t="shared" si="44"/>
        <v/>
      </c>
    </row>
    <row r="1000" spans="39:41">
      <c r="AM1000" s="266" t="str">
        <f t="shared" si="42"/>
        <v/>
      </c>
      <c r="AN1000" s="267" t="str">
        <f t="shared" si="43"/>
        <v/>
      </c>
      <c r="AO1000" s="267" t="str">
        <f t="shared" si="44"/>
        <v/>
      </c>
    </row>
    <row r="1001" spans="39:41">
      <c r="AM1001" s="266" t="str">
        <f t="shared" si="42"/>
        <v/>
      </c>
      <c r="AN1001" s="267" t="str">
        <f t="shared" si="43"/>
        <v/>
      </c>
      <c r="AO1001" s="267" t="str">
        <f t="shared" si="44"/>
        <v/>
      </c>
    </row>
    <row r="1002" spans="39:41">
      <c r="AM1002" s="266" t="str">
        <f t="shared" si="42"/>
        <v/>
      </c>
      <c r="AN1002" s="267" t="str">
        <f t="shared" si="43"/>
        <v/>
      </c>
      <c r="AO1002" s="267" t="str">
        <f t="shared" si="44"/>
        <v/>
      </c>
    </row>
    <row r="1003" spans="39:41">
      <c r="AM1003" s="266" t="str">
        <f t="shared" si="42"/>
        <v/>
      </c>
      <c r="AN1003" s="267" t="str">
        <f t="shared" si="43"/>
        <v/>
      </c>
      <c r="AO1003" s="267" t="str">
        <f t="shared" si="44"/>
        <v/>
      </c>
    </row>
    <row r="1004" spans="39:41">
      <c r="AM1004" s="266" t="str">
        <f t="shared" si="42"/>
        <v/>
      </c>
      <c r="AN1004" s="267" t="str">
        <f t="shared" si="43"/>
        <v/>
      </c>
      <c r="AO1004" s="267" t="str">
        <f t="shared" si="44"/>
        <v/>
      </c>
    </row>
    <row r="1005" spans="39:41">
      <c r="AM1005" s="266" t="str">
        <f t="shared" si="42"/>
        <v/>
      </c>
      <c r="AN1005" s="267" t="str">
        <f t="shared" si="43"/>
        <v/>
      </c>
      <c r="AO1005" s="267" t="str">
        <f t="shared" si="44"/>
        <v/>
      </c>
    </row>
    <row r="1006" spans="39:41">
      <c r="AM1006" s="266" t="str">
        <f t="shared" si="42"/>
        <v/>
      </c>
      <c r="AN1006" s="267" t="str">
        <f t="shared" si="43"/>
        <v/>
      </c>
      <c r="AO1006" s="267" t="str">
        <f t="shared" si="44"/>
        <v/>
      </c>
    </row>
    <row r="1007" spans="39:41">
      <c r="AM1007" s="266" t="str">
        <f t="shared" si="42"/>
        <v/>
      </c>
      <c r="AN1007" s="267" t="str">
        <f t="shared" si="43"/>
        <v/>
      </c>
      <c r="AO1007" s="267" t="str">
        <f t="shared" si="44"/>
        <v/>
      </c>
    </row>
    <row r="1008" spans="39:41">
      <c r="AM1008" s="266" t="str">
        <f t="shared" si="42"/>
        <v/>
      </c>
      <c r="AN1008" s="267" t="str">
        <f t="shared" si="43"/>
        <v/>
      </c>
      <c r="AO1008" s="267" t="str">
        <f t="shared" si="44"/>
        <v/>
      </c>
    </row>
    <row r="1009" spans="39:41">
      <c r="AM1009" s="266" t="str">
        <f t="shared" si="42"/>
        <v/>
      </c>
      <c r="AN1009" s="267" t="str">
        <f t="shared" si="43"/>
        <v/>
      </c>
      <c r="AO1009" s="267" t="str">
        <f t="shared" si="44"/>
        <v/>
      </c>
    </row>
    <row r="1010" spans="39:41">
      <c r="AM1010" s="266" t="str">
        <f t="shared" si="42"/>
        <v/>
      </c>
      <c r="AN1010" s="267" t="str">
        <f t="shared" si="43"/>
        <v/>
      </c>
      <c r="AO1010" s="267" t="str">
        <f t="shared" si="44"/>
        <v/>
      </c>
    </row>
    <row r="1011" spans="39:41">
      <c r="AM1011" s="266" t="str">
        <f t="shared" si="42"/>
        <v/>
      </c>
      <c r="AN1011" s="267" t="str">
        <f t="shared" si="43"/>
        <v/>
      </c>
      <c r="AO1011" s="267" t="str">
        <f t="shared" si="44"/>
        <v/>
      </c>
    </row>
    <row r="1012" spans="39:41">
      <c r="AM1012" s="266" t="str">
        <f t="shared" si="42"/>
        <v/>
      </c>
      <c r="AN1012" s="267" t="str">
        <f t="shared" si="43"/>
        <v/>
      </c>
      <c r="AO1012" s="267" t="str">
        <f t="shared" si="44"/>
        <v/>
      </c>
    </row>
    <row r="1013" spans="39:41">
      <c r="AM1013" s="266" t="str">
        <f t="shared" si="42"/>
        <v/>
      </c>
      <c r="AN1013" s="267" t="str">
        <f t="shared" si="43"/>
        <v/>
      </c>
      <c r="AO1013" s="267" t="str">
        <f t="shared" si="44"/>
        <v/>
      </c>
    </row>
    <row r="1014" spans="39:41">
      <c r="AM1014" s="266" t="str">
        <f t="shared" si="42"/>
        <v/>
      </c>
      <c r="AN1014" s="267" t="str">
        <f t="shared" si="43"/>
        <v/>
      </c>
      <c r="AO1014" s="267" t="str">
        <f t="shared" si="44"/>
        <v/>
      </c>
    </row>
    <row r="1015" spans="39:41">
      <c r="AM1015" s="266" t="str">
        <f t="shared" si="42"/>
        <v/>
      </c>
      <c r="AN1015" s="267" t="str">
        <f t="shared" si="43"/>
        <v/>
      </c>
      <c r="AO1015" s="267" t="str">
        <f t="shared" si="44"/>
        <v/>
      </c>
    </row>
    <row r="1016" spans="39:41">
      <c r="AM1016" s="266" t="str">
        <f t="shared" si="42"/>
        <v/>
      </c>
      <c r="AN1016" s="267" t="str">
        <f t="shared" si="43"/>
        <v/>
      </c>
      <c r="AO1016" s="267" t="str">
        <f t="shared" si="44"/>
        <v/>
      </c>
    </row>
    <row r="1017" spans="39:41">
      <c r="AM1017" s="266" t="str">
        <f t="shared" si="42"/>
        <v/>
      </c>
      <c r="AN1017" s="267" t="str">
        <f t="shared" si="43"/>
        <v/>
      </c>
      <c r="AO1017" s="267" t="str">
        <f t="shared" si="44"/>
        <v/>
      </c>
    </row>
    <row r="1018" spans="39:41">
      <c r="AM1018" s="266" t="str">
        <f t="shared" si="42"/>
        <v/>
      </c>
      <c r="AN1018" s="267" t="str">
        <f t="shared" si="43"/>
        <v/>
      </c>
      <c r="AO1018" s="267" t="str">
        <f t="shared" si="44"/>
        <v/>
      </c>
    </row>
    <row r="1019" spans="39:41">
      <c r="AM1019" s="266" t="str">
        <f t="shared" si="42"/>
        <v/>
      </c>
      <c r="AN1019" s="267" t="str">
        <f t="shared" si="43"/>
        <v/>
      </c>
      <c r="AO1019" s="267" t="str">
        <f t="shared" si="44"/>
        <v/>
      </c>
    </row>
    <row r="1020" spans="39:41">
      <c r="AM1020" s="266" t="str">
        <f t="shared" si="42"/>
        <v/>
      </c>
      <c r="AN1020" s="267" t="str">
        <f t="shared" si="43"/>
        <v/>
      </c>
      <c r="AO1020" s="267" t="str">
        <f t="shared" si="44"/>
        <v/>
      </c>
    </row>
    <row r="1021" spans="39:41">
      <c r="AM1021" s="266" t="str">
        <f t="shared" si="42"/>
        <v/>
      </c>
      <c r="AN1021" s="267" t="str">
        <f t="shared" si="43"/>
        <v/>
      </c>
      <c r="AO1021" s="267" t="str">
        <f t="shared" si="44"/>
        <v/>
      </c>
    </row>
    <row r="1022" spans="39:41">
      <c r="AM1022" s="266" t="str">
        <f t="shared" si="42"/>
        <v/>
      </c>
      <c r="AN1022" s="267" t="str">
        <f t="shared" si="43"/>
        <v/>
      </c>
      <c r="AO1022" s="267" t="str">
        <f t="shared" si="44"/>
        <v/>
      </c>
    </row>
    <row r="1023" spans="39:41">
      <c r="AM1023" s="266" t="str">
        <f t="shared" si="42"/>
        <v/>
      </c>
      <c r="AN1023" s="267" t="str">
        <f t="shared" si="43"/>
        <v/>
      </c>
      <c r="AO1023" s="267" t="str">
        <f t="shared" si="44"/>
        <v/>
      </c>
    </row>
    <row r="1024" spans="39:41">
      <c r="AM1024" s="266" t="str">
        <f t="shared" si="42"/>
        <v/>
      </c>
      <c r="AN1024" s="267" t="str">
        <f t="shared" si="43"/>
        <v/>
      </c>
      <c r="AO1024" s="267" t="str">
        <f t="shared" si="44"/>
        <v/>
      </c>
    </row>
    <row r="1025" spans="39:41">
      <c r="AM1025" s="266" t="str">
        <f t="shared" si="42"/>
        <v/>
      </c>
      <c r="AN1025" s="267" t="str">
        <f t="shared" si="43"/>
        <v/>
      </c>
      <c r="AO1025" s="267" t="str">
        <f t="shared" si="44"/>
        <v/>
      </c>
    </row>
    <row r="1026" spans="39:41">
      <c r="AM1026" s="266" t="str">
        <f t="shared" si="42"/>
        <v/>
      </c>
      <c r="AN1026" s="267" t="str">
        <f t="shared" si="43"/>
        <v/>
      </c>
      <c r="AO1026" s="267" t="str">
        <f t="shared" si="44"/>
        <v/>
      </c>
    </row>
    <row r="1027" spans="39:41">
      <c r="AM1027" s="266" t="str">
        <f t="shared" si="42"/>
        <v/>
      </c>
      <c r="AN1027" s="267" t="str">
        <f t="shared" si="43"/>
        <v/>
      </c>
      <c r="AO1027" s="267" t="str">
        <f t="shared" si="44"/>
        <v/>
      </c>
    </row>
    <row r="1028" spans="39:41">
      <c r="AM1028" s="266" t="str">
        <f t="shared" ref="AM1028:AM1091" si="45">IF(AK1028,(AK1028-AJ1028)/(AD1028-AG1028),"")</f>
        <v/>
      </c>
      <c r="AN1028" s="267" t="str">
        <f t="shared" ref="AN1028:AN1091" si="46">IF(AK1028,(AK1028-AJ1028)/(AE1028-AH1028),"")</f>
        <v/>
      </c>
      <c r="AO1028" s="267" t="str">
        <f t="shared" ref="AO1028:AO1091" si="47">IF(AK1028,(AK1028-AJ1028)/(AF1028-AI1028),"")</f>
        <v/>
      </c>
    </row>
    <row r="1029" spans="39:41">
      <c r="AM1029" s="266" t="str">
        <f t="shared" si="45"/>
        <v/>
      </c>
      <c r="AN1029" s="267" t="str">
        <f t="shared" si="46"/>
        <v/>
      </c>
      <c r="AO1029" s="267" t="str">
        <f t="shared" si="47"/>
        <v/>
      </c>
    </row>
    <row r="1030" spans="39:41">
      <c r="AM1030" s="266" t="str">
        <f t="shared" si="45"/>
        <v/>
      </c>
      <c r="AN1030" s="267" t="str">
        <f t="shared" si="46"/>
        <v/>
      </c>
      <c r="AO1030" s="267" t="str">
        <f t="shared" si="47"/>
        <v/>
      </c>
    </row>
    <row r="1031" spans="39:41">
      <c r="AM1031" s="266" t="str">
        <f t="shared" si="45"/>
        <v/>
      </c>
      <c r="AN1031" s="267" t="str">
        <f t="shared" si="46"/>
        <v/>
      </c>
      <c r="AO1031" s="267" t="str">
        <f t="shared" si="47"/>
        <v/>
      </c>
    </row>
    <row r="1032" spans="39:41">
      <c r="AM1032" s="266" t="str">
        <f t="shared" si="45"/>
        <v/>
      </c>
      <c r="AN1032" s="267" t="str">
        <f t="shared" si="46"/>
        <v/>
      </c>
      <c r="AO1032" s="267" t="str">
        <f t="shared" si="47"/>
        <v/>
      </c>
    </row>
    <row r="1033" spans="39:41">
      <c r="AM1033" s="266" t="str">
        <f t="shared" si="45"/>
        <v/>
      </c>
      <c r="AN1033" s="267" t="str">
        <f t="shared" si="46"/>
        <v/>
      </c>
      <c r="AO1033" s="267" t="str">
        <f t="shared" si="47"/>
        <v/>
      </c>
    </row>
    <row r="1034" spans="39:41">
      <c r="AM1034" s="266" t="str">
        <f t="shared" si="45"/>
        <v/>
      </c>
      <c r="AN1034" s="267" t="str">
        <f t="shared" si="46"/>
        <v/>
      </c>
      <c r="AO1034" s="267" t="str">
        <f t="shared" si="47"/>
        <v/>
      </c>
    </row>
    <row r="1035" spans="39:41">
      <c r="AM1035" s="266" t="str">
        <f t="shared" si="45"/>
        <v/>
      </c>
      <c r="AN1035" s="267" t="str">
        <f t="shared" si="46"/>
        <v/>
      </c>
      <c r="AO1035" s="267" t="str">
        <f t="shared" si="47"/>
        <v/>
      </c>
    </row>
    <row r="1036" spans="39:41">
      <c r="AM1036" s="266" t="str">
        <f t="shared" si="45"/>
        <v/>
      </c>
      <c r="AN1036" s="267" t="str">
        <f t="shared" si="46"/>
        <v/>
      </c>
      <c r="AO1036" s="267" t="str">
        <f t="shared" si="47"/>
        <v/>
      </c>
    </row>
    <row r="1037" spans="39:41">
      <c r="AM1037" s="266" t="str">
        <f t="shared" si="45"/>
        <v/>
      </c>
      <c r="AN1037" s="267" t="str">
        <f t="shared" si="46"/>
        <v/>
      </c>
      <c r="AO1037" s="267" t="str">
        <f t="shared" si="47"/>
        <v/>
      </c>
    </row>
    <row r="1038" spans="39:41">
      <c r="AM1038" s="266" t="str">
        <f t="shared" si="45"/>
        <v/>
      </c>
      <c r="AN1038" s="267" t="str">
        <f t="shared" si="46"/>
        <v/>
      </c>
      <c r="AO1038" s="267" t="str">
        <f t="shared" si="47"/>
        <v/>
      </c>
    </row>
    <row r="1039" spans="39:41">
      <c r="AM1039" s="266" t="str">
        <f t="shared" si="45"/>
        <v/>
      </c>
      <c r="AN1039" s="267" t="str">
        <f t="shared" si="46"/>
        <v/>
      </c>
      <c r="AO1039" s="267" t="str">
        <f t="shared" si="47"/>
        <v/>
      </c>
    </row>
    <row r="1040" spans="39:41">
      <c r="AM1040" s="266" t="str">
        <f t="shared" si="45"/>
        <v/>
      </c>
      <c r="AN1040" s="267" t="str">
        <f t="shared" si="46"/>
        <v/>
      </c>
      <c r="AO1040" s="267" t="str">
        <f t="shared" si="47"/>
        <v/>
      </c>
    </row>
    <row r="1041" spans="39:41">
      <c r="AM1041" s="266" t="str">
        <f t="shared" si="45"/>
        <v/>
      </c>
      <c r="AN1041" s="267" t="str">
        <f t="shared" si="46"/>
        <v/>
      </c>
      <c r="AO1041" s="267" t="str">
        <f t="shared" si="47"/>
        <v/>
      </c>
    </row>
    <row r="1042" spans="39:41">
      <c r="AM1042" s="266" t="str">
        <f t="shared" si="45"/>
        <v/>
      </c>
      <c r="AN1042" s="267" t="str">
        <f t="shared" si="46"/>
        <v/>
      </c>
      <c r="AO1042" s="267" t="str">
        <f t="shared" si="47"/>
        <v/>
      </c>
    </row>
    <row r="1043" spans="39:41">
      <c r="AM1043" s="266" t="str">
        <f t="shared" si="45"/>
        <v/>
      </c>
      <c r="AN1043" s="267" t="str">
        <f t="shared" si="46"/>
        <v/>
      </c>
      <c r="AO1043" s="267" t="str">
        <f t="shared" si="47"/>
        <v/>
      </c>
    </row>
    <row r="1044" spans="39:41">
      <c r="AM1044" s="266" t="str">
        <f t="shared" si="45"/>
        <v/>
      </c>
      <c r="AN1044" s="267" t="str">
        <f t="shared" si="46"/>
        <v/>
      </c>
      <c r="AO1044" s="267" t="str">
        <f t="shared" si="47"/>
        <v/>
      </c>
    </row>
    <row r="1045" spans="39:41">
      <c r="AM1045" s="266" t="str">
        <f t="shared" si="45"/>
        <v/>
      </c>
      <c r="AN1045" s="267" t="str">
        <f t="shared" si="46"/>
        <v/>
      </c>
      <c r="AO1045" s="267" t="str">
        <f t="shared" si="47"/>
        <v/>
      </c>
    </row>
    <row r="1046" spans="39:41">
      <c r="AM1046" s="266" t="str">
        <f t="shared" si="45"/>
        <v/>
      </c>
      <c r="AN1046" s="267" t="str">
        <f t="shared" si="46"/>
        <v/>
      </c>
      <c r="AO1046" s="267" t="str">
        <f t="shared" si="47"/>
        <v/>
      </c>
    </row>
    <row r="1047" spans="39:41">
      <c r="AM1047" s="266" t="str">
        <f t="shared" si="45"/>
        <v/>
      </c>
      <c r="AN1047" s="267" t="str">
        <f t="shared" si="46"/>
        <v/>
      </c>
      <c r="AO1047" s="267" t="str">
        <f t="shared" si="47"/>
        <v/>
      </c>
    </row>
    <row r="1048" spans="39:41">
      <c r="AM1048" s="266" t="str">
        <f t="shared" si="45"/>
        <v/>
      </c>
      <c r="AN1048" s="267" t="str">
        <f t="shared" si="46"/>
        <v/>
      </c>
      <c r="AO1048" s="267" t="str">
        <f t="shared" si="47"/>
        <v/>
      </c>
    </row>
    <row r="1049" spans="39:41">
      <c r="AM1049" s="266" t="str">
        <f t="shared" si="45"/>
        <v/>
      </c>
      <c r="AN1049" s="267" t="str">
        <f t="shared" si="46"/>
        <v/>
      </c>
      <c r="AO1049" s="267" t="str">
        <f t="shared" si="47"/>
        <v/>
      </c>
    </row>
    <row r="1050" spans="39:41">
      <c r="AM1050" s="266" t="str">
        <f t="shared" si="45"/>
        <v/>
      </c>
      <c r="AN1050" s="267" t="str">
        <f t="shared" si="46"/>
        <v/>
      </c>
      <c r="AO1050" s="267" t="str">
        <f t="shared" si="47"/>
        <v/>
      </c>
    </row>
    <row r="1051" spans="39:41">
      <c r="AM1051" s="266" t="str">
        <f t="shared" si="45"/>
        <v/>
      </c>
      <c r="AN1051" s="267" t="str">
        <f t="shared" si="46"/>
        <v/>
      </c>
      <c r="AO1051" s="267" t="str">
        <f t="shared" si="47"/>
        <v/>
      </c>
    </row>
    <row r="1052" spans="39:41">
      <c r="AM1052" s="266" t="str">
        <f t="shared" si="45"/>
        <v/>
      </c>
      <c r="AN1052" s="267" t="str">
        <f t="shared" si="46"/>
        <v/>
      </c>
      <c r="AO1052" s="267" t="str">
        <f t="shared" si="47"/>
        <v/>
      </c>
    </row>
    <row r="1053" spans="39:41">
      <c r="AM1053" s="266" t="str">
        <f t="shared" si="45"/>
        <v/>
      </c>
      <c r="AN1053" s="267" t="str">
        <f t="shared" si="46"/>
        <v/>
      </c>
      <c r="AO1053" s="267" t="str">
        <f t="shared" si="47"/>
        <v/>
      </c>
    </row>
    <row r="1054" spans="39:41">
      <c r="AM1054" s="266" t="str">
        <f t="shared" si="45"/>
        <v/>
      </c>
      <c r="AN1054" s="267" t="str">
        <f t="shared" si="46"/>
        <v/>
      </c>
      <c r="AO1054" s="267" t="str">
        <f t="shared" si="47"/>
        <v/>
      </c>
    </row>
    <row r="1055" spans="39:41">
      <c r="AM1055" s="266" t="str">
        <f t="shared" si="45"/>
        <v/>
      </c>
      <c r="AN1055" s="267" t="str">
        <f t="shared" si="46"/>
        <v/>
      </c>
      <c r="AO1055" s="267" t="str">
        <f t="shared" si="47"/>
        <v/>
      </c>
    </row>
    <row r="1056" spans="39:41">
      <c r="AM1056" s="266" t="str">
        <f t="shared" si="45"/>
        <v/>
      </c>
      <c r="AN1056" s="267" t="str">
        <f t="shared" si="46"/>
        <v/>
      </c>
      <c r="AO1056" s="267" t="str">
        <f t="shared" si="47"/>
        <v/>
      </c>
    </row>
    <row r="1057" spans="39:41">
      <c r="AM1057" s="266" t="str">
        <f t="shared" si="45"/>
        <v/>
      </c>
      <c r="AN1057" s="267" t="str">
        <f t="shared" si="46"/>
        <v/>
      </c>
      <c r="AO1057" s="267" t="str">
        <f t="shared" si="47"/>
        <v/>
      </c>
    </row>
    <row r="1058" spans="39:41">
      <c r="AM1058" s="266" t="str">
        <f t="shared" si="45"/>
        <v/>
      </c>
      <c r="AN1058" s="267" t="str">
        <f t="shared" si="46"/>
        <v/>
      </c>
      <c r="AO1058" s="267" t="str">
        <f t="shared" si="47"/>
        <v/>
      </c>
    </row>
    <row r="1059" spans="39:41">
      <c r="AM1059" s="266" t="str">
        <f t="shared" si="45"/>
        <v/>
      </c>
      <c r="AN1059" s="267" t="str">
        <f t="shared" si="46"/>
        <v/>
      </c>
      <c r="AO1059" s="267" t="str">
        <f t="shared" si="47"/>
        <v/>
      </c>
    </row>
    <row r="1060" spans="39:41">
      <c r="AM1060" s="266" t="str">
        <f t="shared" si="45"/>
        <v/>
      </c>
      <c r="AN1060" s="267" t="str">
        <f t="shared" si="46"/>
        <v/>
      </c>
      <c r="AO1060" s="267" t="str">
        <f t="shared" si="47"/>
        <v/>
      </c>
    </row>
    <row r="1061" spans="39:41">
      <c r="AM1061" s="266" t="str">
        <f t="shared" si="45"/>
        <v/>
      </c>
      <c r="AN1061" s="267" t="str">
        <f t="shared" si="46"/>
        <v/>
      </c>
      <c r="AO1061" s="267" t="str">
        <f t="shared" si="47"/>
        <v/>
      </c>
    </row>
    <row r="1062" spans="39:41">
      <c r="AM1062" s="266" t="str">
        <f t="shared" si="45"/>
        <v/>
      </c>
      <c r="AN1062" s="267" t="str">
        <f t="shared" si="46"/>
        <v/>
      </c>
      <c r="AO1062" s="267" t="str">
        <f t="shared" si="47"/>
        <v/>
      </c>
    </row>
    <row r="1063" spans="39:41">
      <c r="AM1063" s="266" t="str">
        <f t="shared" si="45"/>
        <v/>
      </c>
      <c r="AN1063" s="267" t="str">
        <f t="shared" si="46"/>
        <v/>
      </c>
      <c r="AO1063" s="267" t="str">
        <f t="shared" si="47"/>
        <v/>
      </c>
    </row>
    <row r="1064" spans="39:41">
      <c r="AM1064" s="266" t="str">
        <f t="shared" si="45"/>
        <v/>
      </c>
      <c r="AN1064" s="267" t="str">
        <f t="shared" si="46"/>
        <v/>
      </c>
      <c r="AO1064" s="267" t="str">
        <f t="shared" si="47"/>
        <v/>
      </c>
    </row>
    <row r="1065" spans="39:41">
      <c r="AM1065" s="266" t="str">
        <f t="shared" si="45"/>
        <v/>
      </c>
      <c r="AN1065" s="267" t="str">
        <f t="shared" si="46"/>
        <v/>
      </c>
      <c r="AO1065" s="267" t="str">
        <f t="shared" si="47"/>
        <v/>
      </c>
    </row>
    <row r="1066" spans="39:41">
      <c r="AM1066" s="266" t="str">
        <f t="shared" si="45"/>
        <v/>
      </c>
      <c r="AN1066" s="267" t="str">
        <f t="shared" si="46"/>
        <v/>
      </c>
      <c r="AO1066" s="267" t="str">
        <f t="shared" si="47"/>
        <v/>
      </c>
    </row>
    <row r="1067" spans="39:41">
      <c r="AM1067" s="266" t="str">
        <f t="shared" si="45"/>
        <v/>
      </c>
      <c r="AN1067" s="267" t="str">
        <f t="shared" si="46"/>
        <v/>
      </c>
      <c r="AO1067" s="267" t="str">
        <f t="shared" si="47"/>
        <v/>
      </c>
    </row>
    <row r="1068" spans="39:41">
      <c r="AM1068" s="266" t="str">
        <f t="shared" si="45"/>
        <v/>
      </c>
      <c r="AN1068" s="267" t="str">
        <f t="shared" si="46"/>
        <v/>
      </c>
      <c r="AO1068" s="267" t="str">
        <f t="shared" si="47"/>
        <v/>
      </c>
    </row>
    <row r="1069" spans="39:41">
      <c r="AM1069" s="266" t="str">
        <f t="shared" si="45"/>
        <v/>
      </c>
      <c r="AN1069" s="267" t="str">
        <f t="shared" si="46"/>
        <v/>
      </c>
      <c r="AO1069" s="267" t="str">
        <f t="shared" si="47"/>
        <v/>
      </c>
    </row>
    <row r="1070" spans="39:41">
      <c r="AM1070" s="266" t="str">
        <f t="shared" si="45"/>
        <v/>
      </c>
      <c r="AN1070" s="267" t="str">
        <f t="shared" si="46"/>
        <v/>
      </c>
      <c r="AO1070" s="267" t="str">
        <f t="shared" si="47"/>
        <v/>
      </c>
    </row>
    <row r="1071" spans="39:41">
      <c r="AM1071" s="266" t="str">
        <f t="shared" si="45"/>
        <v/>
      </c>
      <c r="AN1071" s="267" t="str">
        <f t="shared" si="46"/>
        <v/>
      </c>
      <c r="AO1071" s="267" t="str">
        <f t="shared" si="47"/>
        <v/>
      </c>
    </row>
    <row r="1072" spans="39:41">
      <c r="AM1072" s="266" t="str">
        <f t="shared" si="45"/>
        <v/>
      </c>
      <c r="AN1072" s="267" t="str">
        <f t="shared" si="46"/>
        <v/>
      </c>
      <c r="AO1072" s="267" t="str">
        <f t="shared" si="47"/>
        <v/>
      </c>
    </row>
    <row r="1073" spans="39:41">
      <c r="AM1073" s="266" t="str">
        <f t="shared" si="45"/>
        <v/>
      </c>
      <c r="AN1073" s="267" t="str">
        <f t="shared" si="46"/>
        <v/>
      </c>
      <c r="AO1073" s="267" t="str">
        <f t="shared" si="47"/>
        <v/>
      </c>
    </row>
    <row r="1074" spans="39:41">
      <c r="AM1074" s="266" t="str">
        <f t="shared" si="45"/>
        <v/>
      </c>
      <c r="AN1074" s="267" t="str">
        <f t="shared" si="46"/>
        <v/>
      </c>
      <c r="AO1074" s="267" t="str">
        <f t="shared" si="47"/>
        <v/>
      </c>
    </row>
    <row r="1075" spans="39:41">
      <c r="AM1075" s="266" t="str">
        <f t="shared" si="45"/>
        <v/>
      </c>
      <c r="AN1075" s="267" t="str">
        <f t="shared" si="46"/>
        <v/>
      </c>
      <c r="AO1075" s="267" t="str">
        <f t="shared" si="47"/>
        <v/>
      </c>
    </row>
    <row r="1076" spans="39:41">
      <c r="AM1076" s="266" t="str">
        <f t="shared" si="45"/>
        <v/>
      </c>
      <c r="AN1076" s="267" t="str">
        <f t="shared" si="46"/>
        <v/>
      </c>
      <c r="AO1076" s="267" t="str">
        <f t="shared" si="47"/>
        <v/>
      </c>
    </row>
    <row r="1077" spans="39:41">
      <c r="AM1077" s="266" t="str">
        <f t="shared" si="45"/>
        <v/>
      </c>
      <c r="AN1077" s="267" t="str">
        <f t="shared" si="46"/>
        <v/>
      </c>
      <c r="AO1077" s="267" t="str">
        <f t="shared" si="47"/>
        <v/>
      </c>
    </row>
    <row r="1078" spans="39:41">
      <c r="AM1078" s="266" t="str">
        <f t="shared" si="45"/>
        <v/>
      </c>
      <c r="AN1078" s="267" t="str">
        <f t="shared" si="46"/>
        <v/>
      </c>
      <c r="AO1078" s="267" t="str">
        <f t="shared" si="47"/>
        <v/>
      </c>
    </row>
    <row r="1079" spans="39:41">
      <c r="AM1079" s="266" t="str">
        <f t="shared" si="45"/>
        <v/>
      </c>
      <c r="AN1079" s="267" t="str">
        <f t="shared" si="46"/>
        <v/>
      </c>
      <c r="AO1079" s="267" t="str">
        <f t="shared" si="47"/>
        <v/>
      </c>
    </row>
    <row r="1080" spans="39:41">
      <c r="AM1080" s="266" t="str">
        <f t="shared" si="45"/>
        <v/>
      </c>
      <c r="AN1080" s="267" t="str">
        <f t="shared" si="46"/>
        <v/>
      </c>
      <c r="AO1080" s="267" t="str">
        <f t="shared" si="47"/>
        <v/>
      </c>
    </row>
    <row r="1081" spans="39:41">
      <c r="AM1081" s="266" t="str">
        <f t="shared" si="45"/>
        <v/>
      </c>
      <c r="AN1081" s="267" t="str">
        <f t="shared" si="46"/>
        <v/>
      </c>
      <c r="AO1081" s="267" t="str">
        <f t="shared" si="47"/>
        <v/>
      </c>
    </row>
    <row r="1082" spans="39:41">
      <c r="AM1082" s="266" t="str">
        <f t="shared" si="45"/>
        <v/>
      </c>
      <c r="AN1082" s="267" t="str">
        <f t="shared" si="46"/>
        <v/>
      </c>
      <c r="AO1082" s="267" t="str">
        <f t="shared" si="47"/>
        <v/>
      </c>
    </row>
    <row r="1083" spans="39:41">
      <c r="AM1083" s="266" t="str">
        <f t="shared" si="45"/>
        <v/>
      </c>
      <c r="AN1083" s="267" t="str">
        <f t="shared" si="46"/>
        <v/>
      </c>
      <c r="AO1083" s="267" t="str">
        <f t="shared" si="47"/>
        <v/>
      </c>
    </row>
    <row r="1084" spans="39:41">
      <c r="AM1084" s="266" t="str">
        <f t="shared" si="45"/>
        <v/>
      </c>
      <c r="AN1084" s="267" t="str">
        <f t="shared" si="46"/>
        <v/>
      </c>
      <c r="AO1084" s="267" t="str">
        <f t="shared" si="47"/>
        <v/>
      </c>
    </row>
    <row r="1085" spans="39:41">
      <c r="AM1085" s="266" t="str">
        <f t="shared" si="45"/>
        <v/>
      </c>
      <c r="AN1085" s="267" t="str">
        <f t="shared" si="46"/>
        <v/>
      </c>
      <c r="AO1085" s="267" t="str">
        <f t="shared" si="47"/>
        <v/>
      </c>
    </row>
    <row r="1086" spans="39:41">
      <c r="AM1086" s="266" t="str">
        <f t="shared" si="45"/>
        <v/>
      </c>
      <c r="AN1086" s="267" t="str">
        <f t="shared" si="46"/>
        <v/>
      </c>
      <c r="AO1086" s="267" t="str">
        <f t="shared" si="47"/>
        <v/>
      </c>
    </row>
    <row r="1087" spans="39:41">
      <c r="AM1087" s="266" t="str">
        <f t="shared" si="45"/>
        <v/>
      </c>
      <c r="AN1087" s="267" t="str">
        <f t="shared" si="46"/>
        <v/>
      </c>
      <c r="AO1087" s="267" t="str">
        <f t="shared" si="47"/>
        <v/>
      </c>
    </row>
    <row r="1088" spans="39:41">
      <c r="AM1088" s="266" t="str">
        <f t="shared" si="45"/>
        <v/>
      </c>
      <c r="AN1088" s="267" t="str">
        <f t="shared" si="46"/>
        <v/>
      </c>
      <c r="AO1088" s="267" t="str">
        <f t="shared" si="47"/>
        <v/>
      </c>
    </row>
    <row r="1089" spans="39:41">
      <c r="AM1089" s="266" t="str">
        <f t="shared" si="45"/>
        <v/>
      </c>
      <c r="AN1089" s="267" t="str">
        <f t="shared" si="46"/>
        <v/>
      </c>
      <c r="AO1089" s="267" t="str">
        <f t="shared" si="47"/>
        <v/>
      </c>
    </row>
    <row r="1090" spans="39:41">
      <c r="AM1090" s="266" t="str">
        <f t="shared" si="45"/>
        <v/>
      </c>
      <c r="AN1090" s="267" t="str">
        <f t="shared" si="46"/>
        <v/>
      </c>
      <c r="AO1090" s="267" t="str">
        <f t="shared" si="47"/>
        <v/>
      </c>
    </row>
    <row r="1091" spans="39:41">
      <c r="AM1091" s="266" t="str">
        <f t="shared" si="45"/>
        <v/>
      </c>
      <c r="AN1091" s="267" t="str">
        <f t="shared" si="46"/>
        <v/>
      </c>
      <c r="AO1091" s="267" t="str">
        <f t="shared" si="47"/>
        <v/>
      </c>
    </row>
    <row r="1092" spans="39:41">
      <c r="AM1092" s="266" t="str">
        <f t="shared" ref="AM1092:AM1155" si="48">IF(AK1092,(AK1092-AJ1092)/(AD1092-AG1092),"")</f>
        <v/>
      </c>
      <c r="AN1092" s="267" t="str">
        <f t="shared" ref="AN1092:AN1155" si="49">IF(AK1092,(AK1092-AJ1092)/(AE1092-AH1092),"")</f>
        <v/>
      </c>
      <c r="AO1092" s="267" t="str">
        <f t="shared" ref="AO1092:AO1155" si="50">IF(AK1092,(AK1092-AJ1092)/(AF1092-AI1092),"")</f>
        <v/>
      </c>
    </row>
    <row r="1093" spans="39:41">
      <c r="AM1093" s="266" t="str">
        <f t="shared" si="48"/>
        <v/>
      </c>
      <c r="AN1093" s="267" t="str">
        <f t="shared" si="49"/>
        <v/>
      </c>
      <c r="AO1093" s="267" t="str">
        <f t="shared" si="50"/>
        <v/>
      </c>
    </row>
    <row r="1094" spans="39:41">
      <c r="AM1094" s="266" t="str">
        <f t="shared" si="48"/>
        <v/>
      </c>
      <c r="AN1094" s="267" t="str">
        <f t="shared" si="49"/>
        <v/>
      </c>
      <c r="AO1094" s="267" t="str">
        <f t="shared" si="50"/>
        <v/>
      </c>
    </row>
    <row r="1095" spans="39:41">
      <c r="AM1095" s="266" t="str">
        <f t="shared" si="48"/>
        <v/>
      </c>
      <c r="AN1095" s="267" t="str">
        <f t="shared" si="49"/>
        <v/>
      </c>
      <c r="AO1095" s="267" t="str">
        <f t="shared" si="50"/>
        <v/>
      </c>
    </row>
    <row r="1096" spans="39:41">
      <c r="AM1096" s="266" t="str">
        <f t="shared" si="48"/>
        <v/>
      </c>
      <c r="AN1096" s="267" t="str">
        <f t="shared" si="49"/>
        <v/>
      </c>
      <c r="AO1096" s="267" t="str">
        <f t="shared" si="50"/>
        <v/>
      </c>
    </row>
    <row r="1097" spans="39:41">
      <c r="AM1097" s="266" t="str">
        <f t="shared" si="48"/>
        <v/>
      </c>
      <c r="AN1097" s="267" t="str">
        <f t="shared" si="49"/>
        <v/>
      </c>
      <c r="AO1097" s="267" t="str">
        <f t="shared" si="50"/>
        <v/>
      </c>
    </row>
    <row r="1098" spans="39:41">
      <c r="AM1098" s="266" t="str">
        <f t="shared" si="48"/>
        <v/>
      </c>
      <c r="AN1098" s="267" t="str">
        <f t="shared" si="49"/>
        <v/>
      </c>
      <c r="AO1098" s="267" t="str">
        <f t="shared" si="50"/>
        <v/>
      </c>
    </row>
    <row r="1099" spans="39:41">
      <c r="AM1099" s="266" t="str">
        <f t="shared" si="48"/>
        <v/>
      </c>
      <c r="AN1099" s="267" t="str">
        <f t="shared" si="49"/>
        <v/>
      </c>
      <c r="AO1099" s="267" t="str">
        <f t="shared" si="50"/>
        <v/>
      </c>
    </row>
    <row r="1100" spans="39:41">
      <c r="AM1100" s="266" t="str">
        <f t="shared" si="48"/>
        <v/>
      </c>
      <c r="AN1100" s="267" t="str">
        <f t="shared" si="49"/>
        <v/>
      </c>
      <c r="AO1100" s="267" t="str">
        <f t="shared" si="50"/>
        <v/>
      </c>
    </row>
    <row r="1101" spans="39:41">
      <c r="AM1101" s="266" t="str">
        <f t="shared" si="48"/>
        <v/>
      </c>
      <c r="AN1101" s="267" t="str">
        <f t="shared" si="49"/>
        <v/>
      </c>
      <c r="AO1101" s="267" t="str">
        <f t="shared" si="50"/>
        <v/>
      </c>
    </row>
    <row r="1102" spans="39:41">
      <c r="AM1102" s="266" t="str">
        <f t="shared" si="48"/>
        <v/>
      </c>
      <c r="AN1102" s="267" t="str">
        <f t="shared" si="49"/>
        <v/>
      </c>
      <c r="AO1102" s="267" t="str">
        <f t="shared" si="50"/>
        <v/>
      </c>
    </row>
    <row r="1103" spans="39:41">
      <c r="AM1103" s="266" t="str">
        <f t="shared" si="48"/>
        <v/>
      </c>
      <c r="AN1103" s="267" t="str">
        <f t="shared" si="49"/>
        <v/>
      </c>
      <c r="AO1103" s="267" t="str">
        <f t="shared" si="50"/>
        <v/>
      </c>
    </row>
    <row r="1104" spans="39:41">
      <c r="AM1104" s="266" t="str">
        <f t="shared" si="48"/>
        <v/>
      </c>
      <c r="AN1104" s="267" t="str">
        <f t="shared" si="49"/>
        <v/>
      </c>
      <c r="AO1104" s="267" t="str">
        <f t="shared" si="50"/>
        <v/>
      </c>
    </row>
    <row r="1105" spans="39:41">
      <c r="AM1105" s="266" t="str">
        <f t="shared" si="48"/>
        <v/>
      </c>
      <c r="AN1105" s="267" t="str">
        <f t="shared" si="49"/>
        <v/>
      </c>
      <c r="AO1105" s="267" t="str">
        <f t="shared" si="50"/>
        <v/>
      </c>
    </row>
    <row r="1106" spans="39:41">
      <c r="AM1106" s="266" t="str">
        <f t="shared" si="48"/>
        <v/>
      </c>
      <c r="AN1106" s="267" t="str">
        <f t="shared" si="49"/>
        <v/>
      </c>
      <c r="AO1106" s="267" t="str">
        <f t="shared" si="50"/>
        <v/>
      </c>
    </row>
    <row r="1107" spans="39:41">
      <c r="AM1107" s="266" t="str">
        <f t="shared" si="48"/>
        <v/>
      </c>
      <c r="AN1107" s="267" t="str">
        <f t="shared" si="49"/>
        <v/>
      </c>
      <c r="AO1107" s="267" t="str">
        <f t="shared" si="50"/>
        <v/>
      </c>
    </row>
    <row r="1108" spans="39:41">
      <c r="AM1108" s="266" t="str">
        <f t="shared" si="48"/>
        <v/>
      </c>
      <c r="AN1108" s="267" t="str">
        <f t="shared" si="49"/>
        <v/>
      </c>
      <c r="AO1108" s="267" t="str">
        <f t="shared" si="50"/>
        <v/>
      </c>
    </row>
    <row r="1109" spans="39:41">
      <c r="AM1109" s="266" t="str">
        <f t="shared" si="48"/>
        <v/>
      </c>
      <c r="AN1109" s="267" t="str">
        <f t="shared" si="49"/>
        <v/>
      </c>
      <c r="AO1109" s="267" t="str">
        <f t="shared" si="50"/>
        <v/>
      </c>
    </row>
    <row r="1110" spans="39:41">
      <c r="AM1110" s="266" t="str">
        <f t="shared" si="48"/>
        <v/>
      </c>
      <c r="AN1110" s="267" t="str">
        <f t="shared" si="49"/>
        <v/>
      </c>
      <c r="AO1110" s="267" t="str">
        <f t="shared" si="50"/>
        <v/>
      </c>
    </row>
    <row r="1111" spans="39:41">
      <c r="AM1111" s="266" t="str">
        <f t="shared" si="48"/>
        <v/>
      </c>
      <c r="AN1111" s="267" t="str">
        <f t="shared" si="49"/>
        <v/>
      </c>
      <c r="AO1111" s="267" t="str">
        <f t="shared" si="50"/>
        <v/>
      </c>
    </row>
    <row r="1112" spans="39:41">
      <c r="AM1112" s="266" t="str">
        <f t="shared" si="48"/>
        <v/>
      </c>
      <c r="AN1112" s="267" t="str">
        <f t="shared" si="49"/>
        <v/>
      </c>
      <c r="AO1112" s="267" t="str">
        <f t="shared" si="50"/>
        <v/>
      </c>
    </row>
    <row r="1113" spans="39:41">
      <c r="AM1113" s="266" t="str">
        <f t="shared" si="48"/>
        <v/>
      </c>
      <c r="AN1113" s="267" t="str">
        <f t="shared" si="49"/>
        <v/>
      </c>
      <c r="AO1113" s="267" t="str">
        <f t="shared" si="50"/>
        <v/>
      </c>
    </row>
    <row r="1114" spans="39:41">
      <c r="AM1114" s="266" t="str">
        <f t="shared" si="48"/>
        <v/>
      </c>
      <c r="AN1114" s="267" t="str">
        <f t="shared" si="49"/>
        <v/>
      </c>
      <c r="AO1114" s="267" t="str">
        <f t="shared" si="50"/>
        <v/>
      </c>
    </row>
    <row r="1115" spans="39:41">
      <c r="AM1115" s="266" t="str">
        <f t="shared" si="48"/>
        <v/>
      </c>
      <c r="AN1115" s="267" t="str">
        <f t="shared" si="49"/>
        <v/>
      </c>
      <c r="AO1115" s="267" t="str">
        <f t="shared" si="50"/>
        <v/>
      </c>
    </row>
    <row r="1116" spans="39:41">
      <c r="AM1116" s="266" t="str">
        <f t="shared" si="48"/>
        <v/>
      </c>
      <c r="AN1116" s="267" t="str">
        <f t="shared" si="49"/>
        <v/>
      </c>
      <c r="AO1116" s="267" t="str">
        <f t="shared" si="50"/>
        <v/>
      </c>
    </row>
    <row r="1117" spans="39:41">
      <c r="AM1117" s="266" t="str">
        <f t="shared" si="48"/>
        <v/>
      </c>
      <c r="AN1117" s="267" t="str">
        <f t="shared" si="49"/>
        <v/>
      </c>
      <c r="AO1117" s="267" t="str">
        <f t="shared" si="50"/>
        <v/>
      </c>
    </row>
    <row r="1118" spans="39:41">
      <c r="AM1118" s="266" t="str">
        <f t="shared" si="48"/>
        <v/>
      </c>
      <c r="AN1118" s="267" t="str">
        <f t="shared" si="49"/>
        <v/>
      </c>
      <c r="AO1118" s="267" t="str">
        <f t="shared" si="50"/>
        <v/>
      </c>
    </row>
    <row r="1119" spans="39:41">
      <c r="AM1119" s="266" t="str">
        <f t="shared" si="48"/>
        <v/>
      </c>
      <c r="AN1119" s="267" t="str">
        <f t="shared" si="49"/>
        <v/>
      </c>
      <c r="AO1119" s="267" t="str">
        <f t="shared" si="50"/>
        <v/>
      </c>
    </row>
    <row r="1120" spans="39:41">
      <c r="AM1120" s="266" t="str">
        <f t="shared" si="48"/>
        <v/>
      </c>
      <c r="AN1120" s="267" t="str">
        <f t="shared" si="49"/>
        <v/>
      </c>
      <c r="AO1120" s="267" t="str">
        <f t="shared" si="50"/>
        <v/>
      </c>
    </row>
    <row r="1121" spans="39:41">
      <c r="AM1121" s="266" t="str">
        <f t="shared" si="48"/>
        <v/>
      </c>
      <c r="AN1121" s="267" t="str">
        <f t="shared" si="49"/>
        <v/>
      </c>
      <c r="AO1121" s="267" t="str">
        <f t="shared" si="50"/>
        <v/>
      </c>
    </row>
    <row r="1122" spans="39:41">
      <c r="AM1122" s="266" t="str">
        <f t="shared" si="48"/>
        <v/>
      </c>
      <c r="AN1122" s="267" t="str">
        <f t="shared" si="49"/>
        <v/>
      </c>
      <c r="AO1122" s="267" t="str">
        <f t="shared" si="50"/>
        <v/>
      </c>
    </row>
    <row r="1123" spans="39:41">
      <c r="AM1123" s="266" t="str">
        <f t="shared" si="48"/>
        <v/>
      </c>
      <c r="AN1123" s="267" t="str">
        <f t="shared" si="49"/>
        <v/>
      </c>
      <c r="AO1123" s="267" t="str">
        <f t="shared" si="50"/>
        <v/>
      </c>
    </row>
    <row r="1124" spans="39:41">
      <c r="AM1124" s="266" t="str">
        <f t="shared" si="48"/>
        <v/>
      </c>
      <c r="AN1124" s="267" t="str">
        <f t="shared" si="49"/>
        <v/>
      </c>
      <c r="AO1124" s="267" t="str">
        <f t="shared" si="50"/>
        <v/>
      </c>
    </row>
    <row r="1125" spans="39:41">
      <c r="AM1125" s="266" t="str">
        <f t="shared" si="48"/>
        <v/>
      </c>
      <c r="AN1125" s="267" t="str">
        <f t="shared" si="49"/>
        <v/>
      </c>
      <c r="AO1125" s="267" t="str">
        <f t="shared" si="50"/>
        <v/>
      </c>
    </row>
    <row r="1126" spans="39:41">
      <c r="AM1126" s="266" t="str">
        <f t="shared" si="48"/>
        <v/>
      </c>
      <c r="AN1126" s="267" t="str">
        <f t="shared" si="49"/>
        <v/>
      </c>
      <c r="AO1126" s="267" t="str">
        <f t="shared" si="50"/>
        <v/>
      </c>
    </row>
    <row r="1127" spans="39:41">
      <c r="AM1127" s="266" t="str">
        <f t="shared" si="48"/>
        <v/>
      </c>
      <c r="AN1127" s="267" t="str">
        <f t="shared" si="49"/>
        <v/>
      </c>
      <c r="AO1127" s="267" t="str">
        <f t="shared" si="50"/>
        <v/>
      </c>
    </row>
    <row r="1128" spans="39:41">
      <c r="AM1128" s="266" t="str">
        <f t="shared" si="48"/>
        <v/>
      </c>
      <c r="AN1128" s="267" t="str">
        <f t="shared" si="49"/>
        <v/>
      </c>
      <c r="AO1128" s="267" t="str">
        <f t="shared" si="50"/>
        <v/>
      </c>
    </row>
    <row r="1129" spans="39:41">
      <c r="AM1129" s="266" t="str">
        <f t="shared" si="48"/>
        <v/>
      </c>
      <c r="AN1129" s="267" t="str">
        <f t="shared" si="49"/>
        <v/>
      </c>
      <c r="AO1129" s="267" t="str">
        <f t="shared" si="50"/>
        <v/>
      </c>
    </row>
    <row r="1130" spans="39:41">
      <c r="AM1130" s="266" t="str">
        <f t="shared" si="48"/>
        <v/>
      </c>
      <c r="AN1130" s="267" t="str">
        <f t="shared" si="49"/>
        <v/>
      </c>
      <c r="AO1130" s="267" t="str">
        <f t="shared" si="50"/>
        <v/>
      </c>
    </row>
    <row r="1131" spans="39:41">
      <c r="AM1131" s="266" t="str">
        <f t="shared" si="48"/>
        <v/>
      </c>
      <c r="AN1131" s="267" t="str">
        <f t="shared" si="49"/>
        <v/>
      </c>
      <c r="AO1131" s="267" t="str">
        <f t="shared" si="50"/>
        <v/>
      </c>
    </row>
    <row r="1132" spans="39:41">
      <c r="AM1132" s="266" t="str">
        <f t="shared" si="48"/>
        <v/>
      </c>
      <c r="AN1132" s="267" t="str">
        <f t="shared" si="49"/>
        <v/>
      </c>
      <c r="AO1132" s="267" t="str">
        <f t="shared" si="50"/>
        <v/>
      </c>
    </row>
    <row r="1133" spans="39:41">
      <c r="AM1133" s="266" t="str">
        <f t="shared" si="48"/>
        <v/>
      </c>
      <c r="AN1133" s="267" t="str">
        <f t="shared" si="49"/>
        <v/>
      </c>
      <c r="AO1133" s="267" t="str">
        <f t="shared" si="50"/>
        <v/>
      </c>
    </row>
    <row r="1134" spans="39:41">
      <c r="AM1134" s="266" t="str">
        <f t="shared" si="48"/>
        <v/>
      </c>
      <c r="AN1134" s="267" t="str">
        <f t="shared" si="49"/>
        <v/>
      </c>
      <c r="AO1134" s="267" t="str">
        <f t="shared" si="50"/>
        <v/>
      </c>
    </row>
    <row r="1135" spans="39:41">
      <c r="AM1135" s="266" t="str">
        <f t="shared" si="48"/>
        <v/>
      </c>
      <c r="AN1135" s="267" t="str">
        <f t="shared" si="49"/>
        <v/>
      </c>
      <c r="AO1135" s="267" t="str">
        <f t="shared" si="50"/>
        <v/>
      </c>
    </row>
    <row r="1136" spans="39:41">
      <c r="AM1136" s="266" t="str">
        <f t="shared" si="48"/>
        <v/>
      </c>
      <c r="AN1136" s="267" t="str">
        <f t="shared" si="49"/>
        <v/>
      </c>
      <c r="AO1136" s="267" t="str">
        <f t="shared" si="50"/>
        <v/>
      </c>
    </row>
    <row r="1137" spans="39:41">
      <c r="AM1137" s="266" t="str">
        <f t="shared" si="48"/>
        <v/>
      </c>
      <c r="AN1137" s="267" t="str">
        <f t="shared" si="49"/>
        <v/>
      </c>
      <c r="AO1137" s="267" t="str">
        <f t="shared" si="50"/>
        <v/>
      </c>
    </row>
    <row r="1138" spans="39:41">
      <c r="AM1138" s="266" t="str">
        <f t="shared" si="48"/>
        <v/>
      </c>
      <c r="AN1138" s="267" t="str">
        <f t="shared" si="49"/>
        <v/>
      </c>
      <c r="AO1138" s="267" t="str">
        <f t="shared" si="50"/>
        <v/>
      </c>
    </row>
    <row r="1139" spans="39:41">
      <c r="AM1139" s="266" t="str">
        <f t="shared" si="48"/>
        <v/>
      </c>
      <c r="AN1139" s="267" t="str">
        <f t="shared" si="49"/>
        <v/>
      </c>
      <c r="AO1139" s="267" t="str">
        <f t="shared" si="50"/>
        <v/>
      </c>
    </row>
    <row r="1140" spans="39:41">
      <c r="AM1140" s="266" t="str">
        <f t="shared" si="48"/>
        <v/>
      </c>
      <c r="AN1140" s="267" t="str">
        <f t="shared" si="49"/>
        <v/>
      </c>
      <c r="AO1140" s="267" t="str">
        <f t="shared" si="50"/>
        <v/>
      </c>
    </row>
    <row r="1141" spans="39:41">
      <c r="AM1141" s="266" t="str">
        <f t="shared" si="48"/>
        <v/>
      </c>
      <c r="AN1141" s="267" t="str">
        <f t="shared" si="49"/>
        <v/>
      </c>
      <c r="AO1141" s="267" t="str">
        <f t="shared" si="50"/>
        <v/>
      </c>
    </row>
    <row r="1142" spans="39:41">
      <c r="AM1142" s="266" t="str">
        <f t="shared" si="48"/>
        <v/>
      </c>
      <c r="AN1142" s="267" t="str">
        <f t="shared" si="49"/>
        <v/>
      </c>
      <c r="AO1142" s="267" t="str">
        <f t="shared" si="50"/>
        <v/>
      </c>
    </row>
    <row r="1143" spans="39:41">
      <c r="AM1143" s="266" t="str">
        <f t="shared" si="48"/>
        <v/>
      </c>
      <c r="AN1143" s="267" t="str">
        <f t="shared" si="49"/>
        <v/>
      </c>
      <c r="AO1143" s="267" t="str">
        <f t="shared" si="50"/>
        <v/>
      </c>
    </row>
    <row r="1144" spans="39:41">
      <c r="AM1144" s="266" t="str">
        <f t="shared" si="48"/>
        <v/>
      </c>
      <c r="AN1144" s="267" t="str">
        <f t="shared" si="49"/>
        <v/>
      </c>
      <c r="AO1144" s="267" t="str">
        <f t="shared" si="50"/>
        <v/>
      </c>
    </row>
    <row r="1145" spans="39:41">
      <c r="AM1145" s="266" t="str">
        <f t="shared" si="48"/>
        <v/>
      </c>
      <c r="AN1145" s="267" t="str">
        <f t="shared" si="49"/>
        <v/>
      </c>
      <c r="AO1145" s="267" t="str">
        <f t="shared" si="50"/>
        <v/>
      </c>
    </row>
    <row r="1146" spans="39:41">
      <c r="AM1146" s="266" t="str">
        <f t="shared" si="48"/>
        <v/>
      </c>
      <c r="AN1146" s="267" t="str">
        <f t="shared" si="49"/>
        <v/>
      </c>
      <c r="AO1146" s="267" t="str">
        <f t="shared" si="50"/>
        <v/>
      </c>
    </row>
    <row r="1147" spans="39:41">
      <c r="AM1147" s="266" t="str">
        <f t="shared" si="48"/>
        <v/>
      </c>
      <c r="AN1147" s="267" t="str">
        <f t="shared" si="49"/>
        <v/>
      </c>
      <c r="AO1147" s="267" t="str">
        <f t="shared" si="50"/>
        <v/>
      </c>
    </row>
    <row r="1148" spans="39:41">
      <c r="AM1148" s="266" t="str">
        <f t="shared" si="48"/>
        <v/>
      </c>
      <c r="AN1148" s="267" t="str">
        <f t="shared" si="49"/>
        <v/>
      </c>
      <c r="AO1148" s="267" t="str">
        <f t="shared" si="50"/>
        <v/>
      </c>
    </row>
    <row r="1149" spans="39:41">
      <c r="AM1149" s="266" t="str">
        <f t="shared" si="48"/>
        <v/>
      </c>
      <c r="AN1149" s="267" t="str">
        <f t="shared" si="49"/>
        <v/>
      </c>
      <c r="AO1149" s="267" t="str">
        <f t="shared" si="50"/>
        <v/>
      </c>
    </row>
    <row r="1150" spans="39:41">
      <c r="AM1150" s="266" t="str">
        <f t="shared" si="48"/>
        <v/>
      </c>
      <c r="AN1150" s="267" t="str">
        <f t="shared" si="49"/>
        <v/>
      </c>
      <c r="AO1150" s="267" t="str">
        <f t="shared" si="50"/>
        <v/>
      </c>
    </row>
    <row r="1151" spans="39:41">
      <c r="AM1151" s="266" t="str">
        <f t="shared" si="48"/>
        <v/>
      </c>
      <c r="AN1151" s="267" t="str">
        <f t="shared" si="49"/>
        <v/>
      </c>
      <c r="AO1151" s="267" t="str">
        <f t="shared" si="50"/>
        <v/>
      </c>
    </row>
    <row r="1152" spans="39:41">
      <c r="AM1152" s="266" t="str">
        <f t="shared" si="48"/>
        <v/>
      </c>
      <c r="AN1152" s="267" t="str">
        <f t="shared" si="49"/>
        <v/>
      </c>
      <c r="AO1152" s="267" t="str">
        <f t="shared" si="50"/>
        <v/>
      </c>
    </row>
    <row r="1153" spans="39:41">
      <c r="AM1153" s="266" t="str">
        <f t="shared" si="48"/>
        <v/>
      </c>
      <c r="AN1153" s="267" t="str">
        <f t="shared" si="49"/>
        <v/>
      </c>
      <c r="AO1153" s="267" t="str">
        <f t="shared" si="50"/>
        <v/>
      </c>
    </row>
    <row r="1154" spans="39:41">
      <c r="AM1154" s="266" t="str">
        <f t="shared" si="48"/>
        <v/>
      </c>
      <c r="AN1154" s="267" t="str">
        <f t="shared" si="49"/>
        <v/>
      </c>
      <c r="AO1154" s="267" t="str">
        <f t="shared" si="50"/>
        <v/>
      </c>
    </row>
    <row r="1155" spans="39:41">
      <c r="AM1155" s="266" t="str">
        <f t="shared" si="48"/>
        <v/>
      </c>
      <c r="AN1155" s="267" t="str">
        <f t="shared" si="49"/>
        <v/>
      </c>
      <c r="AO1155" s="267" t="str">
        <f t="shared" si="50"/>
        <v/>
      </c>
    </row>
    <row r="1156" spans="39:41">
      <c r="AM1156" s="266" t="str">
        <f t="shared" ref="AM1156:AM1219" si="51">IF(AK1156,(AK1156-AJ1156)/(AD1156-AG1156),"")</f>
        <v/>
      </c>
      <c r="AN1156" s="267" t="str">
        <f t="shared" ref="AN1156:AN1219" si="52">IF(AK1156,(AK1156-AJ1156)/(AE1156-AH1156),"")</f>
        <v/>
      </c>
      <c r="AO1156" s="267" t="str">
        <f t="shared" ref="AO1156:AO1219" si="53">IF(AK1156,(AK1156-AJ1156)/(AF1156-AI1156),"")</f>
        <v/>
      </c>
    </row>
    <row r="1157" spans="39:41">
      <c r="AM1157" s="266" t="str">
        <f t="shared" si="51"/>
        <v/>
      </c>
      <c r="AN1157" s="267" t="str">
        <f t="shared" si="52"/>
        <v/>
      </c>
      <c r="AO1157" s="267" t="str">
        <f t="shared" si="53"/>
        <v/>
      </c>
    </row>
    <row r="1158" spans="39:41">
      <c r="AM1158" s="266" t="str">
        <f t="shared" si="51"/>
        <v/>
      </c>
      <c r="AN1158" s="267" t="str">
        <f t="shared" si="52"/>
        <v/>
      </c>
      <c r="AO1158" s="267" t="str">
        <f t="shared" si="53"/>
        <v/>
      </c>
    </row>
    <row r="1159" spans="39:41">
      <c r="AM1159" s="266" t="str">
        <f t="shared" si="51"/>
        <v/>
      </c>
      <c r="AN1159" s="267" t="str">
        <f t="shared" si="52"/>
        <v/>
      </c>
      <c r="AO1159" s="267" t="str">
        <f t="shared" si="53"/>
        <v/>
      </c>
    </row>
    <row r="1160" spans="39:41">
      <c r="AM1160" s="266" t="str">
        <f t="shared" si="51"/>
        <v/>
      </c>
      <c r="AN1160" s="267" t="str">
        <f t="shared" si="52"/>
        <v/>
      </c>
      <c r="AO1160" s="267" t="str">
        <f t="shared" si="53"/>
        <v/>
      </c>
    </row>
    <row r="1161" spans="39:41">
      <c r="AM1161" s="266" t="str">
        <f t="shared" si="51"/>
        <v/>
      </c>
      <c r="AN1161" s="267" t="str">
        <f t="shared" si="52"/>
        <v/>
      </c>
      <c r="AO1161" s="267" t="str">
        <f t="shared" si="53"/>
        <v/>
      </c>
    </row>
    <row r="1162" spans="39:41">
      <c r="AM1162" s="266" t="str">
        <f t="shared" si="51"/>
        <v/>
      </c>
      <c r="AN1162" s="267" t="str">
        <f t="shared" si="52"/>
        <v/>
      </c>
      <c r="AO1162" s="267" t="str">
        <f t="shared" si="53"/>
        <v/>
      </c>
    </row>
    <row r="1163" spans="39:41">
      <c r="AM1163" s="266" t="str">
        <f t="shared" si="51"/>
        <v/>
      </c>
      <c r="AN1163" s="267" t="str">
        <f t="shared" si="52"/>
        <v/>
      </c>
      <c r="AO1163" s="267" t="str">
        <f t="shared" si="53"/>
        <v/>
      </c>
    </row>
    <row r="1164" spans="39:41">
      <c r="AM1164" s="266" t="str">
        <f t="shared" si="51"/>
        <v/>
      </c>
      <c r="AN1164" s="267" t="str">
        <f t="shared" si="52"/>
        <v/>
      </c>
      <c r="AO1164" s="267" t="str">
        <f t="shared" si="53"/>
        <v/>
      </c>
    </row>
    <row r="1165" spans="39:41">
      <c r="AM1165" s="266" t="str">
        <f t="shared" si="51"/>
        <v/>
      </c>
      <c r="AN1165" s="267" t="str">
        <f t="shared" si="52"/>
        <v/>
      </c>
      <c r="AO1165" s="267" t="str">
        <f t="shared" si="53"/>
        <v/>
      </c>
    </row>
    <row r="1166" spans="39:41">
      <c r="AM1166" s="266" t="str">
        <f t="shared" si="51"/>
        <v/>
      </c>
      <c r="AN1166" s="267" t="str">
        <f t="shared" si="52"/>
        <v/>
      </c>
      <c r="AO1166" s="267" t="str">
        <f t="shared" si="53"/>
        <v/>
      </c>
    </row>
    <row r="1167" spans="39:41">
      <c r="AM1167" s="266" t="str">
        <f t="shared" si="51"/>
        <v/>
      </c>
      <c r="AN1167" s="267" t="str">
        <f t="shared" si="52"/>
        <v/>
      </c>
      <c r="AO1167" s="267" t="str">
        <f t="shared" si="53"/>
        <v/>
      </c>
    </row>
    <row r="1168" spans="39:41">
      <c r="AM1168" s="266" t="str">
        <f t="shared" si="51"/>
        <v/>
      </c>
      <c r="AN1168" s="267" t="str">
        <f t="shared" si="52"/>
        <v/>
      </c>
      <c r="AO1168" s="267" t="str">
        <f t="shared" si="53"/>
        <v/>
      </c>
    </row>
    <row r="1169" spans="39:41">
      <c r="AM1169" s="266" t="str">
        <f t="shared" si="51"/>
        <v/>
      </c>
      <c r="AN1169" s="267" t="str">
        <f t="shared" si="52"/>
        <v/>
      </c>
      <c r="AO1169" s="267" t="str">
        <f t="shared" si="53"/>
        <v/>
      </c>
    </row>
    <row r="1170" spans="39:41">
      <c r="AM1170" s="266" t="str">
        <f t="shared" si="51"/>
        <v/>
      </c>
      <c r="AN1170" s="267" t="str">
        <f t="shared" si="52"/>
        <v/>
      </c>
      <c r="AO1170" s="267" t="str">
        <f t="shared" si="53"/>
        <v/>
      </c>
    </row>
    <row r="1171" spans="39:41">
      <c r="AM1171" s="266" t="str">
        <f t="shared" si="51"/>
        <v/>
      </c>
      <c r="AN1171" s="267" t="str">
        <f t="shared" si="52"/>
        <v/>
      </c>
      <c r="AO1171" s="267" t="str">
        <f t="shared" si="53"/>
        <v/>
      </c>
    </row>
    <row r="1172" spans="39:41">
      <c r="AM1172" s="266" t="str">
        <f t="shared" si="51"/>
        <v/>
      </c>
      <c r="AN1172" s="267" t="str">
        <f t="shared" si="52"/>
        <v/>
      </c>
      <c r="AO1172" s="267" t="str">
        <f t="shared" si="53"/>
        <v/>
      </c>
    </row>
    <row r="1173" spans="39:41">
      <c r="AM1173" s="266" t="str">
        <f t="shared" si="51"/>
        <v/>
      </c>
      <c r="AN1173" s="267" t="str">
        <f t="shared" si="52"/>
        <v/>
      </c>
      <c r="AO1173" s="267" t="str">
        <f t="shared" si="53"/>
        <v/>
      </c>
    </row>
    <row r="1174" spans="39:41">
      <c r="AM1174" s="266" t="str">
        <f t="shared" si="51"/>
        <v/>
      </c>
      <c r="AN1174" s="267" t="str">
        <f t="shared" si="52"/>
        <v/>
      </c>
      <c r="AO1174" s="267" t="str">
        <f t="shared" si="53"/>
        <v/>
      </c>
    </row>
    <row r="1175" spans="39:41">
      <c r="AM1175" s="266" t="str">
        <f t="shared" si="51"/>
        <v/>
      </c>
      <c r="AN1175" s="267" t="str">
        <f t="shared" si="52"/>
        <v/>
      </c>
      <c r="AO1175" s="267" t="str">
        <f t="shared" si="53"/>
        <v/>
      </c>
    </row>
    <row r="1176" spans="39:41">
      <c r="AM1176" s="266" t="str">
        <f t="shared" si="51"/>
        <v/>
      </c>
      <c r="AN1176" s="267" t="str">
        <f t="shared" si="52"/>
        <v/>
      </c>
      <c r="AO1176" s="267" t="str">
        <f t="shared" si="53"/>
        <v/>
      </c>
    </row>
    <row r="1177" spans="39:41">
      <c r="AM1177" s="266" t="str">
        <f t="shared" si="51"/>
        <v/>
      </c>
      <c r="AN1177" s="267" t="str">
        <f t="shared" si="52"/>
        <v/>
      </c>
      <c r="AO1177" s="267" t="str">
        <f t="shared" si="53"/>
        <v/>
      </c>
    </row>
    <row r="1178" spans="39:41">
      <c r="AM1178" s="266" t="str">
        <f t="shared" si="51"/>
        <v/>
      </c>
      <c r="AN1178" s="267" t="str">
        <f t="shared" si="52"/>
        <v/>
      </c>
      <c r="AO1178" s="267" t="str">
        <f t="shared" si="53"/>
        <v/>
      </c>
    </row>
    <row r="1179" spans="39:41">
      <c r="AM1179" s="266" t="str">
        <f t="shared" si="51"/>
        <v/>
      </c>
      <c r="AN1179" s="267" t="str">
        <f t="shared" si="52"/>
        <v/>
      </c>
      <c r="AO1179" s="267" t="str">
        <f t="shared" si="53"/>
        <v/>
      </c>
    </row>
    <row r="1180" spans="39:41">
      <c r="AM1180" s="266" t="str">
        <f t="shared" si="51"/>
        <v/>
      </c>
      <c r="AN1180" s="267" t="str">
        <f t="shared" si="52"/>
        <v/>
      </c>
      <c r="AO1180" s="267" t="str">
        <f t="shared" si="53"/>
        <v/>
      </c>
    </row>
    <row r="1181" spans="39:41">
      <c r="AM1181" s="266" t="str">
        <f t="shared" si="51"/>
        <v/>
      </c>
      <c r="AN1181" s="267" t="str">
        <f t="shared" si="52"/>
        <v/>
      </c>
      <c r="AO1181" s="267" t="str">
        <f t="shared" si="53"/>
        <v/>
      </c>
    </row>
    <row r="1182" spans="39:41">
      <c r="AM1182" s="266" t="str">
        <f t="shared" si="51"/>
        <v/>
      </c>
      <c r="AN1182" s="267" t="str">
        <f t="shared" si="52"/>
        <v/>
      </c>
      <c r="AO1182" s="267" t="str">
        <f t="shared" si="53"/>
        <v/>
      </c>
    </row>
    <row r="1183" spans="39:41">
      <c r="AM1183" s="266" t="str">
        <f t="shared" si="51"/>
        <v/>
      </c>
      <c r="AN1183" s="267" t="str">
        <f t="shared" si="52"/>
        <v/>
      </c>
      <c r="AO1183" s="267" t="str">
        <f t="shared" si="53"/>
        <v/>
      </c>
    </row>
    <row r="1184" spans="39:41">
      <c r="AM1184" s="266" t="str">
        <f t="shared" si="51"/>
        <v/>
      </c>
      <c r="AN1184" s="267" t="str">
        <f t="shared" si="52"/>
        <v/>
      </c>
      <c r="AO1184" s="267" t="str">
        <f t="shared" si="53"/>
        <v/>
      </c>
    </row>
    <row r="1185" spans="39:41">
      <c r="AM1185" s="266" t="str">
        <f t="shared" si="51"/>
        <v/>
      </c>
      <c r="AN1185" s="267" t="str">
        <f t="shared" si="52"/>
        <v/>
      </c>
      <c r="AO1185" s="267" t="str">
        <f t="shared" si="53"/>
        <v/>
      </c>
    </row>
    <row r="1186" spans="39:41">
      <c r="AM1186" s="266" t="str">
        <f t="shared" si="51"/>
        <v/>
      </c>
      <c r="AN1186" s="267" t="str">
        <f t="shared" si="52"/>
        <v/>
      </c>
      <c r="AO1186" s="267" t="str">
        <f t="shared" si="53"/>
        <v/>
      </c>
    </row>
    <row r="1187" spans="39:41">
      <c r="AM1187" s="266" t="str">
        <f t="shared" si="51"/>
        <v/>
      </c>
      <c r="AN1187" s="267" t="str">
        <f t="shared" si="52"/>
        <v/>
      </c>
      <c r="AO1187" s="267" t="str">
        <f t="shared" si="53"/>
        <v/>
      </c>
    </row>
    <row r="1188" spans="39:41">
      <c r="AM1188" s="266" t="str">
        <f t="shared" si="51"/>
        <v/>
      </c>
      <c r="AN1188" s="267" t="str">
        <f t="shared" si="52"/>
        <v/>
      </c>
      <c r="AO1188" s="267" t="str">
        <f t="shared" si="53"/>
        <v/>
      </c>
    </row>
    <row r="1189" spans="39:41">
      <c r="AM1189" s="266" t="str">
        <f t="shared" si="51"/>
        <v/>
      </c>
      <c r="AN1189" s="267" t="str">
        <f t="shared" si="52"/>
        <v/>
      </c>
      <c r="AO1189" s="267" t="str">
        <f t="shared" si="53"/>
        <v/>
      </c>
    </row>
    <row r="1190" spans="39:41">
      <c r="AM1190" s="266" t="str">
        <f t="shared" si="51"/>
        <v/>
      </c>
      <c r="AN1190" s="267" t="str">
        <f t="shared" si="52"/>
        <v/>
      </c>
      <c r="AO1190" s="267" t="str">
        <f t="shared" si="53"/>
        <v/>
      </c>
    </row>
    <row r="1191" spans="39:41">
      <c r="AM1191" s="266" t="str">
        <f t="shared" si="51"/>
        <v/>
      </c>
      <c r="AN1191" s="267" t="str">
        <f t="shared" si="52"/>
        <v/>
      </c>
      <c r="AO1191" s="267" t="str">
        <f t="shared" si="53"/>
        <v/>
      </c>
    </row>
    <row r="1192" spans="39:41">
      <c r="AM1192" s="266" t="str">
        <f t="shared" si="51"/>
        <v/>
      </c>
      <c r="AN1192" s="267" t="str">
        <f t="shared" si="52"/>
        <v/>
      </c>
      <c r="AO1192" s="267" t="str">
        <f t="shared" si="53"/>
        <v/>
      </c>
    </row>
    <row r="1193" spans="39:41">
      <c r="AM1193" s="266" t="str">
        <f t="shared" si="51"/>
        <v/>
      </c>
      <c r="AN1193" s="267" t="str">
        <f t="shared" si="52"/>
        <v/>
      </c>
      <c r="AO1193" s="267" t="str">
        <f t="shared" si="53"/>
        <v/>
      </c>
    </row>
    <row r="1194" spans="39:41">
      <c r="AM1194" s="266" t="str">
        <f t="shared" si="51"/>
        <v/>
      </c>
      <c r="AN1194" s="267" t="str">
        <f t="shared" si="52"/>
        <v/>
      </c>
      <c r="AO1194" s="267" t="str">
        <f t="shared" si="53"/>
        <v/>
      </c>
    </row>
    <row r="1195" spans="39:41">
      <c r="AM1195" s="266" t="str">
        <f t="shared" si="51"/>
        <v/>
      </c>
      <c r="AN1195" s="267" t="str">
        <f t="shared" si="52"/>
        <v/>
      </c>
      <c r="AO1195" s="267" t="str">
        <f t="shared" si="53"/>
        <v/>
      </c>
    </row>
    <row r="1196" spans="39:41">
      <c r="AM1196" s="266" t="str">
        <f t="shared" si="51"/>
        <v/>
      </c>
      <c r="AN1196" s="267" t="str">
        <f t="shared" si="52"/>
        <v/>
      </c>
      <c r="AO1196" s="267" t="str">
        <f t="shared" si="53"/>
        <v/>
      </c>
    </row>
    <row r="1197" spans="39:41">
      <c r="AM1197" s="266" t="str">
        <f t="shared" si="51"/>
        <v/>
      </c>
      <c r="AN1197" s="267" t="str">
        <f t="shared" si="52"/>
        <v/>
      </c>
      <c r="AO1197" s="267" t="str">
        <f t="shared" si="53"/>
        <v/>
      </c>
    </row>
    <row r="1198" spans="39:41">
      <c r="AM1198" s="266" t="str">
        <f t="shared" si="51"/>
        <v/>
      </c>
      <c r="AN1198" s="267" t="str">
        <f t="shared" si="52"/>
        <v/>
      </c>
      <c r="AO1198" s="267" t="str">
        <f t="shared" si="53"/>
        <v/>
      </c>
    </row>
    <row r="1199" spans="39:41">
      <c r="AM1199" s="266" t="str">
        <f t="shared" si="51"/>
        <v/>
      </c>
      <c r="AN1199" s="267" t="str">
        <f t="shared" si="52"/>
        <v/>
      </c>
      <c r="AO1199" s="267" t="str">
        <f t="shared" si="53"/>
        <v/>
      </c>
    </row>
    <row r="1200" spans="39:41">
      <c r="AM1200" s="266" t="str">
        <f t="shared" si="51"/>
        <v/>
      </c>
      <c r="AN1200" s="267" t="str">
        <f t="shared" si="52"/>
        <v/>
      </c>
      <c r="AO1200" s="267" t="str">
        <f t="shared" si="53"/>
        <v/>
      </c>
    </row>
    <row r="1201" spans="39:41">
      <c r="AM1201" s="266" t="str">
        <f t="shared" si="51"/>
        <v/>
      </c>
      <c r="AN1201" s="267" t="str">
        <f t="shared" si="52"/>
        <v/>
      </c>
      <c r="AO1201" s="267" t="str">
        <f t="shared" si="53"/>
        <v/>
      </c>
    </row>
    <row r="1202" spans="39:41">
      <c r="AM1202" s="266" t="str">
        <f t="shared" si="51"/>
        <v/>
      </c>
      <c r="AN1202" s="267" t="str">
        <f t="shared" si="52"/>
        <v/>
      </c>
      <c r="AO1202" s="267" t="str">
        <f t="shared" si="53"/>
        <v/>
      </c>
    </row>
    <row r="1203" spans="39:41">
      <c r="AM1203" s="266" t="str">
        <f t="shared" si="51"/>
        <v/>
      </c>
      <c r="AN1203" s="267" t="str">
        <f t="shared" si="52"/>
        <v/>
      </c>
      <c r="AO1203" s="267" t="str">
        <f t="shared" si="53"/>
        <v/>
      </c>
    </row>
    <row r="1204" spans="39:41">
      <c r="AM1204" s="266" t="str">
        <f t="shared" si="51"/>
        <v/>
      </c>
      <c r="AN1204" s="267" t="str">
        <f t="shared" si="52"/>
        <v/>
      </c>
      <c r="AO1204" s="267" t="str">
        <f t="shared" si="53"/>
        <v/>
      </c>
    </row>
    <row r="1205" spans="39:41">
      <c r="AM1205" s="266" t="str">
        <f t="shared" si="51"/>
        <v/>
      </c>
      <c r="AN1205" s="267" t="str">
        <f t="shared" si="52"/>
        <v/>
      </c>
      <c r="AO1205" s="267" t="str">
        <f t="shared" si="53"/>
        <v/>
      </c>
    </row>
    <row r="1206" spans="39:41">
      <c r="AM1206" s="266" t="str">
        <f t="shared" si="51"/>
        <v/>
      </c>
      <c r="AN1206" s="267" t="str">
        <f t="shared" si="52"/>
        <v/>
      </c>
      <c r="AO1206" s="267" t="str">
        <f t="shared" si="53"/>
        <v/>
      </c>
    </row>
    <row r="1207" spans="39:41">
      <c r="AM1207" s="266" t="str">
        <f t="shared" si="51"/>
        <v/>
      </c>
      <c r="AN1207" s="267" t="str">
        <f t="shared" si="52"/>
        <v/>
      </c>
      <c r="AO1207" s="267" t="str">
        <f t="shared" si="53"/>
        <v/>
      </c>
    </row>
    <row r="1208" spans="39:41">
      <c r="AM1208" s="266" t="str">
        <f t="shared" si="51"/>
        <v/>
      </c>
      <c r="AN1208" s="267" t="str">
        <f t="shared" si="52"/>
        <v/>
      </c>
      <c r="AO1208" s="267" t="str">
        <f t="shared" si="53"/>
        <v/>
      </c>
    </row>
    <row r="1209" spans="39:41">
      <c r="AM1209" s="266" t="str">
        <f t="shared" si="51"/>
        <v/>
      </c>
      <c r="AN1209" s="267" t="str">
        <f t="shared" si="52"/>
        <v/>
      </c>
      <c r="AO1209" s="267" t="str">
        <f t="shared" si="53"/>
        <v/>
      </c>
    </row>
    <row r="1210" spans="39:41">
      <c r="AM1210" s="266" t="str">
        <f t="shared" si="51"/>
        <v/>
      </c>
      <c r="AN1210" s="267" t="str">
        <f t="shared" si="52"/>
        <v/>
      </c>
      <c r="AO1210" s="267" t="str">
        <f t="shared" si="53"/>
        <v/>
      </c>
    </row>
    <row r="1211" spans="39:41">
      <c r="AM1211" s="266" t="str">
        <f t="shared" si="51"/>
        <v/>
      </c>
      <c r="AN1211" s="267" t="str">
        <f t="shared" si="52"/>
        <v/>
      </c>
      <c r="AO1211" s="267" t="str">
        <f t="shared" si="53"/>
        <v/>
      </c>
    </row>
    <row r="1212" spans="39:41">
      <c r="AM1212" s="266" t="str">
        <f t="shared" si="51"/>
        <v/>
      </c>
      <c r="AN1212" s="267" t="str">
        <f t="shared" si="52"/>
        <v/>
      </c>
      <c r="AO1212" s="267" t="str">
        <f t="shared" si="53"/>
        <v/>
      </c>
    </row>
    <row r="1213" spans="39:41">
      <c r="AM1213" s="266" t="str">
        <f t="shared" si="51"/>
        <v/>
      </c>
      <c r="AN1213" s="267" t="str">
        <f t="shared" si="52"/>
        <v/>
      </c>
      <c r="AO1213" s="267" t="str">
        <f t="shared" si="53"/>
        <v/>
      </c>
    </row>
    <row r="1214" spans="39:41">
      <c r="AM1214" s="266" t="str">
        <f t="shared" si="51"/>
        <v/>
      </c>
      <c r="AN1214" s="267" t="str">
        <f t="shared" si="52"/>
        <v/>
      </c>
      <c r="AO1214" s="267" t="str">
        <f t="shared" si="53"/>
        <v/>
      </c>
    </row>
    <row r="1215" spans="39:41">
      <c r="AM1215" s="266" t="str">
        <f t="shared" si="51"/>
        <v/>
      </c>
      <c r="AN1215" s="267" t="str">
        <f t="shared" si="52"/>
        <v/>
      </c>
      <c r="AO1215" s="267" t="str">
        <f t="shared" si="53"/>
        <v/>
      </c>
    </row>
    <row r="1216" spans="39:41">
      <c r="AM1216" s="266" t="str">
        <f t="shared" si="51"/>
        <v/>
      </c>
      <c r="AN1216" s="267" t="str">
        <f t="shared" si="52"/>
        <v/>
      </c>
      <c r="AO1216" s="267" t="str">
        <f t="shared" si="53"/>
        <v/>
      </c>
    </row>
    <row r="1217" spans="39:41">
      <c r="AM1217" s="266" t="str">
        <f t="shared" si="51"/>
        <v/>
      </c>
      <c r="AN1217" s="267" t="str">
        <f t="shared" si="52"/>
        <v/>
      </c>
      <c r="AO1217" s="267" t="str">
        <f t="shared" si="53"/>
        <v/>
      </c>
    </row>
    <row r="1218" spans="39:41">
      <c r="AM1218" s="266" t="str">
        <f t="shared" si="51"/>
        <v/>
      </c>
      <c r="AN1218" s="267" t="str">
        <f t="shared" si="52"/>
        <v/>
      </c>
      <c r="AO1218" s="267" t="str">
        <f t="shared" si="53"/>
        <v/>
      </c>
    </row>
    <row r="1219" spans="39:41">
      <c r="AM1219" s="266" t="str">
        <f t="shared" si="51"/>
        <v/>
      </c>
      <c r="AN1219" s="267" t="str">
        <f t="shared" si="52"/>
        <v/>
      </c>
      <c r="AO1219" s="267" t="str">
        <f t="shared" si="53"/>
        <v/>
      </c>
    </row>
    <row r="1220" spans="39:41">
      <c r="AM1220" s="266" t="str">
        <f t="shared" ref="AM1220:AM1283" si="54">IF(AK1220,(AK1220-AJ1220)/(AD1220-AG1220),"")</f>
        <v/>
      </c>
      <c r="AN1220" s="267" t="str">
        <f t="shared" ref="AN1220:AN1283" si="55">IF(AK1220,(AK1220-AJ1220)/(AE1220-AH1220),"")</f>
        <v/>
      </c>
      <c r="AO1220" s="267" t="str">
        <f t="shared" ref="AO1220:AO1283" si="56">IF(AK1220,(AK1220-AJ1220)/(AF1220-AI1220),"")</f>
        <v/>
      </c>
    </row>
    <row r="1221" spans="39:41">
      <c r="AM1221" s="266" t="str">
        <f t="shared" si="54"/>
        <v/>
      </c>
      <c r="AN1221" s="267" t="str">
        <f t="shared" si="55"/>
        <v/>
      </c>
      <c r="AO1221" s="267" t="str">
        <f t="shared" si="56"/>
        <v/>
      </c>
    </row>
    <row r="1222" spans="39:41">
      <c r="AM1222" s="266" t="str">
        <f t="shared" si="54"/>
        <v/>
      </c>
      <c r="AN1222" s="267" t="str">
        <f t="shared" si="55"/>
        <v/>
      </c>
      <c r="AO1222" s="267" t="str">
        <f t="shared" si="56"/>
        <v/>
      </c>
    </row>
    <row r="1223" spans="39:41">
      <c r="AM1223" s="266" t="str">
        <f t="shared" si="54"/>
        <v/>
      </c>
      <c r="AN1223" s="267" t="str">
        <f t="shared" si="55"/>
        <v/>
      </c>
      <c r="AO1223" s="267" t="str">
        <f t="shared" si="56"/>
        <v/>
      </c>
    </row>
    <row r="1224" spans="39:41">
      <c r="AM1224" s="266" t="str">
        <f t="shared" si="54"/>
        <v/>
      </c>
      <c r="AN1224" s="267" t="str">
        <f t="shared" si="55"/>
        <v/>
      </c>
      <c r="AO1224" s="267" t="str">
        <f t="shared" si="56"/>
        <v/>
      </c>
    </row>
    <row r="1225" spans="39:41">
      <c r="AM1225" s="266" t="str">
        <f t="shared" si="54"/>
        <v/>
      </c>
      <c r="AN1225" s="267" t="str">
        <f t="shared" si="55"/>
        <v/>
      </c>
      <c r="AO1225" s="267" t="str">
        <f t="shared" si="56"/>
        <v/>
      </c>
    </row>
    <row r="1226" spans="39:41">
      <c r="AM1226" s="266" t="str">
        <f t="shared" si="54"/>
        <v/>
      </c>
      <c r="AN1226" s="267" t="str">
        <f t="shared" si="55"/>
        <v/>
      </c>
      <c r="AO1226" s="267" t="str">
        <f t="shared" si="56"/>
        <v/>
      </c>
    </row>
    <row r="1227" spans="39:41">
      <c r="AM1227" s="266" t="str">
        <f t="shared" si="54"/>
        <v/>
      </c>
      <c r="AN1227" s="267" t="str">
        <f t="shared" si="55"/>
        <v/>
      </c>
      <c r="AO1227" s="267" t="str">
        <f t="shared" si="56"/>
        <v/>
      </c>
    </row>
    <row r="1228" spans="39:41">
      <c r="AM1228" s="266" t="str">
        <f t="shared" si="54"/>
        <v/>
      </c>
      <c r="AN1228" s="267" t="str">
        <f t="shared" si="55"/>
        <v/>
      </c>
      <c r="AO1228" s="267" t="str">
        <f t="shared" si="56"/>
        <v/>
      </c>
    </row>
    <row r="1229" spans="39:41">
      <c r="AM1229" s="266" t="str">
        <f t="shared" si="54"/>
        <v/>
      </c>
      <c r="AN1229" s="267" t="str">
        <f t="shared" si="55"/>
        <v/>
      </c>
      <c r="AO1229" s="267" t="str">
        <f t="shared" si="56"/>
        <v/>
      </c>
    </row>
    <row r="1230" spans="39:41">
      <c r="AM1230" s="266" t="str">
        <f t="shared" si="54"/>
        <v/>
      </c>
      <c r="AN1230" s="267" t="str">
        <f t="shared" si="55"/>
        <v/>
      </c>
      <c r="AO1230" s="267" t="str">
        <f t="shared" si="56"/>
        <v/>
      </c>
    </row>
    <row r="1231" spans="39:41">
      <c r="AM1231" s="266" t="str">
        <f t="shared" si="54"/>
        <v/>
      </c>
      <c r="AN1231" s="267" t="str">
        <f t="shared" si="55"/>
        <v/>
      </c>
      <c r="AO1231" s="267" t="str">
        <f t="shared" si="56"/>
        <v/>
      </c>
    </row>
    <row r="1232" spans="39:41">
      <c r="AM1232" s="266" t="str">
        <f t="shared" si="54"/>
        <v/>
      </c>
      <c r="AN1232" s="267" t="str">
        <f t="shared" si="55"/>
        <v/>
      </c>
      <c r="AO1232" s="267" t="str">
        <f t="shared" si="56"/>
        <v/>
      </c>
    </row>
    <row r="1233" spans="39:41">
      <c r="AM1233" s="266" t="str">
        <f t="shared" si="54"/>
        <v/>
      </c>
      <c r="AN1233" s="267" t="str">
        <f t="shared" si="55"/>
        <v/>
      </c>
      <c r="AO1233" s="267" t="str">
        <f t="shared" si="56"/>
        <v/>
      </c>
    </row>
    <row r="1234" spans="39:41">
      <c r="AM1234" s="266" t="str">
        <f t="shared" si="54"/>
        <v/>
      </c>
      <c r="AN1234" s="267" t="str">
        <f t="shared" si="55"/>
        <v/>
      </c>
      <c r="AO1234" s="267" t="str">
        <f t="shared" si="56"/>
        <v/>
      </c>
    </row>
    <row r="1235" spans="39:41">
      <c r="AM1235" s="266" t="str">
        <f t="shared" si="54"/>
        <v/>
      </c>
      <c r="AN1235" s="267" t="str">
        <f t="shared" si="55"/>
        <v/>
      </c>
      <c r="AO1235" s="267" t="str">
        <f t="shared" si="56"/>
        <v/>
      </c>
    </row>
    <row r="1236" spans="39:41">
      <c r="AM1236" s="266" t="str">
        <f t="shared" si="54"/>
        <v/>
      </c>
      <c r="AN1236" s="267" t="str">
        <f t="shared" si="55"/>
        <v/>
      </c>
      <c r="AO1236" s="267" t="str">
        <f t="shared" si="56"/>
        <v/>
      </c>
    </row>
    <row r="1237" spans="39:41">
      <c r="AM1237" s="266" t="str">
        <f t="shared" si="54"/>
        <v/>
      </c>
      <c r="AN1237" s="267" t="str">
        <f t="shared" si="55"/>
        <v/>
      </c>
      <c r="AO1237" s="267" t="str">
        <f t="shared" si="56"/>
        <v/>
      </c>
    </row>
    <row r="1238" spans="39:41">
      <c r="AM1238" s="266" t="str">
        <f t="shared" si="54"/>
        <v/>
      </c>
      <c r="AN1238" s="267" t="str">
        <f t="shared" si="55"/>
        <v/>
      </c>
      <c r="AO1238" s="267" t="str">
        <f t="shared" si="56"/>
        <v/>
      </c>
    </row>
    <row r="1239" spans="39:41">
      <c r="AM1239" s="266" t="str">
        <f t="shared" si="54"/>
        <v/>
      </c>
      <c r="AN1239" s="267" t="str">
        <f t="shared" si="55"/>
        <v/>
      </c>
      <c r="AO1239" s="267" t="str">
        <f t="shared" si="56"/>
        <v/>
      </c>
    </row>
    <row r="1240" spans="39:41">
      <c r="AM1240" s="266" t="str">
        <f t="shared" si="54"/>
        <v/>
      </c>
      <c r="AN1240" s="267" t="str">
        <f t="shared" si="55"/>
        <v/>
      </c>
      <c r="AO1240" s="267" t="str">
        <f t="shared" si="56"/>
        <v/>
      </c>
    </row>
    <row r="1241" spans="39:41">
      <c r="AM1241" s="266" t="str">
        <f t="shared" si="54"/>
        <v/>
      </c>
      <c r="AN1241" s="267" t="str">
        <f t="shared" si="55"/>
        <v/>
      </c>
      <c r="AO1241" s="267" t="str">
        <f t="shared" si="56"/>
        <v/>
      </c>
    </row>
    <row r="1242" spans="39:41">
      <c r="AM1242" s="266" t="str">
        <f t="shared" si="54"/>
        <v/>
      </c>
      <c r="AN1242" s="267" t="str">
        <f t="shared" si="55"/>
        <v/>
      </c>
      <c r="AO1242" s="267" t="str">
        <f t="shared" si="56"/>
        <v/>
      </c>
    </row>
    <row r="1243" spans="39:41">
      <c r="AM1243" s="266" t="str">
        <f t="shared" si="54"/>
        <v/>
      </c>
      <c r="AN1243" s="267" t="str">
        <f t="shared" si="55"/>
        <v/>
      </c>
      <c r="AO1243" s="267" t="str">
        <f t="shared" si="56"/>
        <v/>
      </c>
    </row>
    <row r="1244" spans="39:41">
      <c r="AM1244" s="266" t="str">
        <f t="shared" si="54"/>
        <v/>
      </c>
      <c r="AN1244" s="267" t="str">
        <f t="shared" si="55"/>
        <v/>
      </c>
      <c r="AO1244" s="267" t="str">
        <f t="shared" si="56"/>
        <v/>
      </c>
    </row>
    <row r="1245" spans="39:41">
      <c r="AM1245" s="266" t="str">
        <f t="shared" si="54"/>
        <v/>
      </c>
      <c r="AN1245" s="267" t="str">
        <f t="shared" si="55"/>
        <v/>
      </c>
      <c r="AO1245" s="267" t="str">
        <f t="shared" si="56"/>
        <v/>
      </c>
    </row>
    <row r="1246" spans="39:41">
      <c r="AM1246" s="266" t="str">
        <f t="shared" si="54"/>
        <v/>
      </c>
      <c r="AN1246" s="267" t="str">
        <f t="shared" si="55"/>
        <v/>
      </c>
      <c r="AO1246" s="267" t="str">
        <f t="shared" si="56"/>
        <v/>
      </c>
    </row>
    <row r="1247" spans="39:41">
      <c r="AM1247" s="266" t="str">
        <f t="shared" si="54"/>
        <v/>
      </c>
      <c r="AN1247" s="267" t="str">
        <f t="shared" si="55"/>
        <v/>
      </c>
      <c r="AO1247" s="267" t="str">
        <f t="shared" si="56"/>
        <v/>
      </c>
    </row>
    <row r="1248" spans="39:41">
      <c r="AM1248" s="266" t="str">
        <f t="shared" si="54"/>
        <v/>
      </c>
      <c r="AN1248" s="267" t="str">
        <f t="shared" si="55"/>
        <v/>
      </c>
      <c r="AO1248" s="267" t="str">
        <f t="shared" si="56"/>
        <v/>
      </c>
    </row>
    <row r="1249" spans="39:41">
      <c r="AM1249" s="266" t="str">
        <f t="shared" si="54"/>
        <v/>
      </c>
      <c r="AN1249" s="267" t="str">
        <f t="shared" si="55"/>
        <v/>
      </c>
      <c r="AO1249" s="267" t="str">
        <f t="shared" si="56"/>
        <v/>
      </c>
    </row>
    <row r="1250" spans="39:41">
      <c r="AM1250" s="266" t="str">
        <f t="shared" si="54"/>
        <v/>
      </c>
      <c r="AN1250" s="267" t="str">
        <f t="shared" si="55"/>
        <v/>
      </c>
      <c r="AO1250" s="267" t="str">
        <f t="shared" si="56"/>
        <v/>
      </c>
    </row>
    <row r="1251" spans="39:41">
      <c r="AM1251" s="266" t="str">
        <f t="shared" si="54"/>
        <v/>
      </c>
      <c r="AN1251" s="267" t="str">
        <f t="shared" si="55"/>
        <v/>
      </c>
      <c r="AO1251" s="267" t="str">
        <f t="shared" si="56"/>
        <v/>
      </c>
    </row>
    <row r="1252" spans="39:41">
      <c r="AM1252" s="266" t="str">
        <f t="shared" si="54"/>
        <v/>
      </c>
      <c r="AN1252" s="267" t="str">
        <f t="shared" si="55"/>
        <v/>
      </c>
      <c r="AO1252" s="267" t="str">
        <f t="shared" si="56"/>
        <v/>
      </c>
    </row>
    <row r="1253" spans="39:41">
      <c r="AM1253" s="266" t="str">
        <f t="shared" si="54"/>
        <v/>
      </c>
      <c r="AN1253" s="267" t="str">
        <f t="shared" si="55"/>
        <v/>
      </c>
      <c r="AO1253" s="267" t="str">
        <f t="shared" si="56"/>
        <v/>
      </c>
    </row>
    <row r="1254" spans="39:41">
      <c r="AM1254" s="266" t="str">
        <f t="shared" si="54"/>
        <v/>
      </c>
      <c r="AN1254" s="267" t="str">
        <f t="shared" si="55"/>
        <v/>
      </c>
      <c r="AO1254" s="267" t="str">
        <f t="shared" si="56"/>
        <v/>
      </c>
    </row>
    <row r="1255" spans="39:41">
      <c r="AM1255" s="266" t="str">
        <f t="shared" si="54"/>
        <v/>
      </c>
      <c r="AN1255" s="267" t="str">
        <f t="shared" si="55"/>
        <v/>
      </c>
      <c r="AO1255" s="267" t="str">
        <f t="shared" si="56"/>
        <v/>
      </c>
    </row>
    <row r="1256" spans="39:41">
      <c r="AM1256" s="266" t="str">
        <f t="shared" si="54"/>
        <v/>
      </c>
      <c r="AN1256" s="267" t="str">
        <f t="shared" si="55"/>
        <v/>
      </c>
      <c r="AO1256" s="267" t="str">
        <f t="shared" si="56"/>
        <v/>
      </c>
    </row>
    <row r="1257" spans="39:41">
      <c r="AM1257" s="266" t="str">
        <f t="shared" si="54"/>
        <v/>
      </c>
      <c r="AN1257" s="267" t="str">
        <f t="shared" si="55"/>
        <v/>
      </c>
      <c r="AO1257" s="267" t="str">
        <f t="shared" si="56"/>
        <v/>
      </c>
    </row>
    <row r="1258" spans="39:41">
      <c r="AM1258" s="266" t="str">
        <f t="shared" si="54"/>
        <v/>
      </c>
      <c r="AN1258" s="267" t="str">
        <f t="shared" si="55"/>
        <v/>
      </c>
      <c r="AO1258" s="267" t="str">
        <f t="shared" si="56"/>
        <v/>
      </c>
    </row>
    <row r="1259" spans="39:41">
      <c r="AM1259" s="266" t="str">
        <f t="shared" si="54"/>
        <v/>
      </c>
      <c r="AN1259" s="267" t="str">
        <f t="shared" si="55"/>
        <v/>
      </c>
      <c r="AO1259" s="267" t="str">
        <f t="shared" si="56"/>
        <v/>
      </c>
    </row>
    <row r="1260" spans="39:41">
      <c r="AM1260" s="266" t="str">
        <f t="shared" si="54"/>
        <v/>
      </c>
      <c r="AN1260" s="267" t="str">
        <f t="shared" si="55"/>
        <v/>
      </c>
      <c r="AO1260" s="267" t="str">
        <f t="shared" si="56"/>
        <v/>
      </c>
    </row>
    <row r="1261" spans="39:41">
      <c r="AM1261" s="266" t="str">
        <f t="shared" si="54"/>
        <v/>
      </c>
      <c r="AN1261" s="267" t="str">
        <f t="shared" si="55"/>
        <v/>
      </c>
      <c r="AO1261" s="267" t="str">
        <f t="shared" si="56"/>
        <v/>
      </c>
    </row>
    <row r="1262" spans="39:41">
      <c r="AM1262" s="266" t="str">
        <f t="shared" si="54"/>
        <v/>
      </c>
      <c r="AN1262" s="267" t="str">
        <f t="shared" si="55"/>
        <v/>
      </c>
      <c r="AO1262" s="267" t="str">
        <f t="shared" si="56"/>
        <v/>
      </c>
    </row>
    <row r="1263" spans="39:41">
      <c r="AM1263" s="266" t="str">
        <f t="shared" si="54"/>
        <v/>
      </c>
      <c r="AN1263" s="267" t="str">
        <f t="shared" si="55"/>
        <v/>
      </c>
      <c r="AO1263" s="267" t="str">
        <f t="shared" si="56"/>
        <v/>
      </c>
    </row>
    <row r="1264" spans="39:41">
      <c r="AM1264" s="266" t="str">
        <f t="shared" si="54"/>
        <v/>
      </c>
      <c r="AN1264" s="267" t="str">
        <f t="shared" si="55"/>
        <v/>
      </c>
      <c r="AO1264" s="267" t="str">
        <f t="shared" si="56"/>
        <v/>
      </c>
    </row>
    <row r="1265" spans="39:41">
      <c r="AM1265" s="266" t="str">
        <f t="shared" si="54"/>
        <v/>
      </c>
      <c r="AN1265" s="267" t="str">
        <f t="shared" si="55"/>
        <v/>
      </c>
      <c r="AO1265" s="267" t="str">
        <f t="shared" si="56"/>
        <v/>
      </c>
    </row>
    <row r="1266" spans="39:41">
      <c r="AM1266" s="266" t="str">
        <f t="shared" si="54"/>
        <v/>
      </c>
      <c r="AN1266" s="267" t="str">
        <f t="shared" si="55"/>
        <v/>
      </c>
      <c r="AO1266" s="267" t="str">
        <f t="shared" si="56"/>
        <v/>
      </c>
    </row>
    <row r="1267" spans="39:41">
      <c r="AM1267" s="266" t="str">
        <f t="shared" si="54"/>
        <v/>
      </c>
      <c r="AN1267" s="267" t="str">
        <f t="shared" si="55"/>
        <v/>
      </c>
      <c r="AO1267" s="267" t="str">
        <f t="shared" si="56"/>
        <v/>
      </c>
    </row>
    <row r="1268" spans="39:41">
      <c r="AM1268" s="266" t="str">
        <f t="shared" si="54"/>
        <v/>
      </c>
      <c r="AN1268" s="267" t="str">
        <f t="shared" si="55"/>
        <v/>
      </c>
      <c r="AO1268" s="267" t="str">
        <f t="shared" si="56"/>
        <v/>
      </c>
    </row>
    <row r="1269" spans="39:41">
      <c r="AM1269" s="266" t="str">
        <f t="shared" si="54"/>
        <v/>
      </c>
      <c r="AN1269" s="267" t="str">
        <f t="shared" si="55"/>
        <v/>
      </c>
      <c r="AO1269" s="267" t="str">
        <f t="shared" si="56"/>
        <v/>
      </c>
    </row>
    <row r="1270" spans="39:41">
      <c r="AM1270" s="266" t="str">
        <f t="shared" si="54"/>
        <v/>
      </c>
      <c r="AN1270" s="267" t="str">
        <f t="shared" si="55"/>
        <v/>
      </c>
      <c r="AO1270" s="267" t="str">
        <f t="shared" si="56"/>
        <v/>
      </c>
    </row>
    <row r="1271" spans="39:41">
      <c r="AM1271" s="266" t="str">
        <f t="shared" si="54"/>
        <v/>
      </c>
      <c r="AN1271" s="267" t="str">
        <f t="shared" si="55"/>
        <v/>
      </c>
      <c r="AO1271" s="267" t="str">
        <f t="shared" si="56"/>
        <v/>
      </c>
    </row>
    <row r="1272" spans="39:41">
      <c r="AM1272" s="266" t="str">
        <f t="shared" si="54"/>
        <v/>
      </c>
      <c r="AN1272" s="267" t="str">
        <f t="shared" si="55"/>
        <v/>
      </c>
      <c r="AO1272" s="267" t="str">
        <f t="shared" si="56"/>
        <v/>
      </c>
    </row>
    <row r="1273" spans="39:41">
      <c r="AM1273" s="266" t="str">
        <f t="shared" si="54"/>
        <v/>
      </c>
      <c r="AN1273" s="267" t="str">
        <f t="shared" si="55"/>
        <v/>
      </c>
      <c r="AO1273" s="267" t="str">
        <f t="shared" si="56"/>
        <v/>
      </c>
    </row>
    <row r="1274" spans="39:41">
      <c r="AM1274" s="266" t="str">
        <f t="shared" si="54"/>
        <v/>
      </c>
      <c r="AN1274" s="267" t="str">
        <f t="shared" si="55"/>
        <v/>
      </c>
      <c r="AO1274" s="267" t="str">
        <f t="shared" si="56"/>
        <v/>
      </c>
    </row>
    <row r="1275" spans="39:41">
      <c r="AM1275" s="266" t="str">
        <f t="shared" si="54"/>
        <v/>
      </c>
      <c r="AN1275" s="267" t="str">
        <f t="shared" si="55"/>
        <v/>
      </c>
      <c r="AO1275" s="267" t="str">
        <f t="shared" si="56"/>
        <v/>
      </c>
    </row>
    <row r="1276" spans="39:41">
      <c r="AM1276" s="266" t="str">
        <f t="shared" si="54"/>
        <v/>
      </c>
      <c r="AN1276" s="267" t="str">
        <f t="shared" si="55"/>
        <v/>
      </c>
      <c r="AO1276" s="267" t="str">
        <f t="shared" si="56"/>
        <v/>
      </c>
    </row>
    <row r="1277" spans="39:41">
      <c r="AM1277" s="266" t="str">
        <f t="shared" si="54"/>
        <v/>
      </c>
      <c r="AN1277" s="267" t="str">
        <f t="shared" si="55"/>
        <v/>
      </c>
      <c r="AO1277" s="267" t="str">
        <f t="shared" si="56"/>
        <v/>
      </c>
    </row>
    <row r="1278" spans="39:41">
      <c r="AM1278" s="266" t="str">
        <f t="shared" si="54"/>
        <v/>
      </c>
      <c r="AN1278" s="267" t="str">
        <f t="shared" si="55"/>
        <v/>
      </c>
      <c r="AO1278" s="267" t="str">
        <f t="shared" si="56"/>
        <v/>
      </c>
    </row>
    <row r="1279" spans="39:41">
      <c r="AM1279" s="266" t="str">
        <f t="shared" si="54"/>
        <v/>
      </c>
      <c r="AN1279" s="267" t="str">
        <f t="shared" si="55"/>
        <v/>
      </c>
      <c r="AO1279" s="267" t="str">
        <f t="shared" si="56"/>
        <v/>
      </c>
    </row>
    <row r="1280" spans="39:41">
      <c r="AM1280" s="266" t="str">
        <f t="shared" si="54"/>
        <v/>
      </c>
      <c r="AN1280" s="267" t="str">
        <f t="shared" si="55"/>
        <v/>
      </c>
      <c r="AO1280" s="267" t="str">
        <f t="shared" si="56"/>
        <v/>
      </c>
    </row>
    <row r="1281" spans="39:41">
      <c r="AM1281" s="266" t="str">
        <f t="shared" si="54"/>
        <v/>
      </c>
      <c r="AN1281" s="267" t="str">
        <f t="shared" si="55"/>
        <v/>
      </c>
      <c r="AO1281" s="267" t="str">
        <f t="shared" si="56"/>
        <v/>
      </c>
    </row>
    <row r="1282" spans="39:41">
      <c r="AM1282" s="266" t="str">
        <f t="shared" si="54"/>
        <v/>
      </c>
      <c r="AN1282" s="267" t="str">
        <f t="shared" si="55"/>
        <v/>
      </c>
      <c r="AO1282" s="267" t="str">
        <f t="shared" si="56"/>
        <v/>
      </c>
    </row>
    <row r="1283" spans="39:41">
      <c r="AM1283" s="266" t="str">
        <f t="shared" si="54"/>
        <v/>
      </c>
      <c r="AN1283" s="267" t="str">
        <f t="shared" si="55"/>
        <v/>
      </c>
      <c r="AO1283" s="267" t="str">
        <f t="shared" si="56"/>
        <v/>
      </c>
    </row>
    <row r="1284" spans="39:41">
      <c r="AM1284" s="266" t="str">
        <f t="shared" ref="AM1284:AM1347" si="57">IF(AK1284,(AK1284-AJ1284)/(AD1284-AG1284),"")</f>
        <v/>
      </c>
      <c r="AN1284" s="267" t="str">
        <f t="shared" ref="AN1284:AN1347" si="58">IF(AK1284,(AK1284-AJ1284)/(AE1284-AH1284),"")</f>
        <v/>
      </c>
      <c r="AO1284" s="267" t="str">
        <f t="shared" ref="AO1284:AO1347" si="59">IF(AK1284,(AK1284-AJ1284)/(AF1284-AI1284),"")</f>
        <v/>
      </c>
    </row>
    <row r="1285" spans="39:41">
      <c r="AM1285" s="266" t="str">
        <f t="shared" si="57"/>
        <v/>
      </c>
      <c r="AN1285" s="267" t="str">
        <f t="shared" si="58"/>
        <v/>
      </c>
      <c r="AO1285" s="267" t="str">
        <f t="shared" si="59"/>
        <v/>
      </c>
    </row>
    <row r="1286" spans="39:41">
      <c r="AM1286" s="266" t="str">
        <f t="shared" si="57"/>
        <v/>
      </c>
      <c r="AN1286" s="267" t="str">
        <f t="shared" si="58"/>
        <v/>
      </c>
      <c r="AO1286" s="267" t="str">
        <f t="shared" si="59"/>
        <v/>
      </c>
    </row>
    <row r="1287" spans="39:41">
      <c r="AM1287" s="266" t="str">
        <f t="shared" si="57"/>
        <v/>
      </c>
      <c r="AN1287" s="267" t="str">
        <f t="shared" si="58"/>
        <v/>
      </c>
      <c r="AO1287" s="267" t="str">
        <f t="shared" si="59"/>
        <v/>
      </c>
    </row>
    <row r="1288" spans="39:41">
      <c r="AM1288" s="266" t="str">
        <f t="shared" si="57"/>
        <v/>
      </c>
      <c r="AN1288" s="267" t="str">
        <f t="shared" si="58"/>
        <v/>
      </c>
      <c r="AO1288" s="267" t="str">
        <f t="shared" si="59"/>
        <v/>
      </c>
    </row>
    <row r="1289" spans="39:41">
      <c r="AM1289" s="266" t="str">
        <f t="shared" si="57"/>
        <v/>
      </c>
      <c r="AN1289" s="267" t="str">
        <f t="shared" si="58"/>
        <v/>
      </c>
      <c r="AO1289" s="267" t="str">
        <f t="shared" si="59"/>
        <v/>
      </c>
    </row>
    <row r="1290" spans="39:41">
      <c r="AM1290" s="266" t="str">
        <f t="shared" si="57"/>
        <v/>
      </c>
      <c r="AN1290" s="267" t="str">
        <f t="shared" si="58"/>
        <v/>
      </c>
      <c r="AO1290" s="267" t="str">
        <f t="shared" si="59"/>
        <v/>
      </c>
    </row>
    <row r="1291" spans="39:41">
      <c r="AM1291" s="266" t="str">
        <f t="shared" si="57"/>
        <v/>
      </c>
      <c r="AN1291" s="267" t="str">
        <f t="shared" si="58"/>
        <v/>
      </c>
      <c r="AO1291" s="267" t="str">
        <f t="shared" si="59"/>
        <v/>
      </c>
    </row>
    <row r="1292" spans="39:41">
      <c r="AM1292" s="266" t="str">
        <f t="shared" si="57"/>
        <v/>
      </c>
      <c r="AN1292" s="267" t="str">
        <f t="shared" si="58"/>
        <v/>
      </c>
      <c r="AO1292" s="267" t="str">
        <f t="shared" si="59"/>
        <v/>
      </c>
    </row>
    <row r="1293" spans="39:41">
      <c r="AM1293" s="266" t="str">
        <f t="shared" si="57"/>
        <v/>
      </c>
      <c r="AN1293" s="267" t="str">
        <f t="shared" si="58"/>
        <v/>
      </c>
      <c r="AO1293" s="267" t="str">
        <f t="shared" si="59"/>
        <v/>
      </c>
    </row>
    <row r="1294" spans="39:41">
      <c r="AM1294" s="266" t="str">
        <f t="shared" si="57"/>
        <v/>
      </c>
      <c r="AN1294" s="267" t="str">
        <f t="shared" si="58"/>
        <v/>
      </c>
      <c r="AO1294" s="267" t="str">
        <f t="shared" si="59"/>
        <v/>
      </c>
    </row>
    <row r="1295" spans="39:41">
      <c r="AM1295" s="266" t="str">
        <f t="shared" si="57"/>
        <v/>
      </c>
      <c r="AN1295" s="267" t="str">
        <f t="shared" si="58"/>
        <v/>
      </c>
      <c r="AO1295" s="267" t="str">
        <f t="shared" si="59"/>
        <v/>
      </c>
    </row>
    <row r="1296" spans="39:41">
      <c r="AM1296" s="266" t="str">
        <f t="shared" si="57"/>
        <v/>
      </c>
      <c r="AN1296" s="267" t="str">
        <f t="shared" si="58"/>
        <v/>
      </c>
      <c r="AO1296" s="267" t="str">
        <f t="shared" si="59"/>
        <v/>
      </c>
    </row>
    <row r="1297" spans="39:41">
      <c r="AM1297" s="266" t="str">
        <f t="shared" si="57"/>
        <v/>
      </c>
      <c r="AN1297" s="267" t="str">
        <f t="shared" si="58"/>
        <v/>
      </c>
      <c r="AO1297" s="267" t="str">
        <f t="shared" si="59"/>
        <v/>
      </c>
    </row>
    <row r="1298" spans="39:41">
      <c r="AM1298" s="266" t="str">
        <f t="shared" si="57"/>
        <v/>
      </c>
      <c r="AN1298" s="267" t="str">
        <f t="shared" si="58"/>
        <v/>
      </c>
      <c r="AO1298" s="267" t="str">
        <f t="shared" si="59"/>
        <v/>
      </c>
    </row>
    <row r="1299" spans="39:41">
      <c r="AM1299" s="266" t="str">
        <f t="shared" si="57"/>
        <v/>
      </c>
      <c r="AN1299" s="267" t="str">
        <f t="shared" si="58"/>
        <v/>
      </c>
      <c r="AO1299" s="267" t="str">
        <f t="shared" si="59"/>
        <v/>
      </c>
    </row>
    <row r="1300" spans="39:41">
      <c r="AM1300" s="266" t="str">
        <f t="shared" si="57"/>
        <v/>
      </c>
      <c r="AN1300" s="267" t="str">
        <f t="shared" si="58"/>
        <v/>
      </c>
      <c r="AO1300" s="267" t="str">
        <f t="shared" si="59"/>
        <v/>
      </c>
    </row>
    <row r="1301" spans="39:41">
      <c r="AM1301" s="266" t="str">
        <f t="shared" si="57"/>
        <v/>
      </c>
      <c r="AN1301" s="267" t="str">
        <f t="shared" si="58"/>
        <v/>
      </c>
      <c r="AO1301" s="267" t="str">
        <f t="shared" si="59"/>
        <v/>
      </c>
    </row>
    <row r="1302" spans="39:41">
      <c r="AM1302" s="266" t="str">
        <f t="shared" si="57"/>
        <v/>
      </c>
      <c r="AN1302" s="267" t="str">
        <f t="shared" si="58"/>
        <v/>
      </c>
      <c r="AO1302" s="267" t="str">
        <f t="shared" si="59"/>
        <v/>
      </c>
    </row>
    <row r="1303" spans="39:41">
      <c r="AM1303" s="266" t="str">
        <f t="shared" si="57"/>
        <v/>
      </c>
      <c r="AN1303" s="267" t="str">
        <f t="shared" si="58"/>
        <v/>
      </c>
      <c r="AO1303" s="267" t="str">
        <f t="shared" si="59"/>
        <v/>
      </c>
    </row>
    <row r="1304" spans="39:41">
      <c r="AM1304" s="266" t="str">
        <f t="shared" si="57"/>
        <v/>
      </c>
      <c r="AN1304" s="267" t="str">
        <f t="shared" si="58"/>
        <v/>
      </c>
      <c r="AO1304" s="267" t="str">
        <f t="shared" si="59"/>
        <v/>
      </c>
    </row>
    <row r="1305" spans="39:41">
      <c r="AM1305" s="266" t="str">
        <f t="shared" si="57"/>
        <v/>
      </c>
      <c r="AN1305" s="267" t="str">
        <f t="shared" si="58"/>
        <v/>
      </c>
      <c r="AO1305" s="267" t="str">
        <f t="shared" si="59"/>
        <v/>
      </c>
    </row>
    <row r="1306" spans="39:41">
      <c r="AM1306" s="266" t="str">
        <f t="shared" si="57"/>
        <v/>
      </c>
      <c r="AN1306" s="267" t="str">
        <f t="shared" si="58"/>
        <v/>
      </c>
      <c r="AO1306" s="267" t="str">
        <f t="shared" si="59"/>
        <v/>
      </c>
    </row>
    <row r="1307" spans="39:41">
      <c r="AM1307" s="266" t="str">
        <f t="shared" si="57"/>
        <v/>
      </c>
      <c r="AN1307" s="267" t="str">
        <f t="shared" si="58"/>
        <v/>
      </c>
      <c r="AO1307" s="267" t="str">
        <f t="shared" si="59"/>
        <v/>
      </c>
    </row>
    <row r="1308" spans="39:41">
      <c r="AM1308" s="266" t="str">
        <f t="shared" si="57"/>
        <v/>
      </c>
      <c r="AN1308" s="267" t="str">
        <f t="shared" si="58"/>
        <v/>
      </c>
      <c r="AO1308" s="267" t="str">
        <f t="shared" si="59"/>
        <v/>
      </c>
    </row>
    <row r="1309" spans="39:41">
      <c r="AM1309" s="266" t="str">
        <f t="shared" si="57"/>
        <v/>
      </c>
      <c r="AN1309" s="267" t="str">
        <f t="shared" si="58"/>
        <v/>
      </c>
      <c r="AO1309" s="267" t="str">
        <f t="shared" si="59"/>
        <v/>
      </c>
    </row>
    <row r="1310" spans="39:41">
      <c r="AM1310" s="266" t="str">
        <f t="shared" si="57"/>
        <v/>
      </c>
      <c r="AN1310" s="267" t="str">
        <f t="shared" si="58"/>
        <v/>
      </c>
      <c r="AO1310" s="267" t="str">
        <f t="shared" si="59"/>
        <v/>
      </c>
    </row>
    <row r="1311" spans="39:41">
      <c r="AM1311" s="266" t="str">
        <f t="shared" si="57"/>
        <v/>
      </c>
      <c r="AN1311" s="267" t="str">
        <f t="shared" si="58"/>
        <v/>
      </c>
      <c r="AO1311" s="267" t="str">
        <f t="shared" si="59"/>
        <v/>
      </c>
    </row>
    <row r="1312" spans="39:41">
      <c r="AM1312" s="266" t="str">
        <f t="shared" si="57"/>
        <v/>
      </c>
      <c r="AN1312" s="267" t="str">
        <f t="shared" si="58"/>
        <v/>
      </c>
      <c r="AO1312" s="267" t="str">
        <f t="shared" si="59"/>
        <v/>
      </c>
    </row>
    <row r="1313" spans="39:41">
      <c r="AM1313" s="266" t="str">
        <f t="shared" si="57"/>
        <v/>
      </c>
      <c r="AN1313" s="267" t="str">
        <f t="shared" si="58"/>
        <v/>
      </c>
      <c r="AO1313" s="267" t="str">
        <f t="shared" si="59"/>
        <v/>
      </c>
    </row>
    <row r="1314" spans="39:41">
      <c r="AM1314" s="266" t="str">
        <f t="shared" si="57"/>
        <v/>
      </c>
      <c r="AN1314" s="267" t="str">
        <f t="shared" si="58"/>
        <v/>
      </c>
      <c r="AO1314" s="267" t="str">
        <f t="shared" si="59"/>
        <v/>
      </c>
    </row>
    <row r="1315" spans="39:41">
      <c r="AM1315" s="266" t="str">
        <f t="shared" si="57"/>
        <v/>
      </c>
      <c r="AN1315" s="267" t="str">
        <f t="shared" si="58"/>
        <v/>
      </c>
      <c r="AO1315" s="267" t="str">
        <f t="shared" si="59"/>
        <v/>
      </c>
    </row>
    <row r="1316" spans="39:41">
      <c r="AM1316" s="266" t="str">
        <f t="shared" si="57"/>
        <v/>
      </c>
      <c r="AN1316" s="267" t="str">
        <f t="shared" si="58"/>
        <v/>
      </c>
      <c r="AO1316" s="267" t="str">
        <f t="shared" si="59"/>
        <v/>
      </c>
    </row>
    <row r="1317" spans="39:41">
      <c r="AM1317" s="266" t="str">
        <f t="shared" si="57"/>
        <v/>
      </c>
      <c r="AN1317" s="267" t="str">
        <f t="shared" si="58"/>
        <v/>
      </c>
      <c r="AO1317" s="267" t="str">
        <f t="shared" si="59"/>
        <v/>
      </c>
    </row>
    <row r="1318" spans="39:41">
      <c r="AM1318" s="266" t="str">
        <f t="shared" si="57"/>
        <v/>
      </c>
      <c r="AN1318" s="267" t="str">
        <f t="shared" si="58"/>
        <v/>
      </c>
      <c r="AO1318" s="267" t="str">
        <f t="shared" si="59"/>
        <v/>
      </c>
    </row>
    <row r="1319" spans="39:41">
      <c r="AM1319" s="266" t="str">
        <f t="shared" si="57"/>
        <v/>
      </c>
      <c r="AN1319" s="267" t="str">
        <f t="shared" si="58"/>
        <v/>
      </c>
      <c r="AO1319" s="267" t="str">
        <f t="shared" si="59"/>
        <v/>
      </c>
    </row>
    <row r="1320" spans="39:41">
      <c r="AM1320" s="266" t="str">
        <f t="shared" si="57"/>
        <v/>
      </c>
      <c r="AN1320" s="267" t="str">
        <f t="shared" si="58"/>
        <v/>
      </c>
      <c r="AO1320" s="267" t="str">
        <f t="shared" si="59"/>
        <v/>
      </c>
    </row>
    <row r="1321" spans="39:41">
      <c r="AM1321" s="266" t="str">
        <f t="shared" si="57"/>
        <v/>
      </c>
      <c r="AN1321" s="267" t="str">
        <f t="shared" si="58"/>
        <v/>
      </c>
      <c r="AO1321" s="267" t="str">
        <f t="shared" si="59"/>
        <v/>
      </c>
    </row>
    <row r="1322" spans="39:41">
      <c r="AM1322" s="266" t="str">
        <f t="shared" si="57"/>
        <v/>
      </c>
      <c r="AN1322" s="267" t="str">
        <f t="shared" si="58"/>
        <v/>
      </c>
      <c r="AO1322" s="267" t="str">
        <f t="shared" si="59"/>
        <v/>
      </c>
    </row>
    <row r="1323" spans="39:41">
      <c r="AM1323" s="266" t="str">
        <f t="shared" si="57"/>
        <v/>
      </c>
      <c r="AN1323" s="267" t="str">
        <f t="shared" si="58"/>
        <v/>
      </c>
      <c r="AO1323" s="267" t="str">
        <f t="shared" si="59"/>
        <v/>
      </c>
    </row>
    <row r="1324" spans="39:41">
      <c r="AM1324" s="266" t="str">
        <f t="shared" si="57"/>
        <v/>
      </c>
      <c r="AN1324" s="267" t="str">
        <f t="shared" si="58"/>
        <v/>
      </c>
      <c r="AO1324" s="267" t="str">
        <f t="shared" si="59"/>
        <v/>
      </c>
    </row>
    <row r="1325" spans="39:41">
      <c r="AM1325" s="266" t="str">
        <f t="shared" si="57"/>
        <v/>
      </c>
      <c r="AN1325" s="267" t="str">
        <f t="shared" si="58"/>
        <v/>
      </c>
      <c r="AO1325" s="267" t="str">
        <f t="shared" si="59"/>
        <v/>
      </c>
    </row>
    <row r="1326" spans="39:41">
      <c r="AM1326" s="266" t="str">
        <f t="shared" si="57"/>
        <v/>
      </c>
      <c r="AN1326" s="267" t="str">
        <f t="shared" si="58"/>
        <v/>
      </c>
      <c r="AO1326" s="267" t="str">
        <f t="shared" si="59"/>
        <v/>
      </c>
    </row>
    <row r="1327" spans="39:41">
      <c r="AM1327" s="266" t="str">
        <f t="shared" si="57"/>
        <v/>
      </c>
      <c r="AN1327" s="267" t="str">
        <f t="shared" si="58"/>
        <v/>
      </c>
      <c r="AO1327" s="267" t="str">
        <f t="shared" si="59"/>
        <v/>
      </c>
    </row>
    <row r="1328" spans="39:41">
      <c r="AM1328" s="266" t="str">
        <f t="shared" si="57"/>
        <v/>
      </c>
      <c r="AN1328" s="267" t="str">
        <f t="shared" si="58"/>
        <v/>
      </c>
      <c r="AO1328" s="267" t="str">
        <f t="shared" si="59"/>
        <v/>
      </c>
    </row>
    <row r="1329" spans="39:41">
      <c r="AM1329" s="266" t="str">
        <f t="shared" si="57"/>
        <v/>
      </c>
      <c r="AN1329" s="267" t="str">
        <f t="shared" si="58"/>
        <v/>
      </c>
      <c r="AO1329" s="267" t="str">
        <f t="shared" si="59"/>
        <v/>
      </c>
    </row>
    <row r="1330" spans="39:41">
      <c r="AM1330" s="266" t="str">
        <f t="shared" si="57"/>
        <v/>
      </c>
      <c r="AN1330" s="267" t="str">
        <f t="shared" si="58"/>
        <v/>
      </c>
      <c r="AO1330" s="267" t="str">
        <f t="shared" si="59"/>
        <v/>
      </c>
    </row>
    <row r="1331" spans="39:41">
      <c r="AM1331" s="266" t="str">
        <f t="shared" si="57"/>
        <v/>
      </c>
      <c r="AN1331" s="267" t="str">
        <f t="shared" si="58"/>
        <v/>
      </c>
      <c r="AO1331" s="267" t="str">
        <f t="shared" si="59"/>
        <v/>
      </c>
    </row>
    <row r="1332" spans="39:41">
      <c r="AM1332" s="266" t="str">
        <f t="shared" si="57"/>
        <v/>
      </c>
      <c r="AN1332" s="267" t="str">
        <f t="shared" si="58"/>
        <v/>
      </c>
      <c r="AO1332" s="267" t="str">
        <f t="shared" si="59"/>
        <v/>
      </c>
    </row>
    <row r="1333" spans="39:41">
      <c r="AM1333" s="266" t="str">
        <f t="shared" si="57"/>
        <v/>
      </c>
      <c r="AN1333" s="267" t="str">
        <f t="shared" si="58"/>
        <v/>
      </c>
      <c r="AO1333" s="267" t="str">
        <f t="shared" si="59"/>
        <v/>
      </c>
    </row>
    <row r="1334" spans="39:41">
      <c r="AM1334" s="266" t="str">
        <f t="shared" si="57"/>
        <v/>
      </c>
      <c r="AN1334" s="267" t="str">
        <f t="shared" si="58"/>
        <v/>
      </c>
      <c r="AO1334" s="267" t="str">
        <f t="shared" si="59"/>
        <v/>
      </c>
    </row>
    <row r="1335" spans="39:41">
      <c r="AM1335" s="266" t="str">
        <f t="shared" si="57"/>
        <v/>
      </c>
      <c r="AN1335" s="267" t="str">
        <f t="shared" si="58"/>
        <v/>
      </c>
      <c r="AO1335" s="267" t="str">
        <f t="shared" si="59"/>
        <v/>
      </c>
    </row>
    <row r="1336" spans="39:41">
      <c r="AM1336" s="266" t="str">
        <f t="shared" si="57"/>
        <v/>
      </c>
      <c r="AN1336" s="267" t="str">
        <f t="shared" si="58"/>
        <v/>
      </c>
      <c r="AO1336" s="267" t="str">
        <f t="shared" si="59"/>
        <v/>
      </c>
    </row>
    <row r="1337" spans="39:41">
      <c r="AM1337" s="266" t="str">
        <f t="shared" si="57"/>
        <v/>
      </c>
      <c r="AN1337" s="267" t="str">
        <f t="shared" si="58"/>
        <v/>
      </c>
      <c r="AO1337" s="267" t="str">
        <f t="shared" si="59"/>
        <v/>
      </c>
    </row>
    <row r="1338" spans="39:41">
      <c r="AM1338" s="266" t="str">
        <f t="shared" si="57"/>
        <v/>
      </c>
      <c r="AN1338" s="267" t="str">
        <f t="shared" si="58"/>
        <v/>
      </c>
      <c r="AO1338" s="267" t="str">
        <f t="shared" si="59"/>
        <v/>
      </c>
    </row>
    <row r="1339" spans="39:41">
      <c r="AM1339" s="266" t="str">
        <f t="shared" si="57"/>
        <v/>
      </c>
      <c r="AN1339" s="267" t="str">
        <f t="shared" si="58"/>
        <v/>
      </c>
      <c r="AO1339" s="267" t="str">
        <f t="shared" si="59"/>
        <v/>
      </c>
    </row>
    <row r="1340" spans="39:41">
      <c r="AM1340" s="266" t="str">
        <f t="shared" si="57"/>
        <v/>
      </c>
      <c r="AN1340" s="267" t="str">
        <f t="shared" si="58"/>
        <v/>
      </c>
      <c r="AO1340" s="267" t="str">
        <f t="shared" si="59"/>
        <v/>
      </c>
    </row>
    <row r="1341" spans="39:41">
      <c r="AM1341" s="266" t="str">
        <f t="shared" si="57"/>
        <v/>
      </c>
      <c r="AN1341" s="267" t="str">
        <f t="shared" si="58"/>
        <v/>
      </c>
      <c r="AO1341" s="267" t="str">
        <f t="shared" si="59"/>
        <v/>
      </c>
    </row>
    <row r="1342" spans="39:41">
      <c r="AM1342" s="266" t="str">
        <f t="shared" si="57"/>
        <v/>
      </c>
      <c r="AN1342" s="267" t="str">
        <f t="shared" si="58"/>
        <v/>
      </c>
      <c r="AO1342" s="267" t="str">
        <f t="shared" si="59"/>
        <v/>
      </c>
    </row>
    <row r="1343" spans="39:41">
      <c r="AM1343" s="266" t="str">
        <f t="shared" si="57"/>
        <v/>
      </c>
      <c r="AN1343" s="267" t="str">
        <f t="shared" si="58"/>
        <v/>
      </c>
      <c r="AO1343" s="267" t="str">
        <f t="shared" si="59"/>
        <v/>
      </c>
    </row>
    <row r="1344" spans="39:41">
      <c r="AM1344" s="266" t="str">
        <f t="shared" si="57"/>
        <v/>
      </c>
      <c r="AN1344" s="267" t="str">
        <f t="shared" si="58"/>
        <v/>
      </c>
      <c r="AO1344" s="267" t="str">
        <f t="shared" si="59"/>
        <v/>
      </c>
    </row>
    <row r="1345" spans="39:41">
      <c r="AM1345" s="266" t="str">
        <f t="shared" si="57"/>
        <v/>
      </c>
      <c r="AN1345" s="267" t="str">
        <f t="shared" si="58"/>
        <v/>
      </c>
      <c r="AO1345" s="267" t="str">
        <f t="shared" si="59"/>
        <v/>
      </c>
    </row>
    <row r="1346" spans="39:41">
      <c r="AM1346" s="266" t="str">
        <f t="shared" si="57"/>
        <v/>
      </c>
      <c r="AN1346" s="267" t="str">
        <f t="shared" si="58"/>
        <v/>
      </c>
      <c r="AO1346" s="267" t="str">
        <f t="shared" si="59"/>
        <v/>
      </c>
    </row>
    <row r="1347" spans="39:41">
      <c r="AM1347" s="266" t="str">
        <f t="shared" si="57"/>
        <v/>
      </c>
      <c r="AN1347" s="267" t="str">
        <f t="shared" si="58"/>
        <v/>
      </c>
      <c r="AO1347" s="267" t="str">
        <f t="shared" si="59"/>
        <v/>
      </c>
    </row>
    <row r="1348" spans="39:41">
      <c r="AM1348" s="266" t="str">
        <f t="shared" ref="AM1348:AM1411" si="60">IF(AK1348,(AK1348-AJ1348)/(AD1348-AG1348),"")</f>
        <v/>
      </c>
      <c r="AN1348" s="267" t="str">
        <f t="shared" ref="AN1348:AN1411" si="61">IF(AK1348,(AK1348-AJ1348)/(AE1348-AH1348),"")</f>
        <v/>
      </c>
      <c r="AO1348" s="267" t="str">
        <f t="shared" ref="AO1348:AO1411" si="62">IF(AK1348,(AK1348-AJ1348)/(AF1348-AI1348),"")</f>
        <v/>
      </c>
    </row>
    <row r="1349" spans="39:41">
      <c r="AM1349" s="266" t="str">
        <f t="shared" si="60"/>
        <v/>
      </c>
      <c r="AN1349" s="267" t="str">
        <f t="shared" si="61"/>
        <v/>
      </c>
      <c r="AO1349" s="267" t="str">
        <f t="shared" si="62"/>
        <v/>
      </c>
    </row>
    <row r="1350" spans="39:41">
      <c r="AM1350" s="266" t="str">
        <f t="shared" si="60"/>
        <v/>
      </c>
      <c r="AN1350" s="267" t="str">
        <f t="shared" si="61"/>
        <v/>
      </c>
      <c r="AO1350" s="267" t="str">
        <f t="shared" si="62"/>
        <v/>
      </c>
    </row>
    <row r="1351" spans="39:41">
      <c r="AM1351" s="266" t="str">
        <f t="shared" si="60"/>
        <v/>
      </c>
      <c r="AN1351" s="267" t="str">
        <f t="shared" si="61"/>
        <v/>
      </c>
      <c r="AO1351" s="267" t="str">
        <f t="shared" si="62"/>
        <v/>
      </c>
    </row>
    <row r="1352" spans="39:41">
      <c r="AM1352" s="266" t="str">
        <f t="shared" si="60"/>
        <v/>
      </c>
      <c r="AN1352" s="267" t="str">
        <f t="shared" si="61"/>
        <v/>
      </c>
      <c r="AO1352" s="267" t="str">
        <f t="shared" si="62"/>
        <v/>
      </c>
    </row>
    <row r="1353" spans="39:41">
      <c r="AM1353" s="266" t="str">
        <f t="shared" si="60"/>
        <v/>
      </c>
      <c r="AN1353" s="267" t="str">
        <f t="shared" si="61"/>
        <v/>
      </c>
      <c r="AO1353" s="267" t="str">
        <f t="shared" si="62"/>
        <v/>
      </c>
    </row>
    <row r="1354" spans="39:41">
      <c r="AM1354" s="266" t="str">
        <f t="shared" si="60"/>
        <v/>
      </c>
      <c r="AN1354" s="267" t="str">
        <f t="shared" si="61"/>
        <v/>
      </c>
      <c r="AO1354" s="267" t="str">
        <f t="shared" si="62"/>
        <v/>
      </c>
    </row>
    <row r="1355" spans="39:41">
      <c r="AM1355" s="266" t="str">
        <f t="shared" si="60"/>
        <v/>
      </c>
      <c r="AN1355" s="267" t="str">
        <f t="shared" si="61"/>
        <v/>
      </c>
      <c r="AO1355" s="267" t="str">
        <f t="shared" si="62"/>
        <v/>
      </c>
    </row>
    <row r="1356" spans="39:41">
      <c r="AM1356" s="266" t="str">
        <f t="shared" si="60"/>
        <v/>
      </c>
      <c r="AN1356" s="267" t="str">
        <f t="shared" si="61"/>
        <v/>
      </c>
      <c r="AO1356" s="267" t="str">
        <f t="shared" si="62"/>
        <v/>
      </c>
    </row>
    <row r="1357" spans="39:41">
      <c r="AM1357" s="266" t="str">
        <f t="shared" si="60"/>
        <v/>
      </c>
      <c r="AN1357" s="267" t="str">
        <f t="shared" si="61"/>
        <v/>
      </c>
      <c r="AO1357" s="267" t="str">
        <f t="shared" si="62"/>
        <v/>
      </c>
    </row>
    <row r="1358" spans="39:41">
      <c r="AM1358" s="266" t="str">
        <f t="shared" si="60"/>
        <v/>
      </c>
      <c r="AN1358" s="267" t="str">
        <f t="shared" si="61"/>
        <v/>
      </c>
      <c r="AO1358" s="267" t="str">
        <f t="shared" si="62"/>
        <v/>
      </c>
    </row>
    <row r="1359" spans="39:41">
      <c r="AM1359" s="266" t="str">
        <f t="shared" si="60"/>
        <v/>
      </c>
      <c r="AN1359" s="267" t="str">
        <f t="shared" si="61"/>
        <v/>
      </c>
      <c r="AO1359" s="267" t="str">
        <f t="shared" si="62"/>
        <v/>
      </c>
    </row>
    <row r="1360" spans="39:41">
      <c r="AM1360" s="266" t="str">
        <f t="shared" si="60"/>
        <v/>
      </c>
      <c r="AN1360" s="267" t="str">
        <f t="shared" si="61"/>
        <v/>
      </c>
      <c r="AO1360" s="267" t="str">
        <f t="shared" si="62"/>
        <v/>
      </c>
    </row>
    <row r="1361" spans="39:41">
      <c r="AM1361" s="266" t="str">
        <f t="shared" si="60"/>
        <v/>
      </c>
      <c r="AN1361" s="267" t="str">
        <f t="shared" si="61"/>
        <v/>
      </c>
      <c r="AO1361" s="267" t="str">
        <f t="shared" si="62"/>
        <v/>
      </c>
    </row>
    <row r="1362" spans="39:41">
      <c r="AM1362" s="266" t="str">
        <f t="shared" si="60"/>
        <v/>
      </c>
      <c r="AN1362" s="267" t="str">
        <f t="shared" si="61"/>
        <v/>
      </c>
      <c r="AO1362" s="267" t="str">
        <f t="shared" si="62"/>
        <v/>
      </c>
    </row>
    <row r="1363" spans="39:41">
      <c r="AM1363" s="266" t="str">
        <f t="shared" si="60"/>
        <v/>
      </c>
      <c r="AN1363" s="267" t="str">
        <f t="shared" si="61"/>
        <v/>
      </c>
      <c r="AO1363" s="267" t="str">
        <f t="shared" si="62"/>
        <v/>
      </c>
    </row>
    <row r="1364" spans="39:41">
      <c r="AM1364" s="266" t="str">
        <f t="shared" si="60"/>
        <v/>
      </c>
      <c r="AN1364" s="267" t="str">
        <f t="shared" si="61"/>
        <v/>
      </c>
      <c r="AO1364" s="267" t="str">
        <f t="shared" si="62"/>
        <v/>
      </c>
    </row>
    <row r="1365" spans="39:41">
      <c r="AM1365" s="266" t="str">
        <f t="shared" si="60"/>
        <v/>
      </c>
      <c r="AN1365" s="267" t="str">
        <f t="shared" si="61"/>
        <v/>
      </c>
      <c r="AO1365" s="267" t="str">
        <f t="shared" si="62"/>
        <v/>
      </c>
    </row>
    <row r="1366" spans="39:41">
      <c r="AM1366" s="266" t="str">
        <f t="shared" si="60"/>
        <v/>
      </c>
      <c r="AN1366" s="267" t="str">
        <f t="shared" si="61"/>
        <v/>
      </c>
      <c r="AO1366" s="267" t="str">
        <f t="shared" si="62"/>
        <v/>
      </c>
    </row>
    <row r="1367" spans="39:41">
      <c r="AM1367" s="266" t="str">
        <f t="shared" si="60"/>
        <v/>
      </c>
      <c r="AN1367" s="267" t="str">
        <f t="shared" si="61"/>
        <v/>
      </c>
      <c r="AO1367" s="267" t="str">
        <f t="shared" si="62"/>
        <v/>
      </c>
    </row>
    <row r="1368" spans="39:41">
      <c r="AM1368" s="266" t="str">
        <f t="shared" si="60"/>
        <v/>
      </c>
      <c r="AN1368" s="267" t="str">
        <f t="shared" si="61"/>
        <v/>
      </c>
      <c r="AO1368" s="267" t="str">
        <f t="shared" si="62"/>
        <v/>
      </c>
    </row>
    <row r="1369" spans="39:41">
      <c r="AM1369" s="266" t="str">
        <f t="shared" si="60"/>
        <v/>
      </c>
      <c r="AN1369" s="267" t="str">
        <f t="shared" si="61"/>
        <v/>
      </c>
      <c r="AO1369" s="267" t="str">
        <f t="shared" si="62"/>
        <v/>
      </c>
    </row>
    <row r="1370" spans="39:41">
      <c r="AM1370" s="266" t="str">
        <f t="shared" si="60"/>
        <v/>
      </c>
      <c r="AN1370" s="267" t="str">
        <f t="shared" si="61"/>
        <v/>
      </c>
      <c r="AO1370" s="267" t="str">
        <f t="shared" si="62"/>
        <v/>
      </c>
    </row>
    <row r="1371" spans="39:41">
      <c r="AM1371" s="266" t="str">
        <f t="shared" si="60"/>
        <v/>
      </c>
      <c r="AN1371" s="267" t="str">
        <f t="shared" si="61"/>
        <v/>
      </c>
      <c r="AO1371" s="267" t="str">
        <f t="shared" si="62"/>
        <v/>
      </c>
    </row>
    <row r="1372" spans="39:41">
      <c r="AM1372" s="266" t="str">
        <f t="shared" si="60"/>
        <v/>
      </c>
      <c r="AN1372" s="267" t="str">
        <f t="shared" si="61"/>
        <v/>
      </c>
      <c r="AO1372" s="267" t="str">
        <f t="shared" si="62"/>
        <v/>
      </c>
    </row>
    <row r="1373" spans="39:41">
      <c r="AM1373" s="266" t="str">
        <f t="shared" si="60"/>
        <v/>
      </c>
      <c r="AN1373" s="267" t="str">
        <f t="shared" si="61"/>
        <v/>
      </c>
      <c r="AO1373" s="267" t="str">
        <f t="shared" si="62"/>
        <v/>
      </c>
    </row>
    <row r="1374" spans="39:41">
      <c r="AM1374" s="266" t="str">
        <f t="shared" si="60"/>
        <v/>
      </c>
      <c r="AN1374" s="267" t="str">
        <f t="shared" si="61"/>
        <v/>
      </c>
      <c r="AO1374" s="267" t="str">
        <f t="shared" si="62"/>
        <v/>
      </c>
    </row>
    <row r="1375" spans="39:41">
      <c r="AM1375" s="266" t="str">
        <f t="shared" si="60"/>
        <v/>
      </c>
      <c r="AN1375" s="267" t="str">
        <f t="shared" si="61"/>
        <v/>
      </c>
      <c r="AO1375" s="267" t="str">
        <f t="shared" si="62"/>
        <v/>
      </c>
    </row>
    <row r="1376" spans="39:41">
      <c r="AM1376" s="266" t="str">
        <f t="shared" si="60"/>
        <v/>
      </c>
      <c r="AN1376" s="267" t="str">
        <f t="shared" si="61"/>
        <v/>
      </c>
      <c r="AO1376" s="267" t="str">
        <f t="shared" si="62"/>
        <v/>
      </c>
    </row>
    <row r="1377" spans="39:41">
      <c r="AM1377" s="266" t="str">
        <f t="shared" si="60"/>
        <v/>
      </c>
      <c r="AN1377" s="267" t="str">
        <f t="shared" si="61"/>
        <v/>
      </c>
      <c r="AO1377" s="267" t="str">
        <f t="shared" si="62"/>
        <v/>
      </c>
    </row>
    <row r="1378" spans="39:41">
      <c r="AM1378" s="266" t="str">
        <f t="shared" si="60"/>
        <v/>
      </c>
      <c r="AN1378" s="267" t="str">
        <f t="shared" si="61"/>
        <v/>
      </c>
      <c r="AO1378" s="267" t="str">
        <f t="shared" si="62"/>
        <v/>
      </c>
    </row>
    <row r="1379" spans="39:41">
      <c r="AM1379" s="266" t="str">
        <f t="shared" si="60"/>
        <v/>
      </c>
      <c r="AN1379" s="267" t="str">
        <f t="shared" si="61"/>
        <v/>
      </c>
      <c r="AO1379" s="267" t="str">
        <f t="shared" si="62"/>
        <v/>
      </c>
    </row>
    <row r="1380" spans="39:41">
      <c r="AM1380" s="266" t="str">
        <f t="shared" si="60"/>
        <v/>
      </c>
      <c r="AN1380" s="267" t="str">
        <f t="shared" si="61"/>
        <v/>
      </c>
      <c r="AO1380" s="267" t="str">
        <f t="shared" si="62"/>
        <v/>
      </c>
    </row>
    <row r="1381" spans="39:41">
      <c r="AM1381" s="266" t="str">
        <f t="shared" si="60"/>
        <v/>
      </c>
      <c r="AN1381" s="267" t="str">
        <f t="shared" si="61"/>
        <v/>
      </c>
      <c r="AO1381" s="267" t="str">
        <f t="shared" si="62"/>
        <v/>
      </c>
    </row>
    <row r="1382" spans="39:41">
      <c r="AM1382" s="266" t="str">
        <f t="shared" si="60"/>
        <v/>
      </c>
      <c r="AN1382" s="267" t="str">
        <f t="shared" si="61"/>
        <v/>
      </c>
      <c r="AO1382" s="267" t="str">
        <f t="shared" si="62"/>
        <v/>
      </c>
    </row>
    <row r="1383" spans="39:41">
      <c r="AM1383" s="266" t="str">
        <f t="shared" si="60"/>
        <v/>
      </c>
      <c r="AN1383" s="267" t="str">
        <f t="shared" si="61"/>
        <v/>
      </c>
      <c r="AO1383" s="267" t="str">
        <f t="shared" si="62"/>
        <v/>
      </c>
    </row>
    <row r="1384" spans="39:41">
      <c r="AM1384" s="266" t="str">
        <f t="shared" si="60"/>
        <v/>
      </c>
      <c r="AN1384" s="267" t="str">
        <f t="shared" si="61"/>
        <v/>
      </c>
      <c r="AO1384" s="267" t="str">
        <f t="shared" si="62"/>
        <v/>
      </c>
    </row>
    <row r="1385" spans="39:41">
      <c r="AM1385" s="266" t="str">
        <f t="shared" si="60"/>
        <v/>
      </c>
      <c r="AN1385" s="267" t="str">
        <f t="shared" si="61"/>
        <v/>
      </c>
      <c r="AO1385" s="267" t="str">
        <f t="shared" si="62"/>
        <v/>
      </c>
    </row>
    <row r="1386" spans="39:41">
      <c r="AM1386" s="266" t="str">
        <f t="shared" si="60"/>
        <v/>
      </c>
      <c r="AN1386" s="267" t="str">
        <f t="shared" si="61"/>
        <v/>
      </c>
      <c r="AO1386" s="267" t="str">
        <f t="shared" si="62"/>
        <v/>
      </c>
    </row>
    <row r="1387" spans="39:41">
      <c r="AM1387" s="266" t="str">
        <f t="shared" si="60"/>
        <v/>
      </c>
      <c r="AN1387" s="267" t="str">
        <f t="shared" si="61"/>
        <v/>
      </c>
      <c r="AO1387" s="267" t="str">
        <f t="shared" si="62"/>
        <v/>
      </c>
    </row>
    <row r="1388" spans="39:41">
      <c r="AM1388" s="266" t="str">
        <f t="shared" si="60"/>
        <v/>
      </c>
      <c r="AN1388" s="267" t="str">
        <f t="shared" si="61"/>
        <v/>
      </c>
      <c r="AO1388" s="267" t="str">
        <f t="shared" si="62"/>
        <v/>
      </c>
    </row>
    <row r="1389" spans="39:41">
      <c r="AM1389" s="266" t="str">
        <f t="shared" si="60"/>
        <v/>
      </c>
      <c r="AN1389" s="267" t="str">
        <f t="shared" si="61"/>
        <v/>
      </c>
      <c r="AO1389" s="267" t="str">
        <f t="shared" si="62"/>
        <v/>
      </c>
    </row>
    <row r="1390" spans="39:41">
      <c r="AM1390" s="266" t="str">
        <f t="shared" si="60"/>
        <v/>
      </c>
      <c r="AN1390" s="267" t="str">
        <f t="shared" si="61"/>
        <v/>
      </c>
      <c r="AO1390" s="267" t="str">
        <f t="shared" si="62"/>
        <v/>
      </c>
    </row>
    <row r="1391" spans="39:41">
      <c r="AM1391" s="266" t="str">
        <f t="shared" si="60"/>
        <v/>
      </c>
      <c r="AN1391" s="267" t="str">
        <f t="shared" si="61"/>
        <v/>
      </c>
      <c r="AO1391" s="267" t="str">
        <f t="shared" si="62"/>
        <v/>
      </c>
    </row>
    <row r="1392" spans="39:41">
      <c r="AM1392" s="266" t="str">
        <f t="shared" si="60"/>
        <v/>
      </c>
      <c r="AN1392" s="267" t="str">
        <f t="shared" si="61"/>
        <v/>
      </c>
      <c r="AO1392" s="267" t="str">
        <f t="shared" si="62"/>
        <v/>
      </c>
    </row>
    <row r="1393" spans="39:41">
      <c r="AM1393" s="266" t="str">
        <f t="shared" si="60"/>
        <v/>
      </c>
      <c r="AN1393" s="267" t="str">
        <f t="shared" si="61"/>
        <v/>
      </c>
      <c r="AO1393" s="267" t="str">
        <f t="shared" si="62"/>
        <v/>
      </c>
    </row>
    <row r="1394" spans="39:41">
      <c r="AM1394" s="266" t="str">
        <f t="shared" si="60"/>
        <v/>
      </c>
      <c r="AN1394" s="267" t="str">
        <f t="shared" si="61"/>
        <v/>
      </c>
      <c r="AO1394" s="267" t="str">
        <f t="shared" si="62"/>
        <v/>
      </c>
    </row>
    <row r="1395" spans="39:41">
      <c r="AM1395" s="266" t="str">
        <f t="shared" si="60"/>
        <v/>
      </c>
      <c r="AN1395" s="267" t="str">
        <f t="shared" si="61"/>
        <v/>
      </c>
      <c r="AO1395" s="267" t="str">
        <f t="shared" si="62"/>
        <v/>
      </c>
    </row>
    <row r="1396" spans="39:41">
      <c r="AM1396" s="266" t="str">
        <f t="shared" si="60"/>
        <v/>
      </c>
      <c r="AN1396" s="267" t="str">
        <f t="shared" si="61"/>
        <v/>
      </c>
      <c r="AO1396" s="267" t="str">
        <f t="shared" si="62"/>
        <v/>
      </c>
    </row>
    <row r="1397" spans="39:41">
      <c r="AM1397" s="266" t="str">
        <f t="shared" si="60"/>
        <v/>
      </c>
      <c r="AN1397" s="267" t="str">
        <f t="shared" si="61"/>
        <v/>
      </c>
      <c r="AO1397" s="267" t="str">
        <f t="shared" si="62"/>
        <v/>
      </c>
    </row>
    <row r="1398" spans="39:41">
      <c r="AM1398" s="266" t="str">
        <f t="shared" si="60"/>
        <v/>
      </c>
      <c r="AN1398" s="267" t="str">
        <f t="shared" si="61"/>
        <v/>
      </c>
      <c r="AO1398" s="267" t="str">
        <f t="shared" si="62"/>
        <v/>
      </c>
    </row>
    <row r="1399" spans="39:41">
      <c r="AM1399" s="266" t="str">
        <f t="shared" si="60"/>
        <v/>
      </c>
      <c r="AN1399" s="267" t="str">
        <f t="shared" si="61"/>
        <v/>
      </c>
      <c r="AO1399" s="267" t="str">
        <f t="shared" si="62"/>
        <v/>
      </c>
    </row>
    <row r="1400" spans="39:41">
      <c r="AM1400" s="266" t="str">
        <f t="shared" si="60"/>
        <v/>
      </c>
      <c r="AN1400" s="267" t="str">
        <f t="shared" si="61"/>
        <v/>
      </c>
      <c r="AO1400" s="267" t="str">
        <f t="shared" si="62"/>
        <v/>
      </c>
    </row>
    <row r="1401" spans="39:41">
      <c r="AM1401" s="266" t="str">
        <f t="shared" si="60"/>
        <v/>
      </c>
      <c r="AN1401" s="267" t="str">
        <f t="shared" si="61"/>
        <v/>
      </c>
      <c r="AO1401" s="267" t="str">
        <f t="shared" si="62"/>
        <v/>
      </c>
    </row>
    <row r="1402" spans="39:41">
      <c r="AM1402" s="266" t="str">
        <f t="shared" si="60"/>
        <v/>
      </c>
      <c r="AN1402" s="267" t="str">
        <f t="shared" si="61"/>
        <v/>
      </c>
      <c r="AO1402" s="267" t="str">
        <f t="shared" si="62"/>
        <v/>
      </c>
    </row>
    <row r="1403" spans="39:41">
      <c r="AM1403" s="266" t="str">
        <f t="shared" si="60"/>
        <v/>
      </c>
      <c r="AN1403" s="267" t="str">
        <f t="shared" si="61"/>
        <v/>
      </c>
      <c r="AO1403" s="267" t="str">
        <f t="shared" si="62"/>
        <v/>
      </c>
    </row>
    <row r="1404" spans="39:41">
      <c r="AM1404" s="266" t="str">
        <f t="shared" si="60"/>
        <v/>
      </c>
      <c r="AN1404" s="267" t="str">
        <f t="shared" si="61"/>
        <v/>
      </c>
      <c r="AO1404" s="267" t="str">
        <f t="shared" si="62"/>
        <v/>
      </c>
    </row>
    <row r="1405" spans="39:41">
      <c r="AM1405" s="266" t="str">
        <f t="shared" si="60"/>
        <v/>
      </c>
      <c r="AN1405" s="267" t="str">
        <f t="shared" si="61"/>
        <v/>
      </c>
      <c r="AO1405" s="267" t="str">
        <f t="shared" si="62"/>
        <v/>
      </c>
    </row>
    <row r="1406" spans="39:41">
      <c r="AM1406" s="266" t="str">
        <f t="shared" si="60"/>
        <v/>
      </c>
      <c r="AN1406" s="267" t="str">
        <f t="shared" si="61"/>
        <v/>
      </c>
      <c r="AO1406" s="267" t="str">
        <f t="shared" si="62"/>
        <v/>
      </c>
    </row>
    <row r="1407" spans="39:41">
      <c r="AM1407" s="266" t="str">
        <f t="shared" si="60"/>
        <v/>
      </c>
      <c r="AN1407" s="267" t="str">
        <f t="shared" si="61"/>
        <v/>
      </c>
      <c r="AO1407" s="267" t="str">
        <f t="shared" si="62"/>
        <v/>
      </c>
    </row>
    <row r="1408" spans="39:41">
      <c r="AM1408" s="266" t="str">
        <f t="shared" si="60"/>
        <v/>
      </c>
      <c r="AN1408" s="267" t="str">
        <f t="shared" si="61"/>
        <v/>
      </c>
      <c r="AO1408" s="267" t="str">
        <f t="shared" si="62"/>
        <v/>
      </c>
    </row>
    <row r="1409" spans="39:41">
      <c r="AM1409" s="266" t="str">
        <f t="shared" si="60"/>
        <v/>
      </c>
      <c r="AN1409" s="267" t="str">
        <f t="shared" si="61"/>
        <v/>
      </c>
      <c r="AO1409" s="267" t="str">
        <f t="shared" si="62"/>
        <v/>
      </c>
    </row>
    <row r="1410" spans="39:41">
      <c r="AM1410" s="266" t="str">
        <f t="shared" si="60"/>
        <v/>
      </c>
      <c r="AN1410" s="267" t="str">
        <f t="shared" si="61"/>
        <v/>
      </c>
      <c r="AO1410" s="267" t="str">
        <f t="shared" si="62"/>
        <v/>
      </c>
    </row>
    <row r="1411" spans="39:41">
      <c r="AM1411" s="266" t="str">
        <f t="shared" si="60"/>
        <v/>
      </c>
      <c r="AN1411" s="267" t="str">
        <f t="shared" si="61"/>
        <v/>
      </c>
      <c r="AO1411" s="267" t="str">
        <f t="shared" si="62"/>
        <v/>
      </c>
    </row>
    <row r="1412" spans="39:41">
      <c r="AM1412" s="266" t="str">
        <f t="shared" ref="AM1412:AM1475" si="63">IF(AK1412,(AK1412-AJ1412)/(AD1412-AG1412),"")</f>
        <v/>
      </c>
      <c r="AN1412" s="267" t="str">
        <f t="shared" ref="AN1412:AN1475" si="64">IF(AK1412,(AK1412-AJ1412)/(AE1412-AH1412),"")</f>
        <v/>
      </c>
      <c r="AO1412" s="267" t="str">
        <f t="shared" ref="AO1412:AO1475" si="65">IF(AK1412,(AK1412-AJ1412)/(AF1412-AI1412),"")</f>
        <v/>
      </c>
    </row>
    <row r="1413" spans="39:41">
      <c r="AM1413" s="266" t="str">
        <f t="shared" si="63"/>
        <v/>
      </c>
      <c r="AN1413" s="267" t="str">
        <f t="shared" si="64"/>
        <v/>
      </c>
      <c r="AO1413" s="267" t="str">
        <f t="shared" si="65"/>
        <v/>
      </c>
    </row>
    <row r="1414" spans="39:41">
      <c r="AM1414" s="266" t="str">
        <f t="shared" si="63"/>
        <v/>
      </c>
      <c r="AN1414" s="267" t="str">
        <f t="shared" si="64"/>
        <v/>
      </c>
      <c r="AO1414" s="267" t="str">
        <f t="shared" si="65"/>
        <v/>
      </c>
    </row>
    <row r="1415" spans="39:41">
      <c r="AM1415" s="266" t="str">
        <f t="shared" si="63"/>
        <v/>
      </c>
      <c r="AN1415" s="267" t="str">
        <f t="shared" si="64"/>
        <v/>
      </c>
      <c r="AO1415" s="267" t="str">
        <f t="shared" si="65"/>
        <v/>
      </c>
    </row>
    <row r="1416" spans="39:41">
      <c r="AM1416" s="266" t="str">
        <f t="shared" si="63"/>
        <v/>
      </c>
      <c r="AN1416" s="267" t="str">
        <f t="shared" si="64"/>
        <v/>
      </c>
      <c r="AO1416" s="267" t="str">
        <f t="shared" si="65"/>
        <v/>
      </c>
    </row>
    <row r="1417" spans="39:41">
      <c r="AM1417" s="266" t="str">
        <f t="shared" si="63"/>
        <v/>
      </c>
      <c r="AN1417" s="267" t="str">
        <f t="shared" si="64"/>
        <v/>
      </c>
      <c r="AO1417" s="267" t="str">
        <f t="shared" si="65"/>
        <v/>
      </c>
    </row>
    <row r="1418" spans="39:41">
      <c r="AM1418" s="266" t="str">
        <f t="shared" si="63"/>
        <v/>
      </c>
      <c r="AN1418" s="267" t="str">
        <f t="shared" si="64"/>
        <v/>
      </c>
      <c r="AO1418" s="267" t="str">
        <f t="shared" si="65"/>
        <v/>
      </c>
    </row>
    <row r="1419" spans="39:41">
      <c r="AM1419" s="266" t="str">
        <f t="shared" si="63"/>
        <v/>
      </c>
      <c r="AN1419" s="267" t="str">
        <f t="shared" si="64"/>
        <v/>
      </c>
      <c r="AO1419" s="267" t="str">
        <f t="shared" si="65"/>
        <v/>
      </c>
    </row>
    <row r="1420" spans="39:41">
      <c r="AM1420" s="266" t="str">
        <f t="shared" si="63"/>
        <v/>
      </c>
      <c r="AN1420" s="267" t="str">
        <f t="shared" si="64"/>
        <v/>
      </c>
      <c r="AO1420" s="267" t="str">
        <f t="shared" si="65"/>
        <v/>
      </c>
    </row>
    <row r="1421" spans="39:41">
      <c r="AM1421" s="266" t="str">
        <f t="shared" si="63"/>
        <v/>
      </c>
      <c r="AN1421" s="267" t="str">
        <f t="shared" si="64"/>
        <v/>
      </c>
      <c r="AO1421" s="267" t="str">
        <f t="shared" si="65"/>
        <v/>
      </c>
    </row>
    <row r="1422" spans="39:41">
      <c r="AM1422" s="266" t="str">
        <f t="shared" si="63"/>
        <v/>
      </c>
      <c r="AN1422" s="267" t="str">
        <f t="shared" si="64"/>
        <v/>
      </c>
      <c r="AO1422" s="267" t="str">
        <f t="shared" si="65"/>
        <v/>
      </c>
    </row>
    <row r="1423" spans="39:41">
      <c r="AM1423" s="266" t="str">
        <f t="shared" si="63"/>
        <v/>
      </c>
      <c r="AN1423" s="267" t="str">
        <f t="shared" si="64"/>
        <v/>
      </c>
      <c r="AO1423" s="267" t="str">
        <f t="shared" si="65"/>
        <v/>
      </c>
    </row>
    <row r="1424" spans="39:41">
      <c r="AM1424" s="266" t="str">
        <f t="shared" si="63"/>
        <v/>
      </c>
      <c r="AN1424" s="267" t="str">
        <f t="shared" si="64"/>
        <v/>
      </c>
      <c r="AO1424" s="267" t="str">
        <f t="shared" si="65"/>
        <v/>
      </c>
    </row>
    <row r="1425" spans="39:41">
      <c r="AM1425" s="266" t="str">
        <f t="shared" si="63"/>
        <v/>
      </c>
      <c r="AN1425" s="267" t="str">
        <f t="shared" si="64"/>
        <v/>
      </c>
      <c r="AO1425" s="267" t="str">
        <f t="shared" si="65"/>
        <v/>
      </c>
    </row>
    <row r="1426" spans="39:41">
      <c r="AM1426" s="266" t="str">
        <f t="shared" si="63"/>
        <v/>
      </c>
      <c r="AN1426" s="267" t="str">
        <f t="shared" si="64"/>
        <v/>
      </c>
      <c r="AO1426" s="267" t="str">
        <f t="shared" si="65"/>
        <v/>
      </c>
    </row>
    <row r="1427" spans="39:41">
      <c r="AM1427" s="266" t="str">
        <f t="shared" si="63"/>
        <v/>
      </c>
      <c r="AN1427" s="267" t="str">
        <f t="shared" si="64"/>
        <v/>
      </c>
      <c r="AO1427" s="267" t="str">
        <f t="shared" si="65"/>
        <v/>
      </c>
    </row>
    <row r="1428" spans="39:41">
      <c r="AM1428" s="266" t="str">
        <f t="shared" si="63"/>
        <v/>
      </c>
      <c r="AN1428" s="267" t="str">
        <f t="shared" si="64"/>
        <v/>
      </c>
      <c r="AO1428" s="267" t="str">
        <f t="shared" si="65"/>
        <v/>
      </c>
    </row>
    <row r="1429" spans="39:41">
      <c r="AM1429" s="266" t="str">
        <f t="shared" si="63"/>
        <v/>
      </c>
      <c r="AN1429" s="267" t="str">
        <f t="shared" si="64"/>
        <v/>
      </c>
      <c r="AO1429" s="267" t="str">
        <f t="shared" si="65"/>
        <v/>
      </c>
    </row>
    <row r="1430" spans="39:41">
      <c r="AM1430" s="266" t="str">
        <f t="shared" si="63"/>
        <v/>
      </c>
      <c r="AN1430" s="267" t="str">
        <f t="shared" si="64"/>
        <v/>
      </c>
      <c r="AO1430" s="267" t="str">
        <f t="shared" si="65"/>
        <v/>
      </c>
    </row>
    <row r="1431" spans="39:41">
      <c r="AM1431" s="266" t="str">
        <f t="shared" si="63"/>
        <v/>
      </c>
      <c r="AN1431" s="267" t="str">
        <f t="shared" si="64"/>
        <v/>
      </c>
      <c r="AO1431" s="267" t="str">
        <f t="shared" si="65"/>
        <v/>
      </c>
    </row>
    <row r="1432" spans="39:41">
      <c r="AM1432" s="266" t="str">
        <f t="shared" si="63"/>
        <v/>
      </c>
      <c r="AN1432" s="267" t="str">
        <f t="shared" si="64"/>
        <v/>
      </c>
      <c r="AO1432" s="267" t="str">
        <f t="shared" si="65"/>
        <v/>
      </c>
    </row>
    <row r="1433" spans="39:41">
      <c r="AM1433" s="266" t="str">
        <f t="shared" si="63"/>
        <v/>
      </c>
      <c r="AN1433" s="267" t="str">
        <f t="shared" si="64"/>
        <v/>
      </c>
      <c r="AO1433" s="267" t="str">
        <f t="shared" si="65"/>
        <v/>
      </c>
    </row>
    <row r="1434" spans="39:41">
      <c r="AM1434" s="266" t="str">
        <f t="shared" si="63"/>
        <v/>
      </c>
      <c r="AN1434" s="267" t="str">
        <f t="shared" si="64"/>
        <v/>
      </c>
      <c r="AO1434" s="267" t="str">
        <f t="shared" si="65"/>
        <v/>
      </c>
    </row>
    <row r="1435" spans="39:41">
      <c r="AM1435" s="266" t="str">
        <f t="shared" si="63"/>
        <v/>
      </c>
      <c r="AN1435" s="267" t="str">
        <f t="shared" si="64"/>
        <v/>
      </c>
      <c r="AO1435" s="267" t="str">
        <f t="shared" si="65"/>
        <v/>
      </c>
    </row>
    <row r="1436" spans="39:41">
      <c r="AM1436" s="266" t="str">
        <f t="shared" si="63"/>
        <v/>
      </c>
      <c r="AN1436" s="267" t="str">
        <f t="shared" si="64"/>
        <v/>
      </c>
      <c r="AO1436" s="267" t="str">
        <f t="shared" si="65"/>
        <v/>
      </c>
    </row>
    <row r="1437" spans="39:41">
      <c r="AM1437" s="266" t="str">
        <f t="shared" si="63"/>
        <v/>
      </c>
      <c r="AN1437" s="267" t="str">
        <f t="shared" si="64"/>
        <v/>
      </c>
      <c r="AO1437" s="267" t="str">
        <f t="shared" si="65"/>
        <v/>
      </c>
    </row>
    <row r="1438" spans="39:41">
      <c r="AM1438" s="266" t="str">
        <f t="shared" si="63"/>
        <v/>
      </c>
      <c r="AN1438" s="267" t="str">
        <f t="shared" si="64"/>
        <v/>
      </c>
      <c r="AO1438" s="267" t="str">
        <f t="shared" si="65"/>
        <v/>
      </c>
    </row>
    <row r="1439" spans="39:41">
      <c r="AM1439" s="266" t="str">
        <f t="shared" si="63"/>
        <v/>
      </c>
      <c r="AN1439" s="267" t="str">
        <f t="shared" si="64"/>
        <v/>
      </c>
      <c r="AO1439" s="267" t="str">
        <f t="shared" si="65"/>
        <v/>
      </c>
    </row>
    <row r="1440" spans="39:41">
      <c r="AM1440" s="266" t="str">
        <f t="shared" si="63"/>
        <v/>
      </c>
      <c r="AN1440" s="267" t="str">
        <f t="shared" si="64"/>
        <v/>
      </c>
      <c r="AO1440" s="267" t="str">
        <f t="shared" si="65"/>
        <v/>
      </c>
    </row>
    <row r="1441" spans="39:41">
      <c r="AM1441" s="266" t="str">
        <f t="shared" si="63"/>
        <v/>
      </c>
      <c r="AN1441" s="267" t="str">
        <f t="shared" si="64"/>
        <v/>
      </c>
      <c r="AO1441" s="267" t="str">
        <f t="shared" si="65"/>
        <v/>
      </c>
    </row>
    <row r="1442" spans="39:41">
      <c r="AM1442" s="266" t="str">
        <f t="shared" si="63"/>
        <v/>
      </c>
      <c r="AN1442" s="267" t="str">
        <f t="shared" si="64"/>
        <v/>
      </c>
      <c r="AO1442" s="267" t="str">
        <f t="shared" si="65"/>
        <v/>
      </c>
    </row>
    <row r="1443" spans="39:41">
      <c r="AM1443" s="266" t="str">
        <f t="shared" si="63"/>
        <v/>
      </c>
      <c r="AN1443" s="267" t="str">
        <f t="shared" si="64"/>
        <v/>
      </c>
      <c r="AO1443" s="267" t="str">
        <f t="shared" si="65"/>
        <v/>
      </c>
    </row>
    <row r="1444" spans="39:41">
      <c r="AM1444" s="266" t="str">
        <f t="shared" si="63"/>
        <v/>
      </c>
      <c r="AN1444" s="267" t="str">
        <f t="shared" si="64"/>
        <v/>
      </c>
      <c r="AO1444" s="267" t="str">
        <f t="shared" si="65"/>
        <v/>
      </c>
    </row>
    <row r="1445" spans="39:41">
      <c r="AM1445" s="266" t="str">
        <f t="shared" si="63"/>
        <v/>
      </c>
      <c r="AN1445" s="267" t="str">
        <f t="shared" si="64"/>
        <v/>
      </c>
      <c r="AO1445" s="267" t="str">
        <f t="shared" si="65"/>
        <v/>
      </c>
    </row>
    <row r="1446" spans="39:41">
      <c r="AM1446" s="266" t="str">
        <f t="shared" si="63"/>
        <v/>
      </c>
      <c r="AN1446" s="267" t="str">
        <f t="shared" si="64"/>
        <v/>
      </c>
      <c r="AO1446" s="267" t="str">
        <f t="shared" si="65"/>
        <v/>
      </c>
    </row>
    <row r="1447" spans="39:41">
      <c r="AM1447" s="266" t="str">
        <f t="shared" si="63"/>
        <v/>
      </c>
      <c r="AN1447" s="267" t="str">
        <f t="shared" si="64"/>
        <v/>
      </c>
      <c r="AO1447" s="267" t="str">
        <f t="shared" si="65"/>
        <v/>
      </c>
    </row>
    <row r="1448" spans="39:41">
      <c r="AM1448" s="266" t="str">
        <f t="shared" si="63"/>
        <v/>
      </c>
      <c r="AN1448" s="267" t="str">
        <f t="shared" si="64"/>
        <v/>
      </c>
      <c r="AO1448" s="267" t="str">
        <f t="shared" si="65"/>
        <v/>
      </c>
    </row>
    <row r="1449" spans="39:41">
      <c r="AM1449" s="266" t="str">
        <f t="shared" si="63"/>
        <v/>
      </c>
      <c r="AN1449" s="267" t="str">
        <f t="shared" si="64"/>
        <v/>
      </c>
      <c r="AO1449" s="267" t="str">
        <f t="shared" si="65"/>
        <v/>
      </c>
    </row>
    <row r="1450" spans="39:41">
      <c r="AM1450" s="266" t="str">
        <f t="shared" si="63"/>
        <v/>
      </c>
      <c r="AN1450" s="267" t="str">
        <f t="shared" si="64"/>
        <v/>
      </c>
      <c r="AO1450" s="267" t="str">
        <f t="shared" si="65"/>
        <v/>
      </c>
    </row>
    <row r="1451" spans="39:41">
      <c r="AM1451" s="266" t="str">
        <f t="shared" si="63"/>
        <v/>
      </c>
      <c r="AN1451" s="267" t="str">
        <f t="shared" si="64"/>
        <v/>
      </c>
      <c r="AO1451" s="267" t="str">
        <f t="shared" si="65"/>
        <v/>
      </c>
    </row>
    <row r="1452" spans="39:41">
      <c r="AM1452" s="266" t="str">
        <f t="shared" si="63"/>
        <v/>
      </c>
      <c r="AN1452" s="267" t="str">
        <f t="shared" si="64"/>
        <v/>
      </c>
      <c r="AO1452" s="267" t="str">
        <f t="shared" si="65"/>
        <v/>
      </c>
    </row>
    <row r="1453" spans="39:41">
      <c r="AM1453" s="266" t="str">
        <f t="shared" si="63"/>
        <v/>
      </c>
      <c r="AN1453" s="267" t="str">
        <f t="shared" si="64"/>
        <v/>
      </c>
      <c r="AO1453" s="267" t="str">
        <f t="shared" si="65"/>
        <v/>
      </c>
    </row>
    <row r="1454" spans="39:41">
      <c r="AM1454" s="266" t="str">
        <f t="shared" si="63"/>
        <v/>
      </c>
      <c r="AN1454" s="267" t="str">
        <f t="shared" si="64"/>
        <v/>
      </c>
      <c r="AO1454" s="267" t="str">
        <f t="shared" si="65"/>
        <v/>
      </c>
    </row>
    <row r="1455" spans="39:41">
      <c r="AM1455" s="266" t="str">
        <f t="shared" si="63"/>
        <v/>
      </c>
      <c r="AN1455" s="267" t="str">
        <f t="shared" si="64"/>
        <v/>
      </c>
      <c r="AO1455" s="267" t="str">
        <f t="shared" si="65"/>
        <v/>
      </c>
    </row>
    <row r="1456" spans="39:41">
      <c r="AM1456" s="266" t="str">
        <f t="shared" si="63"/>
        <v/>
      </c>
      <c r="AN1456" s="267" t="str">
        <f t="shared" si="64"/>
        <v/>
      </c>
      <c r="AO1456" s="267" t="str">
        <f t="shared" si="65"/>
        <v/>
      </c>
    </row>
    <row r="1457" spans="39:41">
      <c r="AM1457" s="266" t="str">
        <f t="shared" si="63"/>
        <v/>
      </c>
      <c r="AN1457" s="267" t="str">
        <f t="shared" si="64"/>
        <v/>
      </c>
      <c r="AO1457" s="267" t="str">
        <f t="shared" si="65"/>
        <v/>
      </c>
    </row>
    <row r="1458" spans="39:41">
      <c r="AM1458" s="266" t="str">
        <f t="shared" si="63"/>
        <v/>
      </c>
      <c r="AN1458" s="267" t="str">
        <f t="shared" si="64"/>
        <v/>
      </c>
      <c r="AO1458" s="267" t="str">
        <f t="shared" si="65"/>
        <v/>
      </c>
    </row>
    <row r="1459" spans="39:41">
      <c r="AM1459" s="266" t="str">
        <f t="shared" si="63"/>
        <v/>
      </c>
      <c r="AN1459" s="267" t="str">
        <f t="shared" si="64"/>
        <v/>
      </c>
      <c r="AO1459" s="267" t="str">
        <f t="shared" si="65"/>
        <v/>
      </c>
    </row>
    <row r="1460" spans="39:41">
      <c r="AM1460" s="266" t="str">
        <f t="shared" si="63"/>
        <v/>
      </c>
      <c r="AN1460" s="267" t="str">
        <f t="shared" si="64"/>
        <v/>
      </c>
      <c r="AO1460" s="267" t="str">
        <f t="shared" si="65"/>
        <v/>
      </c>
    </row>
    <row r="1461" spans="39:41">
      <c r="AM1461" s="266" t="str">
        <f t="shared" si="63"/>
        <v/>
      </c>
      <c r="AN1461" s="267" t="str">
        <f t="shared" si="64"/>
        <v/>
      </c>
      <c r="AO1461" s="267" t="str">
        <f t="shared" si="65"/>
        <v/>
      </c>
    </row>
    <row r="1462" spans="39:41">
      <c r="AM1462" s="266" t="str">
        <f t="shared" si="63"/>
        <v/>
      </c>
      <c r="AN1462" s="267" t="str">
        <f t="shared" si="64"/>
        <v/>
      </c>
      <c r="AO1462" s="267" t="str">
        <f t="shared" si="65"/>
        <v/>
      </c>
    </row>
    <row r="1463" spans="39:41">
      <c r="AM1463" s="266" t="str">
        <f t="shared" si="63"/>
        <v/>
      </c>
      <c r="AN1463" s="267" t="str">
        <f t="shared" si="64"/>
        <v/>
      </c>
      <c r="AO1463" s="267" t="str">
        <f t="shared" si="65"/>
        <v/>
      </c>
    </row>
    <row r="1464" spans="39:41">
      <c r="AM1464" s="266" t="str">
        <f t="shared" si="63"/>
        <v/>
      </c>
      <c r="AN1464" s="267" t="str">
        <f t="shared" si="64"/>
        <v/>
      </c>
      <c r="AO1464" s="267" t="str">
        <f t="shared" si="65"/>
        <v/>
      </c>
    </row>
    <row r="1465" spans="39:41">
      <c r="AM1465" s="266" t="str">
        <f t="shared" si="63"/>
        <v/>
      </c>
      <c r="AN1465" s="267" t="str">
        <f t="shared" si="64"/>
        <v/>
      </c>
      <c r="AO1465" s="267" t="str">
        <f t="shared" si="65"/>
        <v/>
      </c>
    </row>
    <row r="1466" spans="39:41">
      <c r="AM1466" s="266" t="str">
        <f t="shared" si="63"/>
        <v/>
      </c>
      <c r="AN1466" s="267" t="str">
        <f t="shared" si="64"/>
        <v/>
      </c>
      <c r="AO1466" s="267" t="str">
        <f t="shared" si="65"/>
        <v/>
      </c>
    </row>
    <row r="1467" spans="39:41">
      <c r="AM1467" s="266" t="str">
        <f t="shared" si="63"/>
        <v/>
      </c>
      <c r="AN1467" s="267" t="str">
        <f t="shared" si="64"/>
        <v/>
      </c>
      <c r="AO1467" s="267" t="str">
        <f t="shared" si="65"/>
        <v/>
      </c>
    </row>
    <row r="1468" spans="39:41">
      <c r="AM1468" s="266" t="str">
        <f t="shared" si="63"/>
        <v/>
      </c>
      <c r="AN1468" s="267" t="str">
        <f t="shared" si="64"/>
        <v/>
      </c>
      <c r="AO1468" s="267" t="str">
        <f t="shared" si="65"/>
        <v/>
      </c>
    </row>
    <row r="1469" spans="39:41">
      <c r="AM1469" s="266" t="str">
        <f t="shared" si="63"/>
        <v/>
      </c>
      <c r="AN1469" s="267" t="str">
        <f t="shared" si="64"/>
        <v/>
      </c>
      <c r="AO1469" s="267" t="str">
        <f t="shared" si="65"/>
        <v/>
      </c>
    </row>
    <row r="1470" spans="39:41">
      <c r="AM1470" s="266" t="str">
        <f t="shared" si="63"/>
        <v/>
      </c>
      <c r="AN1470" s="267" t="str">
        <f t="shared" si="64"/>
        <v/>
      </c>
      <c r="AO1470" s="267" t="str">
        <f t="shared" si="65"/>
        <v/>
      </c>
    </row>
    <row r="1471" spans="39:41">
      <c r="AM1471" s="266" t="str">
        <f t="shared" si="63"/>
        <v/>
      </c>
      <c r="AN1471" s="267" t="str">
        <f t="shared" si="64"/>
        <v/>
      </c>
      <c r="AO1471" s="267" t="str">
        <f t="shared" si="65"/>
        <v/>
      </c>
    </row>
    <row r="1472" spans="39:41">
      <c r="AM1472" s="266" t="str">
        <f t="shared" si="63"/>
        <v/>
      </c>
      <c r="AN1472" s="267" t="str">
        <f t="shared" si="64"/>
        <v/>
      </c>
      <c r="AO1472" s="267" t="str">
        <f t="shared" si="65"/>
        <v/>
      </c>
    </row>
    <row r="1473" spans="39:41">
      <c r="AM1473" s="266" t="str">
        <f t="shared" si="63"/>
        <v/>
      </c>
      <c r="AN1473" s="267" t="str">
        <f t="shared" si="64"/>
        <v/>
      </c>
      <c r="AO1473" s="267" t="str">
        <f t="shared" si="65"/>
        <v/>
      </c>
    </row>
    <row r="1474" spans="39:41">
      <c r="AM1474" s="266" t="str">
        <f t="shared" si="63"/>
        <v/>
      </c>
      <c r="AN1474" s="267" t="str">
        <f t="shared" si="64"/>
        <v/>
      </c>
      <c r="AO1474" s="267" t="str">
        <f t="shared" si="65"/>
        <v/>
      </c>
    </row>
    <row r="1475" spans="39:41">
      <c r="AM1475" s="266" t="str">
        <f t="shared" si="63"/>
        <v/>
      </c>
      <c r="AN1475" s="267" t="str">
        <f t="shared" si="64"/>
        <v/>
      </c>
      <c r="AO1475" s="267" t="str">
        <f t="shared" si="65"/>
        <v/>
      </c>
    </row>
    <row r="1476" spans="39:41">
      <c r="AM1476" s="266" t="str">
        <f t="shared" ref="AM1476:AM1499" si="66">IF(AK1476,(AK1476-AJ1476)/(AD1476-AG1476),"")</f>
        <v/>
      </c>
      <c r="AN1476" s="267" t="str">
        <f t="shared" ref="AN1476:AN1499" si="67">IF(AK1476,(AK1476-AJ1476)/(AE1476-AH1476),"")</f>
        <v/>
      </c>
      <c r="AO1476" s="267" t="str">
        <f t="shared" ref="AO1476:AO1499" si="68">IF(AK1476,(AK1476-AJ1476)/(AF1476-AI1476),"")</f>
        <v/>
      </c>
    </row>
    <row r="1477" spans="39:41">
      <c r="AM1477" s="266" t="str">
        <f t="shared" si="66"/>
        <v/>
      </c>
      <c r="AN1477" s="267" t="str">
        <f t="shared" si="67"/>
        <v/>
      </c>
      <c r="AO1477" s="267" t="str">
        <f t="shared" si="68"/>
        <v/>
      </c>
    </row>
    <row r="1478" spans="39:41">
      <c r="AM1478" s="266" t="str">
        <f t="shared" si="66"/>
        <v/>
      </c>
      <c r="AN1478" s="267" t="str">
        <f t="shared" si="67"/>
        <v/>
      </c>
      <c r="AO1478" s="267" t="str">
        <f t="shared" si="68"/>
        <v/>
      </c>
    </row>
    <row r="1479" spans="39:41">
      <c r="AM1479" s="266" t="str">
        <f t="shared" si="66"/>
        <v/>
      </c>
      <c r="AN1479" s="267" t="str">
        <f t="shared" si="67"/>
        <v/>
      </c>
      <c r="AO1479" s="267" t="str">
        <f t="shared" si="68"/>
        <v/>
      </c>
    </row>
    <row r="1480" spans="39:41">
      <c r="AM1480" s="266" t="str">
        <f t="shared" si="66"/>
        <v/>
      </c>
      <c r="AN1480" s="267" t="str">
        <f t="shared" si="67"/>
        <v/>
      </c>
      <c r="AO1480" s="267" t="str">
        <f t="shared" si="68"/>
        <v/>
      </c>
    </row>
    <row r="1481" spans="39:41">
      <c r="AM1481" s="266" t="str">
        <f t="shared" si="66"/>
        <v/>
      </c>
      <c r="AN1481" s="267" t="str">
        <f t="shared" si="67"/>
        <v/>
      </c>
      <c r="AO1481" s="267" t="str">
        <f t="shared" si="68"/>
        <v/>
      </c>
    </row>
    <row r="1482" spans="39:41">
      <c r="AM1482" s="266" t="str">
        <f t="shared" si="66"/>
        <v/>
      </c>
      <c r="AN1482" s="267" t="str">
        <f t="shared" si="67"/>
        <v/>
      </c>
      <c r="AO1482" s="267" t="str">
        <f t="shared" si="68"/>
        <v/>
      </c>
    </row>
    <row r="1483" spans="39:41">
      <c r="AM1483" s="266" t="str">
        <f t="shared" si="66"/>
        <v/>
      </c>
      <c r="AN1483" s="267" t="str">
        <f t="shared" si="67"/>
        <v/>
      </c>
      <c r="AO1483" s="267" t="str">
        <f t="shared" si="68"/>
        <v/>
      </c>
    </row>
    <row r="1484" spans="39:41">
      <c r="AM1484" s="266" t="str">
        <f t="shared" si="66"/>
        <v/>
      </c>
      <c r="AN1484" s="267" t="str">
        <f t="shared" si="67"/>
        <v/>
      </c>
      <c r="AO1484" s="267" t="str">
        <f t="shared" si="68"/>
        <v/>
      </c>
    </row>
    <row r="1485" spans="39:41">
      <c r="AM1485" s="266" t="str">
        <f t="shared" si="66"/>
        <v/>
      </c>
      <c r="AN1485" s="267" t="str">
        <f t="shared" si="67"/>
        <v/>
      </c>
      <c r="AO1485" s="267" t="str">
        <f t="shared" si="68"/>
        <v/>
      </c>
    </row>
    <row r="1486" spans="39:41">
      <c r="AM1486" s="266" t="str">
        <f t="shared" si="66"/>
        <v/>
      </c>
      <c r="AN1486" s="267" t="str">
        <f t="shared" si="67"/>
        <v/>
      </c>
      <c r="AO1486" s="267" t="str">
        <f t="shared" si="68"/>
        <v/>
      </c>
    </row>
    <row r="1487" spans="39:41">
      <c r="AM1487" s="266" t="str">
        <f t="shared" si="66"/>
        <v/>
      </c>
      <c r="AN1487" s="267" t="str">
        <f t="shared" si="67"/>
        <v/>
      </c>
      <c r="AO1487" s="267" t="str">
        <f t="shared" si="68"/>
        <v/>
      </c>
    </row>
    <row r="1488" spans="39:41">
      <c r="AM1488" s="266" t="str">
        <f t="shared" si="66"/>
        <v/>
      </c>
      <c r="AN1488" s="267" t="str">
        <f t="shared" si="67"/>
        <v/>
      </c>
      <c r="AO1488" s="267" t="str">
        <f t="shared" si="68"/>
        <v/>
      </c>
    </row>
    <row r="1489" spans="39:41">
      <c r="AM1489" s="266" t="str">
        <f t="shared" si="66"/>
        <v/>
      </c>
      <c r="AN1489" s="267" t="str">
        <f t="shared" si="67"/>
        <v/>
      </c>
      <c r="AO1489" s="267" t="str">
        <f t="shared" si="68"/>
        <v/>
      </c>
    </row>
    <row r="1490" spans="39:41">
      <c r="AM1490" s="266" t="str">
        <f t="shared" si="66"/>
        <v/>
      </c>
      <c r="AN1490" s="267" t="str">
        <f t="shared" si="67"/>
        <v/>
      </c>
      <c r="AO1490" s="267" t="str">
        <f t="shared" si="68"/>
        <v/>
      </c>
    </row>
    <row r="1491" spans="39:41">
      <c r="AM1491" s="266" t="str">
        <f t="shared" si="66"/>
        <v/>
      </c>
      <c r="AN1491" s="267" t="str">
        <f t="shared" si="67"/>
        <v/>
      </c>
      <c r="AO1491" s="267" t="str">
        <f t="shared" si="68"/>
        <v/>
      </c>
    </row>
    <row r="1492" spans="39:41">
      <c r="AM1492" s="266" t="str">
        <f t="shared" si="66"/>
        <v/>
      </c>
      <c r="AN1492" s="267" t="str">
        <f t="shared" si="67"/>
        <v/>
      </c>
      <c r="AO1492" s="267" t="str">
        <f t="shared" si="68"/>
        <v/>
      </c>
    </row>
    <row r="1493" spans="39:41">
      <c r="AM1493" s="266" t="str">
        <f t="shared" si="66"/>
        <v/>
      </c>
      <c r="AN1493" s="267" t="str">
        <f t="shared" si="67"/>
        <v/>
      </c>
      <c r="AO1493" s="267" t="str">
        <f t="shared" si="68"/>
        <v/>
      </c>
    </row>
    <row r="1494" spans="39:41">
      <c r="AM1494" s="266" t="str">
        <f t="shared" si="66"/>
        <v/>
      </c>
      <c r="AN1494" s="267" t="str">
        <f t="shared" si="67"/>
        <v/>
      </c>
      <c r="AO1494" s="267" t="str">
        <f t="shared" si="68"/>
        <v/>
      </c>
    </row>
    <row r="1495" spans="39:41">
      <c r="AM1495" s="266" t="str">
        <f t="shared" si="66"/>
        <v/>
      </c>
      <c r="AN1495" s="267" t="str">
        <f t="shared" si="67"/>
        <v/>
      </c>
      <c r="AO1495" s="267" t="str">
        <f t="shared" si="68"/>
        <v/>
      </c>
    </row>
    <row r="1496" spans="39:41">
      <c r="AM1496" s="266" t="str">
        <f t="shared" si="66"/>
        <v/>
      </c>
      <c r="AN1496" s="267" t="str">
        <f t="shared" si="67"/>
        <v/>
      </c>
      <c r="AO1496" s="267" t="str">
        <f t="shared" si="68"/>
        <v/>
      </c>
    </row>
    <row r="1497" spans="39:41">
      <c r="AM1497" s="266" t="str">
        <f t="shared" si="66"/>
        <v/>
      </c>
      <c r="AN1497" s="267" t="str">
        <f t="shared" si="67"/>
        <v/>
      </c>
      <c r="AO1497" s="267" t="str">
        <f t="shared" si="68"/>
        <v/>
      </c>
    </row>
    <row r="1498" spans="39:41">
      <c r="AM1498" s="266" t="str">
        <f t="shared" si="66"/>
        <v/>
      </c>
      <c r="AN1498" s="267" t="str">
        <f t="shared" si="67"/>
        <v/>
      </c>
      <c r="AO1498" s="267" t="str">
        <f t="shared" si="68"/>
        <v/>
      </c>
    </row>
    <row r="1499" spans="39:41">
      <c r="AM1499" s="266" t="str">
        <f t="shared" si="66"/>
        <v/>
      </c>
      <c r="AN1499" s="267" t="str">
        <f t="shared" si="67"/>
        <v/>
      </c>
      <c r="AO1499" s="267" t="str">
        <f t="shared" si="68"/>
        <v/>
      </c>
    </row>
  </sheetData>
  <mergeCells count="9">
    <mergeCell ref="AJ2:AK2"/>
    <mergeCell ref="AD2:AI2"/>
    <mergeCell ref="AD1:AK1"/>
    <mergeCell ref="D2:I2"/>
    <mergeCell ref="J2:K2"/>
    <mergeCell ref="L2:W2"/>
    <mergeCell ref="X2:AB2"/>
    <mergeCell ref="B1:AB1"/>
    <mergeCell ref="B2:C2"/>
  </mergeCells>
  <phoneticPr fontId="6"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8E2-4001-D141-92CD-339A4783FD1A}">
  <sheetPr codeName="Sheet10"/>
  <dimension ref="B2:C7"/>
  <sheetViews>
    <sheetView workbookViewId="0">
      <selection activeCell="C9" sqref="C9"/>
    </sheetView>
  </sheetViews>
  <sheetFormatPr defaultColWidth="11.33203125" defaultRowHeight="14"/>
  <cols>
    <col min="1" max="1" width="4.58203125" customWidth="1"/>
    <col min="2" max="2" width="3.08203125" customWidth="1"/>
    <col min="3" max="3" width="255.58203125" customWidth="1"/>
    <col min="7" max="7" width="69" customWidth="1"/>
  </cols>
  <sheetData>
    <row r="2" spans="2:3">
      <c r="B2" s="28" t="s">
        <v>250</v>
      </c>
    </row>
    <row r="3" spans="2:3">
      <c r="B3">
        <v>1</v>
      </c>
      <c r="C3" t="s">
        <v>251</v>
      </c>
    </row>
    <row r="4" spans="2:3">
      <c r="B4">
        <v>2</v>
      </c>
      <c r="C4" t="s">
        <v>252</v>
      </c>
    </row>
    <row r="5" spans="2:3">
      <c r="B5">
        <v>3</v>
      </c>
      <c r="C5" t="s">
        <v>253</v>
      </c>
    </row>
    <row r="6" spans="2:3">
      <c r="B6">
        <v>4</v>
      </c>
      <c r="C6" t="s">
        <v>254</v>
      </c>
    </row>
    <row r="7" spans="2:3">
      <c r="B7">
        <v>5</v>
      </c>
    </row>
  </sheetData>
  <phoneticPr fontId="6"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8B865-8DEA-4B83-8CFF-52D6AF40A6DC}">
  <sheetPr codeName="Sheet1"/>
  <dimension ref="A1:E12"/>
  <sheetViews>
    <sheetView zoomScale="158" zoomScaleNormal="235" workbookViewId="0">
      <selection activeCell="D28" sqref="D28"/>
    </sheetView>
  </sheetViews>
  <sheetFormatPr defaultColWidth="8.83203125" defaultRowHeight="14"/>
  <cols>
    <col min="2" max="2" width="16.58203125" customWidth="1"/>
    <col min="3" max="3" width="17.83203125" customWidth="1"/>
    <col min="4" max="4" width="63.83203125" customWidth="1"/>
    <col min="5" max="5" width="19.58203125" customWidth="1"/>
  </cols>
  <sheetData>
    <row r="1" spans="1:5">
      <c r="C1" t="s">
        <v>255</v>
      </c>
      <c r="D1" t="s">
        <v>256</v>
      </c>
      <c r="E1" t="s">
        <v>257</v>
      </c>
    </row>
    <row r="2" spans="1:5">
      <c r="B2" t="s">
        <v>258</v>
      </c>
    </row>
    <row r="3" spans="1:5">
      <c r="A3" t="s">
        <v>259</v>
      </c>
      <c r="C3" t="s">
        <v>260</v>
      </c>
      <c r="D3" t="s">
        <v>261</v>
      </c>
    </row>
    <row r="4" spans="1:5">
      <c r="A4" t="s">
        <v>262</v>
      </c>
      <c r="C4" t="s">
        <v>260</v>
      </c>
      <c r="D4" t="s">
        <v>263</v>
      </c>
    </row>
    <row r="5" spans="1:5">
      <c r="A5" t="s">
        <v>264</v>
      </c>
      <c r="C5" t="s">
        <v>260</v>
      </c>
      <c r="D5" t="s">
        <v>265</v>
      </c>
    </row>
    <row r="6" spans="1:5">
      <c r="A6" t="s">
        <v>266</v>
      </c>
      <c r="C6" t="s">
        <v>260</v>
      </c>
    </row>
    <row r="8" spans="1:5">
      <c r="B8" t="s">
        <v>267</v>
      </c>
    </row>
    <row r="12" spans="1:5">
      <c r="B12" t="s">
        <v>268</v>
      </c>
    </row>
  </sheetData>
  <phoneticPr fontId="6"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AC3E1-0E49-46B6-A3CA-683C99E9DF74}">
  <sheetPr codeName="Sheet6"/>
  <dimension ref="A1"/>
  <sheetViews>
    <sheetView workbookViewId="0">
      <selection activeCell="A24" sqref="A24"/>
    </sheetView>
  </sheetViews>
  <sheetFormatPr defaultRowHeight="14"/>
  <cols>
    <col min="1" max="1" width="200.5" customWidth="1"/>
  </cols>
  <sheetData>
    <row r="1" spans="1:1" ht="409.5" customHeight="1">
      <c r="A1" s="20" t="s">
        <v>269</v>
      </c>
    </row>
  </sheetData>
  <phoneticPr fontId="6"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4f48382-bf33-4bf2-b132-7ae310eeb53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E7144A6282E87458622D5B59D20DD51" ma:contentTypeVersion="11" ma:contentTypeDescription="Create a new document." ma:contentTypeScope="" ma:versionID="6df1c62734b2671f65da765667b397bb">
  <xsd:schema xmlns:xsd="http://www.w3.org/2001/XMLSchema" xmlns:xs="http://www.w3.org/2001/XMLSchema" xmlns:p="http://schemas.microsoft.com/office/2006/metadata/properties" xmlns:ns3="c4f48382-bf33-4bf2-b132-7ae310eeb537" xmlns:ns4="748e78a2-e192-4fc4-8119-f7daf2fdcbee" targetNamespace="http://schemas.microsoft.com/office/2006/metadata/properties" ma:root="true" ma:fieldsID="58bd3a37e1aa549af9bcb764f6ad6b3a" ns3:_="" ns4:_="">
    <xsd:import namespace="c4f48382-bf33-4bf2-b132-7ae310eeb537"/>
    <xsd:import namespace="748e78a2-e192-4fc4-8119-f7daf2fdcbee"/>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4f48382-bf33-4bf2-b132-7ae310eeb5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8e78a2-e192-4fc4-8119-f7daf2fdcbe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3818D0-0A0D-4302-8D73-89146DA38F77}">
  <ds:schemaRefs>
    <ds:schemaRef ds:uri="http://schemas.microsoft.com/office/2006/metadata/properties"/>
    <ds:schemaRef ds:uri="http://schemas.microsoft.com/office/infopath/2007/PartnerControls"/>
    <ds:schemaRef ds:uri="c4f48382-bf33-4bf2-b132-7ae310eeb537"/>
  </ds:schemaRefs>
</ds:datastoreItem>
</file>

<file path=customXml/itemProps2.xml><?xml version="1.0" encoding="utf-8"?>
<ds:datastoreItem xmlns:ds="http://schemas.openxmlformats.org/officeDocument/2006/customXml" ds:itemID="{93019876-EC08-47B3-AB39-3E81147C89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f48382-bf33-4bf2-b132-7ae310eeb537"/>
    <ds:schemaRef ds:uri="748e78a2-e192-4fc4-8119-f7daf2fdcb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0AF1BA-0A2A-4CF5-892D-E761F69CFB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35</vt:i4>
      </vt:variant>
    </vt:vector>
  </HeadingPairs>
  <TitlesOfParts>
    <vt:vector size="47" baseType="lpstr">
      <vt:lpstr>Parameter</vt:lpstr>
      <vt:lpstr>CAPI</vt:lpstr>
      <vt:lpstr>Trans.Prob.</vt:lpstr>
      <vt:lpstr>PALB</vt:lpstr>
      <vt:lpstr>AEs (old)</vt:lpstr>
      <vt:lpstr>CostDeterministic</vt:lpstr>
      <vt:lpstr>AdverseEvent</vt:lpstr>
      <vt:lpstr>Utilities</vt:lpstr>
      <vt:lpstr>Simulaton</vt:lpstr>
      <vt:lpstr>Open questions</vt:lpstr>
      <vt:lpstr>Assumption</vt:lpstr>
      <vt:lpstr>VBCode For simu</vt:lpstr>
      <vt:lpstr>cohortSize</vt:lpstr>
      <vt:lpstr>COST_CAPI</vt:lpstr>
      <vt:lpstr>COST_PALB</vt:lpstr>
      <vt:lpstr>cP</vt:lpstr>
      <vt:lpstr>cPFS_CAPI_1st</vt:lpstr>
      <vt:lpstr>cPFS_CAPI_after</vt:lpstr>
      <vt:lpstr>cPFS_PALB_1st</vt:lpstr>
      <vt:lpstr>cPFS_PALB_after</vt:lpstr>
      <vt:lpstr>duAE1_CAPI</vt:lpstr>
      <vt:lpstr>duAE1_PALB</vt:lpstr>
      <vt:lpstr>duAE2_CAPI</vt:lpstr>
      <vt:lpstr>duAE2_PALB</vt:lpstr>
      <vt:lpstr>duAE3_CAPI</vt:lpstr>
      <vt:lpstr>duAE3_PALB</vt:lpstr>
      <vt:lpstr>fAE1_CAPI</vt:lpstr>
      <vt:lpstr>fAE1_PALB</vt:lpstr>
      <vt:lpstr>fAE2_CAPI</vt:lpstr>
      <vt:lpstr>fAE2_PALB</vt:lpstr>
      <vt:lpstr>fAE3_CAPI</vt:lpstr>
      <vt:lpstr>fAE3_PALB</vt:lpstr>
      <vt:lpstr>gamma_capi</vt:lpstr>
      <vt:lpstr>gamma_pacl</vt:lpstr>
      <vt:lpstr>lambda_capi</vt:lpstr>
      <vt:lpstr>lambda_pacl</vt:lpstr>
      <vt:lpstr>LY_CAPI</vt:lpstr>
      <vt:lpstr>LY_PALB</vt:lpstr>
      <vt:lpstr>QALY_AEs_CAPI</vt:lpstr>
      <vt:lpstr>QALY_AEs_PALB</vt:lpstr>
      <vt:lpstr>QALY_noAEs_CAPI</vt:lpstr>
      <vt:lpstr>QALY_noAEs_PALB</vt:lpstr>
      <vt:lpstr>rdis_Month</vt:lpstr>
      <vt:lpstr>tpP2D</vt:lpstr>
      <vt:lpstr>tpPFS2D</vt:lpstr>
      <vt:lpstr>uP</vt:lpstr>
      <vt:lpstr>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Bounthavong</dc:creator>
  <cp:keywords/>
  <dc:description/>
  <cp:lastModifiedBy>hai'tao yue</cp:lastModifiedBy>
  <cp:revision/>
  <dcterms:created xsi:type="dcterms:W3CDTF">2018-03-09T23:59:36Z</dcterms:created>
  <dcterms:modified xsi:type="dcterms:W3CDTF">2023-12-23T14:55:57Z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0x0101004E7144A6282E87458622D5B59D20DD51</vt:lpwstr>
  </property>
</Properties>
</file>